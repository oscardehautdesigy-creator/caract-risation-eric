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ISIE" sheetId="1" state="visible" r:id="rId1"/>
    <sheet name="TABLEAU" sheetId="2" state="hidden" r:id="rId2"/>
    <sheet name="Fiche caract" sheetId="3" state="hidden" r:id="rId3"/>
    <sheet name="FICHE" sheetId="4" state="hidden" r:id="rId4"/>
    <sheet name="BILAN" sheetId="5" state="visible" r:id="rId5"/>
    <sheet name="BDD" sheetId="6" state="visible" r:id="rId6"/>
    <sheet name="Détails1" sheetId="7" state="hidden" r:id="rId7"/>
    <sheet name="TCD" sheetId="8" state="hidden" r:id="rId8"/>
    <sheet name="Taux-Moyenne" sheetId="9" state="hidden" r:id="rId9"/>
  </sheets>
  <definedNames>
    <definedName name="_xlcn.WorksheetConnection_SaisiekgA1AZ561" hidden="1">SAISIE!$B$1:$BF$59</definedName>
    <definedName name="_xlnm._FilterDatabase" localSheetId="0" hidden="1">'SAISIE'!$B$1:$AO$240</definedName>
    <definedName name="_xlnm.Print_Area" localSheetId="0">'SAISIE'!$AI$1:$AL$5</definedName>
    <definedName name="_xlnm.Print_Area" localSheetId="2">'Fiche caract'!$A$2:$H$37</definedName>
    <definedName name="_xlnm.Print_Area" localSheetId="4">'BILAN'!$A$1:$Z$74</definedName>
    <definedName name="_xlnm.Print_Area" localSheetId="8">'Taux-Moyenne'!$A$1:$L$97</definedName>
  </definedNames>
  <calcPr calcId="191029" fullCalcOnLoad="1"/>
  <pivotCaches>
    <pivotCache cacheId="0" r:id="rId10"/>
  </pivotCaches>
</workbook>
</file>

<file path=xl/styles.xml><?xml version="1.0" encoding="utf-8"?>
<styleSheet xmlns="http://schemas.openxmlformats.org/spreadsheetml/2006/main">
  <numFmts count="2">
    <numFmt numFmtId="164" formatCode="_-* #,##0.00\ _F_-;\-* #,##0.00\ _F_-;_-* &quot;-&quot;??\ _F_-;_-@_-"/>
    <numFmt numFmtId="165" formatCode="_-* #,##0.00\ _€_-;\-* #,##0.00\ _€_-;_-* &quot;-&quot;??\ _€_-;_-@_-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Tahoma"/>
      <family val="2"/>
      <color rgb="FF6D6D6D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i val="1"/>
      <sz val="12"/>
    </font>
    <font>
      <name val="Arial"/>
      <family val="2"/>
      <b val="1"/>
      <i val="1"/>
      <sz val="10"/>
    </font>
    <font>
      <name val="Calibri"/>
      <family val="2"/>
      <b val="1"/>
      <color indexed="8"/>
      <sz val="11"/>
    </font>
    <font>
      <name val="Algerian"/>
      <family val="5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Arial"/>
      <family val="2"/>
      <b val="1"/>
      <i val="1"/>
      <sz val="9"/>
      <u val="single"/>
    </font>
    <font>
      <name val="Calibri"/>
      <family val="2"/>
      <color rgb="FF000000"/>
      <sz val="11"/>
      <scheme val="minor"/>
    </font>
    <font>
      <name val="Arial"/>
      <family val="2"/>
      <b val="1"/>
      <color theme="1"/>
      <sz val="10"/>
    </font>
    <font>
      <name val="Calibri"/>
      <family val="2"/>
      <b val="1"/>
      <sz val="14"/>
      <scheme val="minor"/>
    </font>
    <font>
      <name val="Calibri"/>
      <family val="2"/>
      <b val="1"/>
      <i val="1"/>
      <sz val="10"/>
      <u val="single"/>
      <scheme val="minor"/>
    </font>
    <font>
      <name val="Calibri"/>
      <family val="2"/>
      <b val="1"/>
      <sz val="10"/>
      <scheme val="minor"/>
    </font>
  </fonts>
  <fills count="21">
    <fill>
      <patternFill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7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5" fillId="0" borderId="0"/>
    <xf numFmtId="0" fontId="4" fillId="2" borderId="0" applyAlignment="1">
      <alignment horizontal="left" vertical="top" wrapText="1"/>
    </xf>
    <xf numFmtId="9" fontId="5" fillId="0" borderId="0"/>
    <xf numFmtId="165" fontId="15" fillId="0" borderId="0"/>
    <xf numFmtId="9" fontId="15" fillId="0" borderId="0"/>
    <xf numFmtId="0" fontId="19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0" fontId="1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9" fontId="0" fillId="0" borderId="0" pivotButton="0" quotePrefix="0" xfId="2"/>
    <xf numFmtId="0" fontId="6" fillId="4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0" fontId="6" fillId="4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1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14" fontId="0" fillId="3" borderId="0" applyAlignment="1" pivotButton="0" quotePrefix="0" xfId="0">
      <alignment horizontal="center"/>
    </xf>
    <xf numFmtId="10" fontId="0" fillId="3" borderId="0" applyAlignment="1" pivotButton="0" quotePrefix="0" xfId="0">
      <alignment horizontal="center"/>
    </xf>
    <xf numFmtId="0" fontId="7" fillId="3" borderId="0" pivotButton="0" quotePrefix="0" xfId="0"/>
    <xf numFmtId="0" fontId="2" fillId="3" borderId="0" applyAlignment="1" pivotButton="0" quotePrefix="0" xfId="0">
      <alignment horizontal="center"/>
    </xf>
    <xf numFmtId="0" fontId="9" fillId="5" borderId="0" applyAlignment="1" pivotButton="0" quotePrefix="0" xfId="0">
      <alignment horizontal="right"/>
    </xf>
    <xf numFmtId="14" fontId="10" fillId="0" borderId="9" applyAlignment="1" pivotButton="0" quotePrefix="0" xfId="0">
      <alignment horizontal="center"/>
    </xf>
    <xf numFmtId="0" fontId="0" fillId="5" borderId="10" pivotButton="0" quotePrefix="0" xfId="0"/>
    <xf numFmtId="0" fontId="0" fillId="6" borderId="9" applyAlignment="1" pivotButton="0" quotePrefix="0" xfId="0">
      <alignment horizontal="center" vertical="center"/>
    </xf>
    <xf numFmtId="2" fontId="0" fillId="6" borderId="9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5" borderId="0" pivotButton="0" quotePrefix="0" xfId="0"/>
    <xf numFmtId="0" fontId="14" fillId="5" borderId="12" applyAlignment="1" pivotButton="0" quotePrefix="0" xfId="0">
      <alignment horizontal="left" vertical="center" wrapText="1"/>
    </xf>
    <xf numFmtId="10" fontId="14" fillId="0" borderId="5" applyAlignment="1" pivotButton="0" quotePrefix="0" xfId="0">
      <alignment vertical="center"/>
    </xf>
    <xf numFmtId="0" fontId="14" fillId="5" borderId="16" applyAlignment="1" pivotButton="0" quotePrefix="0" xfId="0">
      <alignment horizontal="left" vertical="center" wrapText="1"/>
    </xf>
    <xf numFmtId="0" fontId="14" fillId="5" borderId="12" applyAlignment="1" pivotButton="0" quotePrefix="0" xfId="0">
      <alignment vertical="center"/>
    </xf>
    <xf numFmtId="0" fontId="0" fillId="5" borderId="0" applyAlignment="1" pivotButton="0" quotePrefix="0" xfId="0">
      <alignment horizontal="right"/>
    </xf>
    <xf numFmtId="0" fontId="14" fillId="5" borderId="22" applyAlignment="1" pivotButton="0" quotePrefix="0" xfId="0">
      <alignment horizontal="left" vertical="center" wrapText="1"/>
    </xf>
    <xf numFmtId="164" fontId="14" fillId="5" borderId="23" applyAlignment="1" pivotButton="0" quotePrefix="0" xfId="3">
      <alignment horizontal="center" vertical="center"/>
    </xf>
    <xf numFmtId="0" fontId="14" fillId="5" borderId="23" applyAlignment="1" pivotButton="0" quotePrefix="0" xfId="3">
      <alignment horizontal="center" vertical="center"/>
    </xf>
    <xf numFmtId="10" fontId="14" fillId="5" borderId="24" applyAlignment="1" pivotButton="0" quotePrefix="0" xfId="0">
      <alignment horizontal="center" vertical="center"/>
    </xf>
    <xf numFmtId="0" fontId="14" fillId="5" borderId="14" applyAlignment="1" pivotButton="0" quotePrefix="0" xfId="0">
      <alignment horizontal="left" vertical="center" wrapText="1"/>
    </xf>
    <xf numFmtId="164" fontId="14" fillId="5" borderId="12" applyAlignment="1" pivotButton="0" quotePrefix="0" xfId="3">
      <alignment horizontal="center" vertical="center"/>
    </xf>
    <xf numFmtId="10" fontId="14" fillId="5" borderId="26" applyAlignment="1" pivotButton="0" quotePrefix="0" xfId="0">
      <alignment horizontal="center" vertical="center"/>
    </xf>
    <xf numFmtId="0" fontId="14" fillId="5" borderId="27" applyAlignment="1" pivotButton="0" quotePrefix="0" xfId="0">
      <alignment horizontal="left" vertical="center" wrapText="1"/>
    </xf>
    <xf numFmtId="0" fontId="14" fillId="5" borderId="29" applyAlignment="1" pivotButton="0" quotePrefix="0" xfId="3">
      <alignment horizontal="center" vertical="center"/>
    </xf>
    <xf numFmtId="10" fontId="14" fillId="0" borderId="5" applyAlignment="1" pivotButton="0" quotePrefix="0" xfId="0">
      <alignment horizontal="center" vertical="center"/>
    </xf>
    <xf numFmtId="0" fontId="14" fillId="5" borderId="30" applyAlignment="1" pivotButton="0" quotePrefix="0" xfId="0">
      <alignment horizontal="left" vertical="center" wrapText="1"/>
    </xf>
    <xf numFmtId="0" fontId="14" fillId="5" borderId="34" applyAlignment="1" pivotButton="0" quotePrefix="0" xfId="0">
      <alignment horizontal="left" vertical="center" wrapText="1"/>
    </xf>
    <xf numFmtId="0" fontId="0" fillId="0" borderId="5" pivotButton="0" quotePrefix="0" xfId="0"/>
    <xf numFmtId="0" fontId="14" fillId="5" borderId="36" applyAlignment="1" pivotButton="0" quotePrefix="0" xfId="0">
      <alignment horizontal="left" vertical="center" wrapText="1"/>
    </xf>
    <xf numFmtId="10" fontId="13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wrapText="1"/>
    </xf>
    <xf numFmtId="9" fontId="0" fillId="0" borderId="3" applyAlignment="1" pivotButton="0" quotePrefix="0" xfId="2">
      <alignment horizontal="center" vertical="center"/>
    </xf>
    <xf numFmtId="0" fontId="14" fillId="5" borderId="37" applyAlignment="1" pivotButton="0" quotePrefix="0" xfId="0">
      <alignment vertical="center"/>
    </xf>
    <xf numFmtId="164" fontId="14" fillId="5" borderId="34" applyAlignment="1" pivotButton="0" quotePrefix="0" xfId="3">
      <alignment horizontal="center" vertical="center"/>
    </xf>
    <xf numFmtId="10" fontId="14" fillId="5" borderId="38" applyAlignment="1" pivotButton="0" quotePrefix="0" xfId="0">
      <alignment horizontal="center" vertical="center"/>
    </xf>
    <xf numFmtId="0" fontId="14" fillId="5" borderId="39" applyAlignment="1" pivotButton="0" quotePrefix="0" xfId="0">
      <alignment vertical="center"/>
    </xf>
    <xf numFmtId="164" fontId="14" fillId="5" borderId="29" applyAlignment="1" pivotButton="0" quotePrefix="0" xfId="3">
      <alignment horizontal="center" vertical="center"/>
    </xf>
    <xf numFmtId="10" fontId="14" fillId="5" borderId="40" applyAlignment="1" pivotButton="0" quotePrefix="0" xfId="0">
      <alignment horizontal="center" vertical="center"/>
    </xf>
    <xf numFmtId="0" fontId="14" fillId="5" borderId="14" applyAlignment="1" pivotButton="0" quotePrefix="0" xfId="0">
      <alignment vertical="center"/>
    </xf>
    <xf numFmtId="0" fontId="14" fillId="5" borderId="41" applyAlignment="1" pivotButton="0" quotePrefix="0" xfId="0">
      <alignment vertical="center"/>
    </xf>
    <xf numFmtId="0" fontId="14" fillId="5" borderId="42" applyAlignment="1" pivotButton="0" quotePrefix="0" xfId="0">
      <alignment vertical="center"/>
    </xf>
    <xf numFmtId="10" fontId="14" fillId="5" borderId="28" applyAlignment="1" pivotButton="0" quotePrefix="0" xfId="0">
      <alignment horizontal="center" vertical="center"/>
    </xf>
    <xf numFmtId="0" fontId="14" fillId="5" borderId="43" applyAlignment="1" pivotButton="0" quotePrefix="0" xfId="0">
      <alignment vertical="center"/>
    </xf>
    <xf numFmtId="0" fontId="14" fillId="5" borderId="33" applyAlignment="1" pivotButton="0" quotePrefix="0" xfId="0">
      <alignment vertical="center"/>
    </xf>
    <xf numFmtId="10" fontId="14" fillId="5" borderId="44" applyAlignment="1" pivotButton="0" quotePrefix="0" xfId="0">
      <alignment horizontal="center" vertical="center"/>
    </xf>
    <xf numFmtId="0" fontId="14" fillId="5" borderId="11" applyAlignment="1" pivotButton="0" quotePrefix="0" xfId="0">
      <alignment vertical="center"/>
    </xf>
    <xf numFmtId="164" fontId="14" fillId="5" borderId="13" applyAlignment="1" pivotButton="0" quotePrefix="0" xfId="3">
      <alignment horizontal="center" vertical="center"/>
    </xf>
    <xf numFmtId="0" fontId="12" fillId="5" borderId="0" applyAlignment="1" pivotButton="0" quotePrefix="0" xfId="0">
      <alignment horizontal="center" vertical="center" textRotation="90"/>
    </xf>
    <xf numFmtId="0" fontId="14" fillId="5" borderId="0" applyAlignment="1" pivotButton="0" quotePrefix="0" xfId="0">
      <alignment vertical="center"/>
    </xf>
    <xf numFmtId="164" fontId="14" fillId="5" borderId="3" applyAlignment="1" pivotButton="0" quotePrefix="0" xfId="4">
      <alignment horizontal="center" vertical="center"/>
    </xf>
    <xf numFmtId="164" fontId="14" fillId="5" borderId="0" applyAlignment="1" pivotButton="0" quotePrefix="0" xfId="4">
      <alignment horizontal="center" vertical="center"/>
    </xf>
    <xf numFmtId="164" fontId="14" fillId="5" borderId="0" applyAlignment="1" pivotButton="0" quotePrefix="0" xfId="3">
      <alignment horizontal="center" vertical="center"/>
    </xf>
    <xf numFmtId="0" fontId="12" fillId="5" borderId="0" applyAlignment="1" pivotButton="0" quotePrefix="0" xfId="0">
      <alignment horizontal="center" vertical="center" wrapText="1"/>
    </xf>
    <xf numFmtId="164" fontId="6" fillId="0" borderId="9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10" fontId="16" fillId="5" borderId="0" applyAlignment="1" pivotButton="0" quotePrefix="0" xfId="0">
      <alignment horizontal="center" vertical="center"/>
    </xf>
    <xf numFmtId="0" fontId="17" fillId="5" borderId="0" applyAlignment="1" pivotButton="0" quotePrefix="0" xfId="0">
      <alignment vertical="center"/>
    </xf>
    <xf numFmtId="0" fontId="12" fillId="5" borderId="0" pivotButton="0" quotePrefix="0" xfId="0"/>
    <xf numFmtId="0" fontId="20" fillId="0" borderId="0" pivotButton="0" quotePrefix="0" xfId="5"/>
    <xf numFmtId="0" fontId="21" fillId="5" borderId="0" applyAlignment="1" pivotButton="0" quotePrefix="0" xfId="0">
      <alignment horizontal="right"/>
    </xf>
    <xf numFmtId="0" fontId="14" fillId="5" borderId="46" applyAlignment="1" pivotButton="0" quotePrefix="0" xfId="3">
      <alignment horizontal="center" vertical="center"/>
    </xf>
    <xf numFmtId="164" fontId="14" fillId="5" borderId="48" applyAlignment="1" pivotButton="0" quotePrefix="0" xfId="3">
      <alignment horizontal="center" vertical="center"/>
    </xf>
    <xf numFmtId="10" fontId="14" fillId="5" borderId="4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 wrapText="1" indent="1"/>
    </xf>
    <xf numFmtId="0" fontId="14" fillId="5" borderId="15" applyAlignment="1" pivotButton="0" quotePrefix="0" xfId="0">
      <alignment horizontal="left" vertical="center" wrapText="1"/>
    </xf>
    <xf numFmtId="0" fontId="14" fillId="5" borderId="18" applyAlignment="1" pivotButton="0" quotePrefix="0" xfId="0">
      <alignment horizontal="left" vertical="center" wrapText="1"/>
    </xf>
    <xf numFmtId="0" fontId="14" fillId="5" borderId="15" applyAlignment="1" pivotButton="0" quotePrefix="0" xfId="0">
      <alignment vertical="center"/>
    </xf>
    <xf numFmtId="0" fontId="14" fillId="5" borderId="35" applyAlignment="1" pivotButton="0" quotePrefix="0" xfId="0">
      <alignment horizontal="left" vertical="center" wrapText="1"/>
    </xf>
    <xf numFmtId="10" fontId="14" fillId="5" borderId="49" applyAlignment="1" pivotButton="0" quotePrefix="0" xfId="0">
      <alignment horizontal="center" vertical="center"/>
    </xf>
    <xf numFmtId="10" fontId="14" fillId="5" borderId="49" applyAlignment="1" pivotButton="0" quotePrefix="0" xfId="2">
      <alignment horizontal="center" vertical="center"/>
    </xf>
    <xf numFmtId="10" fontId="14" fillId="5" borderId="50" applyAlignment="1" pivotButton="0" quotePrefix="0" xfId="0">
      <alignment horizontal="center" vertical="center"/>
    </xf>
    <xf numFmtId="0" fontId="14" fillId="5" borderId="51" applyAlignment="1" pivotButton="0" quotePrefix="0" xfId="3">
      <alignment horizontal="center" vertical="center"/>
    </xf>
    <xf numFmtId="10" fontId="14" fillId="5" borderId="52" applyAlignment="1" pivotButton="0" quotePrefix="0" xfId="0">
      <alignment horizontal="center" vertical="center"/>
    </xf>
    <xf numFmtId="0" fontId="14" fillId="5" borderId="53" applyAlignment="1" pivotButton="0" quotePrefix="0" xfId="3">
      <alignment horizontal="center" vertical="center"/>
    </xf>
    <xf numFmtId="2" fontId="0" fillId="6" borderId="47" applyAlignment="1" pivotButton="0" quotePrefix="0" xfId="0">
      <alignment horizontal="center" vertical="center" wrapText="1"/>
    </xf>
    <xf numFmtId="2" fontId="0" fillId="6" borderId="6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/>
    </xf>
    <xf numFmtId="0" fontId="14" fillId="5" borderId="54" applyAlignment="1" pivotButton="0" quotePrefix="0" xfId="3">
      <alignment horizontal="center" vertical="center"/>
    </xf>
    <xf numFmtId="0" fontId="14" fillId="5" borderId="55" applyAlignment="1" pivotButton="0" quotePrefix="0" xfId="3">
      <alignment horizontal="center" vertical="center"/>
    </xf>
    <xf numFmtId="10" fontId="14" fillId="5" borderId="56" applyAlignment="1" pivotButton="0" quotePrefix="0" xfId="2">
      <alignment horizontal="center" vertical="center"/>
    </xf>
    <xf numFmtId="10" fontId="14" fillId="5" borderId="56" applyAlignment="1" pivotButton="0" quotePrefix="0" xfId="0">
      <alignment horizontal="center" vertical="center"/>
    </xf>
    <xf numFmtId="10" fontId="14" fillId="5" borderId="57" applyAlignment="1" pivotButton="0" quotePrefix="0" xfId="0">
      <alignment horizontal="center" vertical="center"/>
    </xf>
    <xf numFmtId="0" fontId="0" fillId="0" borderId="60" applyAlignment="1" pivotButton="0" quotePrefix="1" xfId="0">
      <alignment horizontal="center" vertical="center" wrapText="1" indent="1"/>
    </xf>
    <xf numFmtId="0" fontId="0" fillId="0" borderId="61" applyAlignment="1" pivotButton="0" quotePrefix="1" xfId="0">
      <alignment horizontal="center" vertical="center" wrapText="1" indent="1"/>
    </xf>
    <xf numFmtId="0" fontId="0" fillId="0" borderId="62" applyAlignment="1" pivotButton="0" quotePrefix="1" xfId="0">
      <alignment horizontal="center" vertical="center" wrapText="1" indent="1"/>
    </xf>
    <xf numFmtId="0" fontId="0" fillId="0" borderId="47" pivotButton="0" quotePrefix="0" xfId="0"/>
    <xf numFmtId="0" fontId="0" fillId="5" borderId="63" pivotButton="0" quotePrefix="0" xfId="0"/>
    <xf numFmtId="0" fontId="0" fillId="5" borderId="58" pivotButton="0" quotePrefix="0" xfId="0"/>
    <xf numFmtId="0" fontId="0" fillId="5" borderId="64" pivotButton="0" quotePrefix="0" xfId="0"/>
    <xf numFmtId="0" fontId="0" fillId="0" borderId="58" pivotButton="0" quotePrefix="0" xfId="0"/>
    <xf numFmtId="0" fontId="0" fillId="0" borderId="65" pivotButton="0" quotePrefix="0" xfId="0"/>
    <xf numFmtId="0" fontId="0" fillId="5" borderId="66" pivotButton="0" quotePrefix="0" xfId="0"/>
    <xf numFmtId="0" fontId="0" fillId="0" borderId="67" pivotButton="0" quotePrefix="0" xfId="0"/>
    <xf numFmtId="0" fontId="0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5" borderId="69" pivotButton="0" quotePrefix="0" xfId="0"/>
    <xf numFmtId="0" fontId="0" fillId="5" borderId="59" pivotButton="0" quotePrefix="0" xfId="0"/>
    <xf numFmtId="0" fontId="0" fillId="5" borderId="70" pivotButton="0" quotePrefix="0" xfId="0"/>
    <xf numFmtId="0" fontId="0" fillId="0" borderId="59" pivotButton="0" quotePrefix="0" xfId="0"/>
    <xf numFmtId="0" fontId="0" fillId="0" borderId="71" pivotButton="0" quotePrefix="0" xfId="0"/>
    <xf numFmtId="0" fontId="22" fillId="5" borderId="66" pivotButton="0" quotePrefix="0" xfId="0"/>
    <xf numFmtId="0" fontId="22" fillId="0" borderId="0" pivotButton="0" quotePrefix="0" xfId="0"/>
    <xf numFmtId="164" fontId="14" fillId="5" borderId="16" applyAlignment="1" pivotButton="0" quotePrefix="0" xfId="3">
      <alignment horizontal="center" vertical="center"/>
    </xf>
    <xf numFmtId="164" fontId="14" fillId="5" borderId="31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10" fontId="3" fillId="0" borderId="12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14" fontId="2" fillId="0" borderId="12" applyAlignment="1" pivotButton="0" quotePrefix="0" xfId="0">
      <alignment horizontal="center"/>
    </xf>
    <xf numFmtId="10" fontId="2" fillId="0" borderId="12" applyAlignment="1" pivotButton="0" quotePrefix="0" xfId="0">
      <alignment horizontal="center"/>
    </xf>
    <xf numFmtId="20" fontId="3" fillId="0" borderId="12" applyAlignment="1" pivotButton="0" quotePrefix="0" xfId="0">
      <alignment horizontal="center"/>
    </xf>
    <xf numFmtId="0" fontId="0" fillId="0" borderId="12" pivotButton="0" quotePrefix="0" xfId="0"/>
    <xf numFmtId="0" fontId="0" fillId="0" borderId="12" applyAlignment="1" pivotButton="0" quotePrefix="0" xfId="0">
      <alignment horizontal="left"/>
    </xf>
    <xf numFmtId="0" fontId="0" fillId="7" borderId="12" applyAlignment="1" pivotButton="0" quotePrefix="0" xfId="0">
      <alignment horizontal="center"/>
    </xf>
    <xf numFmtId="0" fontId="14" fillId="9" borderId="14" applyAlignment="1" pivotButton="0" quotePrefix="0" xfId="0">
      <alignment horizontal="left" vertical="center" wrapText="1"/>
    </xf>
    <xf numFmtId="164" fontId="14" fillId="9" borderId="12" applyAlignment="1" pivotButton="0" quotePrefix="0" xfId="3">
      <alignment horizontal="center" vertical="center"/>
    </xf>
    <xf numFmtId="164" fontId="14" fillId="9" borderId="34" applyAlignment="1" pivotButton="0" quotePrefix="0" xfId="3">
      <alignment horizontal="center" vertical="center"/>
    </xf>
    <xf numFmtId="164" fontId="14" fillId="12" borderId="34" applyAlignment="1" pivotButton="0" quotePrefix="0" xfId="3">
      <alignment horizontal="center" vertical="center"/>
    </xf>
    <xf numFmtId="164" fontId="6" fillId="8" borderId="9" applyAlignment="1" pivotButton="0" quotePrefix="0" xfId="0">
      <alignment horizontal="center" vertical="center"/>
    </xf>
    <xf numFmtId="14" fontId="10" fillId="14" borderId="9" applyAlignment="1" pivotButton="0" quotePrefix="0" xfId="0">
      <alignment horizontal="center"/>
    </xf>
    <xf numFmtId="9" fontId="0" fillId="0" borderId="12" pivotButton="0" quotePrefix="0" xfId="2"/>
    <xf numFmtId="9" fontId="0" fillId="0" borderId="12" pivotButton="0" quotePrefix="0" xfId="0"/>
    <xf numFmtId="0" fontId="14" fillId="16" borderId="39" applyAlignment="1" pivotButton="0" quotePrefix="0" xfId="0">
      <alignment vertical="center"/>
    </xf>
    <xf numFmtId="10" fontId="14" fillId="16" borderId="4" applyAlignment="1" pivotButton="0" quotePrefix="0" xfId="0">
      <alignment horizontal="center" vertical="center"/>
    </xf>
    <xf numFmtId="0" fontId="14" fillId="16" borderId="14" applyAlignment="1" pivotButton="0" quotePrefix="0" xfId="0">
      <alignment vertical="center"/>
    </xf>
    <xf numFmtId="164" fontId="14" fillId="16" borderId="12" applyAlignment="1" pivotButton="0" quotePrefix="0" xfId="3">
      <alignment horizontal="center" vertical="center"/>
    </xf>
    <xf numFmtId="0" fontId="0" fillId="16" borderId="62" applyAlignment="1" pivotButton="0" quotePrefix="1" xfId="0">
      <alignment horizontal="center" vertical="center" wrapText="1" indent="1"/>
    </xf>
    <xf numFmtId="10" fontId="14" fillId="16" borderId="26" applyAlignment="1" pivotButton="0" quotePrefix="0" xfId="0">
      <alignment horizontal="center" vertical="center"/>
    </xf>
    <xf numFmtId="164" fontId="14" fillId="16" borderId="31" applyAlignment="1" pivotButton="0" quotePrefix="0" xfId="3">
      <alignment horizontal="center" vertical="center"/>
    </xf>
    <xf numFmtId="0" fontId="14" fillId="16" borderId="41" applyAlignment="1" pivotButton="0" quotePrefix="0" xfId="0">
      <alignment vertical="center"/>
    </xf>
    <xf numFmtId="0" fontId="14" fillId="16" borderId="42" applyAlignment="1" pivotButton="0" quotePrefix="0" xfId="0">
      <alignment vertical="center"/>
    </xf>
    <xf numFmtId="164" fontId="14" fillId="16" borderId="16" applyAlignment="1" pivotButton="0" quotePrefix="0" xfId="3">
      <alignment horizontal="center" vertical="center"/>
    </xf>
    <xf numFmtId="10" fontId="14" fillId="16" borderId="28" applyAlignment="1" pivotButton="0" quotePrefix="0" xfId="0">
      <alignment horizontal="center" vertical="center"/>
    </xf>
    <xf numFmtId="0" fontId="14" fillId="16" borderId="33" applyAlignment="1" pivotButton="0" quotePrefix="0" xfId="0">
      <alignment vertical="center"/>
    </xf>
    <xf numFmtId="10" fontId="14" fillId="16" borderId="44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6" fillId="18" borderId="12" applyAlignment="1" pivotButton="0" quotePrefix="0" xfId="0">
      <alignment horizontal="center" vertical="center"/>
    </xf>
    <xf numFmtId="0" fontId="6" fillId="19" borderId="12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10" fontId="3" fillId="3" borderId="1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0" fillId="6" borderId="17" applyAlignment="1" pivotButton="0" quotePrefix="0" xfId="0">
      <alignment horizontal="center" vertical="center"/>
    </xf>
    <xf numFmtId="2" fontId="0" fillId="6" borderId="17" applyAlignment="1" pivotButton="0" quotePrefix="0" xfId="0">
      <alignment horizontal="center" vertical="center" wrapText="1"/>
    </xf>
    <xf numFmtId="0" fontId="14" fillId="9" borderId="12" applyAlignment="1" pivotButton="0" quotePrefix="0" xfId="3">
      <alignment horizontal="center" vertical="center"/>
    </xf>
    <xf numFmtId="10" fontId="14" fillId="9" borderId="12" applyAlignment="1" pivotButton="0" quotePrefix="0" xfId="0">
      <alignment horizontal="center" vertical="center"/>
    </xf>
    <xf numFmtId="10" fontId="14" fillId="9" borderId="12" applyAlignment="1" pivotButton="0" quotePrefix="0" xfId="2">
      <alignment horizontal="center" vertical="center"/>
    </xf>
    <xf numFmtId="0" fontId="14" fillId="9" borderId="33" applyAlignment="1" pivotButton="0" quotePrefix="0" xfId="0">
      <alignment horizontal="left" vertical="center" wrapText="1"/>
    </xf>
    <xf numFmtId="0" fontId="14" fillId="9" borderId="34" applyAlignment="1" pivotButton="0" quotePrefix="0" xfId="3">
      <alignment horizontal="center" vertical="center"/>
    </xf>
    <xf numFmtId="10" fontId="14" fillId="9" borderId="34" applyAlignment="1" pivotButton="0" quotePrefix="0" xfId="2">
      <alignment horizontal="center" vertical="center"/>
    </xf>
    <xf numFmtId="164" fontId="14" fillId="16" borderId="72" applyAlignment="1" pivotButton="0" quotePrefix="0" xfId="3">
      <alignment horizontal="center" vertical="center"/>
    </xf>
    <xf numFmtId="0" fontId="0" fillId="16" borderId="73" applyAlignment="1" pivotButton="0" quotePrefix="1" xfId="0">
      <alignment horizontal="center" vertical="center" wrapText="1" indent="1"/>
    </xf>
    <xf numFmtId="0" fontId="0" fillId="16" borderId="0" applyAlignment="1" pivotButton="0" quotePrefix="0" xfId="0">
      <alignment horizontal="left" vertical="center"/>
    </xf>
    <xf numFmtId="164" fontId="14" fillId="16" borderId="34" applyAlignment="1" pivotButton="0" quotePrefix="0" xfId="3">
      <alignment horizontal="center" vertical="center"/>
    </xf>
    <xf numFmtId="0" fontId="0" fillId="16" borderId="74" applyAlignment="1" pivotButton="0" quotePrefix="1" xfId="0">
      <alignment horizontal="center" vertical="center" wrapText="1" indent="1"/>
    </xf>
    <xf numFmtId="0" fontId="14" fillId="11" borderId="12" applyAlignment="1" pivotButton="0" quotePrefix="0" xfId="0">
      <alignment vertical="center"/>
    </xf>
    <xf numFmtId="164" fontId="14" fillId="11" borderId="12" applyAlignment="1" pivotButton="0" quotePrefix="0" xfId="3">
      <alignment horizontal="center" vertical="center"/>
    </xf>
    <xf numFmtId="0" fontId="0" fillId="11" borderId="12" applyAlignment="1" pivotButton="0" quotePrefix="1" xfId="0">
      <alignment horizontal="center" vertical="center" wrapText="1" indent="1"/>
    </xf>
    <xf numFmtId="10" fontId="14" fillId="11" borderId="12" applyAlignment="1" pivotButton="0" quotePrefix="0" xfId="0">
      <alignment horizontal="center" vertical="center"/>
    </xf>
    <xf numFmtId="0" fontId="14" fillId="12" borderId="12" applyAlignment="1" pivotButton="0" quotePrefix="0" xfId="0">
      <alignment vertical="center"/>
    </xf>
    <xf numFmtId="164" fontId="14" fillId="12" borderId="12" applyAlignment="1" pivotButton="0" quotePrefix="0" xfId="3">
      <alignment horizontal="center" vertical="center"/>
    </xf>
    <xf numFmtId="0" fontId="0" fillId="12" borderId="12" applyAlignment="1" pivotButton="0" quotePrefix="1" xfId="0">
      <alignment horizontal="center" vertical="center" wrapText="1" indent="1"/>
    </xf>
    <xf numFmtId="10" fontId="14" fillId="12" borderId="12" applyAlignment="1" pivotButton="0" quotePrefix="0" xfId="0">
      <alignment horizontal="center" vertical="center"/>
    </xf>
    <xf numFmtId="0" fontId="14" fillId="9" borderId="11" applyAlignment="1" pivotButton="0" quotePrefix="0" xfId="0">
      <alignment horizontal="left" vertical="center" wrapText="1"/>
    </xf>
    <xf numFmtId="164" fontId="14" fillId="9" borderId="13" applyAlignment="1" pivotButton="0" quotePrefix="0" xfId="3">
      <alignment horizontal="center" vertical="center"/>
    </xf>
    <xf numFmtId="0" fontId="14" fillId="9" borderId="13" applyAlignment="1" pivotButton="0" quotePrefix="0" xfId="3">
      <alignment horizontal="center" vertical="center"/>
    </xf>
    <xf numFmtId="10" fontId="14" fillId="9" borderId="13" applyAlignment="1" pivotButton="0" quotePrefix="0" xfId="0">
      <alignment horizontal="center" vertical="center"/>
    </xf>
    <xf numFmtId="0" fontId="14" fillId="12" borderId="34" applyAlignment="1" pivotButton="0" quotePrefix="0" xfId="0">
      <alignment vertical="center"/>
    </xf>
    <xf numFmtId="0" fontId="0" fillId="12" borderId="34" applyAlignment="1" pivotButton="0" quotePrefix="1" xfId="0">
      <alignment horizontal="center" vertical="center" wrapText="1" indent="1"/>
    </xf>
    <xf numFmtId="10" fontId="14" fillId="12" borderId="34" applyAlignment="1" pivotButton="0" quotePrefix="0" xfId="0">
      <alignment horizontal="center" vertical="center"/>
    </xf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5" borderId="5" pivotButton="0" quotePrefix="0" xfId="0"/>
    <xf numFmtId="0" fontId="25" fillId="5" borderId="0" applyAlignment="1" pivotButton="0" quotePrefix="0" xfId="0">
      <alignment horizontal="right"/>
    </xf>
    <xf numFmtId="0" fontId="22" fillId="5" borderId="5" pivotButton="0" quotePrefix="0" xfId="0"/>
    <xf numFmtId="0" fontId="0" fillId="0" borderId="10" pivotButton="0" quotePrefix="0" xfId="0"/>
    <xf numFmtId="0" fontId="26" fillId="5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0" fillId="5" borderId="19" pivotButton="0" quotePrefix="0" xfId="0"/>
    <xf numFmtId="0" fontId="0" fillId="5" borderId="45" pivotButton="0" quotePrefix="0" xfId="0"/>
    <xf numFmtId="0" fontId="0" fillId="5" borderId="20" pivotButton="0" quotePrefix="0" xfId="0"/>
    <xf numFmtId="14" fontId="0" fillId="0" borderId="0" pivotButton="0" quotePrefix="0" xfId="0"/>
    <xf numFmtId="0" fontId="1" fillId="0" borderId="0" pivotButton="0" quotePrefix="0" xfId="0"/>
    <xf numFmtId="0" fontId="6" fillId="20" borderId="12" applyAlignment="1" pivotButton="0" quotePrefix="0" xfId="0">
      <alignment horizontal="center" vertical="center"/>
    </xf>
    <xf numFmtId="0" fontId="6" fillId="8" borderId="12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/>
    </xf>
    <xf numFmtId="10" fontId="3" fillId="0" borderId="31" applyAlignment="1" pivotButton="0" quotePrefix="0" xfId="0">
      <alignment horizontal="center"/>
    </xf>
    <xf numFmtId="10" fontId="5" fillId="0" borderId="12" pivotButton="0" quotePrefix="0" xfId="2"/>
    <xf numFmtId="10" fontId="5" fillId="0" borderId="0" pivotButton="0" quotePrefix="0" xfId="2"/>
    <xf numFmtId="0" fontId="18" fillId="5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10" pivotButton="0" quotePrefix="0" xfId="0"/>
    <xf numFmtId="0" fontId="0" fillId="0" borderId="19" pivotButton="0" quotePrefix="0" xfId="0"/>
    <xf numFmtId="0" fontId="0" fillId="0" borderId="45" pivotButton="0" quotePrefix="0" xfId="0"/>
    <xf numFmtId="0" fontId="0" fillId="0" borderId="20" pivotButton="0" quotePrefix="0" xfId="0"/>
    <xf numFmtId="0" fontId="11" fillId="5" borderId="0" applyAlignment="1" pivotButton="0" quotePrefix="0" xfId="0">
      <alignment horizontal="left"/>
    </xf>
    <xf numFmtId="164" fontId="14" fillId="5" borderId="12" applyAlignment="1" pivotButton="0" quotePrefix="0" xfId="3">
      <alignment horizontal="center" vertical="center"/>
    </xf>
    <xf numFmtId="0" fontId="0" fillId="0" borderId="31" pivotButton="0" quotePrefix="0" xfId="0"/>
    <xf numFmtId="10" fontId="14" fillId="5" borderId="9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1" pivotButton="0" quotePrefix="0" xfId="0"/>
    <xf numFmtId="10" fontId="13" fillId="5" borderId="1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30" pivotButton="0" quotePrefix="0" xfId="0"/>
    <xf numFmtId="0" fontId="13" fillId="5" borderId="9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/>
    </xf>
    <xf numFmtId="0" fontId="0" fillId="0" borderId="59" pivotButton="0" quotePrefix="0" xfId="0"/>
    <xf numFmtId="10" fontId="14" fillId="5" borderId="17" applyAlignment="1" pivotButton="0" quotePrefix="0" xfId="0">
      <alignment horizontal="center" vertical="center"/>
    </xf>
    <xf numFmtId="0" fontId="14" fillId="5" borderId="12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/>
    </xf>
    <xf numFmtId="0" fontId="13" fillId="5" borderId="17" applyAlignment="1" pivotButton="0" quotePrefix="0" xfId="0">
      <alignment horizontal="center" vertical="center" wrapText="1"/>
    </xf>
    <xf numFmtId="10" fontId="14" fillId="5" borderId="26" applyAlignment="1" pivotButton="0" quotePrefix="0" xfId="2">
      <alignment horizontal="center" vertical="center"/>
    </xf>
    <xf numFmtId="0" fontId="0" fillId="0" borderId="32" pivotButton="0" quotePrefix="0" xfId="0"/>
    <xf numFmtId="10" fontId="13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22" fillId="5" borderId="68" applyAlignment="1" pivotButton="0" quotePrefix="0" xfId="0">
      <alignment horizontal="right" vertical="center"/>
    </xf>
    <xf numFmtId="0" fontId="0" fillId="0" borderId="68" pivotButton="0" quotePrefix="0" xfId="0"/>
    <xf numFmtId="10" fontId="14" fillId="5" borderId="26" applyAlignment="1" pivotButton="0" quotePrefix="0" xfId="0">
      <alignment horizontal="center" vertical="center"/>
    </xf>
    <xf numFmtId="10" fontId="23" fillId="10" borderId="2" applyAlignment="1" pivotButton="0" quotePrefix="0" xfId="0">
      <alignment horizontal="center" vertical="center"/>
    </xf>
    <xf numFmtId="0" fontId="23" fillId="13" borderId="33" applyAlignment="1" pivotButton="0" quotePrefix="0" xfId="0">
      <alignment horizontal="center" vertical="center"/>
    </xf>
    <xf numFmtId="0" fontId="0" fillId="0" borderId="76" pivotButton="0" quotePrefix="0" xfId="0"/>
    <xf numFmtId="0" fontId="24" fillId="5" borderId="25" applyAlignment="1" pivotButton="0" quotePrefix="0" xfId="0">
      <alignment horizontal="center"/>
    </xf>
    <xf numFmtId="10" fontId="14" fillId="5" borderId="77" applyAlignment="1" pivotButton="0" quotePrefix="0" xfId="0">
      <alignment horizontal="center" vertical="center"/>
    </xf>
    <xf numFmtId="0" fontId="0" fillId="0" borderId="75" pivotButton="0" quotePrefix="0" xfId="0"/>
    <xf numFmtId="0" fontId="0" fillId="0" borderId="38" pivotButton="0" quotePrefix="0" xfId="0"/>
    <xf numFmtId="0" fontId="8" fillId="14" borderId="9" applyAlignment="1" pivotButton="0" quotePrefix="0" xfId="0">
      <alignment horizontal="center"/>
    </xf>
    <xf numFmtId="10" fontId="14" fillId="5" borderId="24" applyAlignment="1" pivotButton="0" quotePrefix="0" xfId="0">
      <alignment horizontal="center" vertical="center"/>
    </xf>
    <xf numFmtId="0" fontId="23" fillId="15" borderId="9" applyAlignment="1" pivotButton="0" quotePrefix="0" xfId="0">
      <alignment horizontal="center" vertical="center"/>
    </xf>
    <xf numFmtId="0" fontId="23" fillId="17" borderId="11" applyAlignment="1" pivotButton="0" quotePrefix="0" xfId="0">
      <alignment horizontal="center" vertical="center" wrapText="1"/>
    </xf>
    <xf numFmtId="0" fontId="22" fillId="5" borderId="5" applyAlignment="1" pivotButton="0" quotePrefix="0" xfId="0">
      <alignment horizontal="right" vertical="center"/>
    </xf>
  </cellXfs>
  <cellStyles count="6">
    <cellStyle name="Normal" xfId="0" builtinId="0"/>
    <cellStyle name="Normal 2" xfId="1"/>
    <cellStyle name="Pourcentage" xfId="2" builtinId="5"/>
    <cellStyle name="Milliers 2" xfId="3"/>
    <cellStyle name="Pourcentage 2" xfId="4"/>
    <cellStyle name="Normal 3" xfId="5"/>
  </cellStyles>
  <dxfs count="1"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pivotCacheDefinition" Target="/xl/pivotCache/pivotCacheDefinition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24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400"/>
              <a:t>SUIVI MENSUEL APPORT</a:t>
            </a:r>
          </a:p>
        </rich>
      </tx>
      <layout>
        <manualLayout>
          <xMode val="edge"/>
          <yMode val="edge"/>
          <wMode val="factor"/>
          <hMode val="factor"/>
          <x val="0.3739578232720532"/>
          <y val="0.0281842553651340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1641791044776119"/>
          <y val="0.1453481894150418"/>
          <w val="0.9671641791044776"/>
          <h val="0.7054729892746694"/>
        </manualLayout>
      </layout>
      <lineChart>
        <grouping val="standard"/>
        <varyColors val="0"/>
        <ser>
          <idx val="0"/>
          <order val="0"/>
          <spPr>
            <a:ln w="317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17"/>
            <spPr>
              <a:solidFill>
                <a:schemeClr val="accent1"/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TCD!$H$2:$H$13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TCD!$I$2:$I$13</f>
              <numCache>
                <formatCode>0%</formatCode>
                <ptCount val="12"/>
                <pt idx="0">
                  <v>0</v>
                </pt>
                <pt idx="1">
                  <v>0.8860750326731215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spPr>
            <a:ln w="317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17"/>
            <spPr>
              <a:solidFill>
                <a:schemeClr val="accent2"/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TCD!$H$2:$H$13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TCD!$J$2:$J$13</f>
              <numCache>
                <formatCode>0%</formatCode>
                <ptCount val="12"/>
                <pt idx="0">
                  <v>0</v>
                </pt>
                <pt idx="1">
                  <v>0.1139249673268785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-2090573216"/>
        <axId val="-2090580832"/>
      </lineChart>
      <catAx>
        <axId val="-20905732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6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-2090580832"/>
        <crosses val="autoZero"/>
        <auto val="1"/>
        <lblAlgn val="ctr"/>
        <lblOffset val="100"/>
        <noMultiLvlLbl val="0"/>
      </catAx>
      <valAx>
        <axId val="-2090580832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crossAx val="-2090573216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MOYENNE MATIERE APPORT</a:t>
            </a:r>
            <a:endParaRPr lang="en-US" sz="2400" baseline="0"/>
          </a:p>
        </rich>
      </tx>
      <layout>
        <manualLayout>
          <xMode val="edge"/>
          <yMode val="edge"/>
          <wMode val="factor"/>
          <hMode val="factor"/>
          <x val="0.3716274803149606"/>
          <y val="0.03865546218487395"/>
        </manualLayout>
      </layout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MOYENNE MATIERE APPORT</v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dLbl>
              <idx val="1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fr-F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SAISIE!$CF$5:$CF$35</f>
              <strCache>
                <ptCount val="31"/>
                <pt idx="0">
                  <v>CARTON</v>
                </pt>
                <pt idx="1">
                  <v>CARTONNETTE</v>
                </pt>
                <pt idx="2">
                  <v xml:space="preserve">ECRIT COULEUR </v>
                </pt>
                <pt idx="3">
                  <v>JRM</v>
                </pt>
                <pt idx="4">
                  <v>GM</v>
                </pt>
                <pt idx="5">
                  <v>ELA</v>
                </pt>
                <pt idx="6">
                  <v>PEPP</v>
                </pt>
                <pt idx="7">
                  <v>PET Q9</v>
                </pt>
                <pt idx="8">
                  <v>PET Q5</v>
                </pt>
                <pt idx="9">
                  <v>PET B</v>
                </pt>
                <pt idx="10">
                  <v>FILM</v>
                </pt>
                <pt idx="11">
                  <v>ACIER</v>
                </pt>
                <pt idx="12">
                  <v>ALU</v>
                </pt>
                <pt idx="13">
                  <v>PETIT ALU</v>
                </pt>
                <pt idx="14">
                  <v>PB REFUSES</v>
                </pt>
                <pt idx="15">
                  <v>FILM REFUSES</v>
                </pt>
                <pt idx="16">
                  <v>EMBALLAGES NOIRS</v>
                </pt>
                <pt idx="17">
                  <v>AUTES EMBALLAGES NON RECYCLABES</v>
                </pt>
                <pt idx="18">
                  <v>BOIS</v>
                </pt>
                <pt idx="19">
                  <v>VERRE</v>
                </pt>
                <pt idx="20">
                  <v>DDS</v>
                </pt>
                <pt idx="21">
                  <v>D3E</v>
                </pt>
                <pt idx="22">
                  <v>IMBRIQUES</v>
                </pt>
                <pt idx="23">
                  <v>PLASTIQUES NON EMBALLAGES</v>
                </pt>
                <pt idx="24">
                  <v>FERRAILLES</v>
                </pt>
                <pt idx="25">
                  <v>GRAVATS</v>
                </pt>
                <pt idx="26">
                  <v>TEXTILE</v>
                </pt>
                <pt idx="27">
                  <v>EMBALLAGES NON VIDES / SOUILL2S</v>
                </pt>
                <pt idx="28">
                  <v>REFUS</v>
                </pt>
                <pt idx="29">
                  <v>PAPIER MOUILLE</v>
                </pt>
                <pt idx="30">
                  <v>FINES</v>
                </pt>
              </strCache>
            </strRef>
          </cat>
          <val>
            <numRef>
              <f>SAISIE!$CG$5:$CG$35</f>
              <numCache>
                <formatCode>0.00%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-2090569408"/>
        <axId val="-2090581920"/>
      </barChart>
      <catAx>
        <axId val="-20905694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-2090581920"/>
        <crosses val="autoZero"/>
        <auto val="1"/>
        <lblAlgn val="ctr"/>
        <lblOffset val="100"/>
        <noMultiLvlLbl val="0"/>
      </catAx>
      <valAx>
        <axId val="-2090581920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crossAx val="-2090569408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140434</colOff>
      <row>0</row>
      <rowOff>102889</rowOff>
    </from>
    <to>
      <col>25</col>
      <colOff>607390</colOff>
      <row>35</row>
      <rowOff>165653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126693</colOff>
      <row>36</row>
      <rowOff>143014</rowOff>
    </from>
    <to>
      <col>25</col>
      <colOff>648804</colOff>
      <row>68</row>
      <rowOff>69022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scar De Haut de Sigy" refreshedDate="46028.66829456019" createdVersion="5" refreshedVersion="8" minRefreshableVersion="3" recordCount="240" r:id="rId1">
  <cacheSource type="worksheet">
    <worksheetSource ref="B1:BG1048576" sheet="SAISIE"/>
  </cacheSource>
  <cacheFields count="49">
    <cacheField name="Provenance" uniqueList="1" numFmtId="0" sqlType="0" hierarchy="0" level="0" databaseField="1">
      <sharedItems count="0" containsBlank="1"/>
    </cacheField>
    <cacheField name="Date" uniqueList="1" numFmtId="0" sqlType="0" hierarchy="0" level="0" databaseField="1">
      <sharedItems count="3" containsBlank="1" containsDate="1" containsNonDate="0" containsString="0" minDate="2026-01-06T00:00:00" maxDate="2026-02-16T00:00:00">
        <d v="2026-01-06T00:00:00"/>
        <d v="2026-02-15T00:00:00"/>
        <m/>
      </sharedItems>
      <fieldGroup par="48" base="1">
        <rangePr autoStart="1" autoEnd="1" groupBy="days" startDate="2026-01-06T00:00:00" endDate="2026-02-16T00:00:00" groupInterval="1"/>
        <groupItems count="368">
          <s v="(vide)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16/02/2026"/>
        </groupItems>
      </fieldGroup>
    </cacheField>
    <cacheField name="JRM" uniqueList="1" numFmtId="0" sqlType="0" hierarchy="0" level="0" databaseField="1">
      <sharedItems count="0" containsBlank="1" containsNumber="1" containsString="0" minValue="0.2" maxValue="2"/>
    </cacheField>
    <cacheField name="2.06" uniqueList="1" numFmtId="0" sqlType="0" hierarchy="0" level="0" databaseField="1">
      <sharedItems count="0" containsBlank="1" containsNumber="1" containsString="0" minValue="0.3" maxValue="23"/>
    </cacheField>
    <cacheField name="EMR" uniqueList="1" numFmtId="0" sqlType="0" hierarchy="0" level="0" databaseField="1">
      <sharedItems count="0" containsBlank="1" containsNumber="1" containsString="0" minValue="0.01" maxValue="6"/>
    </cacheField>
    <cacheField name="1.05" uniqueList="1" numFmtId="0" sqlType="0" hierarchy="0" level="0" databaseField="1">
      <sharedItems count="0" containsBlank="1" containsNumber="1" containsString="0" minValue="0.001" maxValue="12"/>
    </cacheField>
    <cacheField name="GM" uniqueList="1" numFmtId="0" sqlType="0" hierarchy="0" level="0" databaseField="1">
      <sharedItems count="0" containsBlank="1" containsNumber="1" containsString="0" minValue="0.2" maxValue="8"/>
    </cacheField>
    <cacheField name="PET Q4" uniqueList="1" numFmtId="0" sqlType="0" hierarchy="0" level="0" databaseField="1">
      <sharedItems count="0" containsBlank="1" containsNumber="1" containsString="0" minValue="0" maxValue="88"/>
    </cacheField>
    <cacheField name="PET Q5" uniqueList="1" numFmtId="0" sqlType="0" hierarchy="0" level="0" databaseField="1">
      <sharedItems count="0" containsBlank="1" containsNumber="1" containsString="0" minValue="0.6" maxValue="4"/>
    </cacheField>
    <cacheField name="PET O" uniqueList="1" numFmtId="0" sqlType="0" hierarchy="0" level="0" databaseField="1">
      <sharedItems count="0" containsBlank="1" containsNumber="1" containsString="0" minValue="0" maxValue="3"/>
    </cacheField>
    <cacheField name="PET B" uniqueList="1" numFmtId="0" sqlType="0" hierarchy="0" level="0" databaseField="1">
      <sharedItems count="0" containsBlank="1" containsNumber="1" containsString="0" minValue="0.1" maxValue="1"/>
    </cacheField>
    <cacheField name="PS" uniqueList="1" numFmtId="0" sqlType="0" hierarchy="0" level="0" databaseField="1">
      <sharedItems count="0" containsBlank="1" containsNumber="1" containsString="0" minValue="0" maxValue="2"/>
    </cacheField>
    <cacheField name="PEHD" uniqueList="1" numFmtId="0" sqlType="0" hierarchy="0" level="0" databaseField="1">
      <sharedItems count="0" containsBlank="1" containsNumber="1" containsString="0" minValue="0.1" maxValue="8"/>
    </cacheField>
    <cacheField name="PP" uniqueList="1" numFmtId="0" sqlType="0" hierarchy="0" level="0" databaseField="1">
      <sharedItems count="0" containsBlank="1" containsNumber="1" containsString="0" minValue="0.1" maxValue="5"/>
    </cacheField>
    <cacheField name="ELA" uniqueList="1" numFmtId="0" sqlType="0" hierarchy="0" level="0" databaseField="1">
      <sharedItems count="0" containsBlank="1" containsNumber="1" containsString="0" minValue="0.1" maxValue="6"/>
    </cacheField>
    <cacheField name="Films PE" uniqueList="1" numFmtId="0" sqlType="0" hierarchy="0" level="0" databaseField="1">
      <sharedItems count="0" containsBlank="1" containsNumber="1" containsString="0" minValue="0.1" maxValue="9"/>
    </cacheField>
    <cacheField name="ACIER" uniqueList="1" numFmtId="0" sqlType="0" hierarchy="0" level="0" databaseField="1">
      <sharedItems count="0" containsBlank="1" containsInteger="1" containsNumber="1" containsString="0" minValue="0" maxValue="25"/>
    </cacheField>
    <cacheField name="Petit ALU" uniqueList="1" numFmtId="0" sqlType="0" hierarchy="0" level="0" databaseField="1">
      <sharedItems count="0" containsBlank="1" containsNumber="1" containsString="0" minValue="0.2" maxValue="7"/>
    </cacheField>
    <cacheField name="ALU" uniqueList="1" numFmtId="0" sqlType="0" hierarchy="0" level="0" databaseField="1">
      <sharedItems count="0" containsBlank="1" containsNumber="1" containsString="0" minValue="0.1" maxValue="2"/>
    </cacheField>
    <cacheField name="Refus" uniqueList="1" numFmtId="0" sqlType="0" hierarchy="0" level="0" databaseField="1">
      <sharedItems count="0" containsBlank="1" containsInteger="1" containsNumber="1" containsString="0" minValue="2" maxValue="10"/>
    </cacheField>
    <cacheField name="Total (kg)" uniqueList="1" numFmtId="0" sqlType="0" hierarchy="0" level="0" databaseField="1">
      <sharedItems count="0" containsBlank="1" containsNumber="1" containsString="0" minValue="0" maxValue="185"/>
    </cacheField>
    <cacheField name="Taux de valorisable" uniqueList="1" numFmtId="0" sqlType="0" hierarchy="0" level="0" databaseField="1">
      <sharedItems count="0" containsBlank="1" containsMixedTypes="1" containsNumber="1" minValue="0.7348253825143858" maxValue="0.9891891891891892"/>
    </cacheField>
    <cacheField name="Taux de fibreux" uniqueList="1" numFmtId="0" sqlType="0" hierarchy="0" level="0" databaseField="1">
      <sharedItems count="0" containsBlank="1" containsMixedTypes="1" containsNumber="1" minValue="0.01885391530322718" maxValue="0.4342105263157895"/>
    </cacheField>
    <cacheField name="Taux de refus" uniqueList="1" numFmtId="0" sqlType="0" hierarchy="0" level="0" databaseField="1">
      <sharedItems count="0" containsBlank="1" containsMixedTypes="1" containsNumber="1" minValue="0.01081081081081081" maxValue="0.2651746174856143"/>
    </cacheField>
    <cacheField name="Commentaire" uniqueList="1" numFmtId="0" sqlType="0" hierarchy="0" level="0" databaseField="1">
      <sharedItems count="0" containsBlank="1" containsNonDate="0" containsString="0"/>
    </cacheField>
    <cacheField name="Année" uniqueList="1" numFmtId="0" sqlType="0" hierarchy="0" level="0" databaseField="1">
      <sharedItems count="0" containsBlank="1" containsInteger="1" containsNumber="1" containsString="0" minValue="1900" maxValue="2026"/>
    </cacheField>
    <cacheField name="Mois" uniqueList="1" numFmtId="0" sqlType="0" hierarchy="0" level="0" databaseField="1">
      <sharedItems count="13" containsBlank="1" containsInteger="1" containsNumber="1" containsString="0" minValue="1" maxValue="12">
        <n v="1"/>
        <n v="2"/>
        <m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Semaine" uniqueList="1" numFmtId="0" sqlType="0" hierarchy="0" level="0" databaseField="1">
      <sharedItems count="0" containsBlank="1" containsInteger="1" containsNumber="1" containsString="0" minValue="1" maxValue="7"/>
    </cacheField>
    <cacheField name="JRM2" uniqueList="1" numFmtId="0" sqlType="0" hierarchy="0" level="0" databaseField="1">
      <sharedItems count="0" containsBlank="1" containsMixedTypes="1" containsNumber="1" minValue="0.005303492349712286" maxValue="0.02631578947368421"/>
    </cacheField>
    <cacheField name="2.05" uniqueList="1" numFmtId="0" sqlType="0" hierarchy="0" level="0" databaseField="1">
      <sharedItems count="0" containsBlank="1" containsMixedTypes="1" containsNumber="1" minValue="0.007955238524568429" maxValue="0.3026315789473684"/>
    </cacheField>
    <cacheField name="EMR2" uniqueList="1" numFmtId="0" sqlType="0" hierarchy="0" level="0" databaseField="1">
      <sharedItems count="0" containsBlank="1" containsMixedTypes="1" containsNumber="1" minValue="0.0002651746174856143" maxValue="0.03243243243243243"/>
    </cacheField>
    <cacheField name="GM2" uniqueList="1" numFmtId="0" sqlType="0" hierarchy="0" level="0" databaseField="1">
      <sharedItems count="0" containsBlank="1" containsMixedTypes="1" containsNumber="1" minValue="0.005303492349712286" maxValue="0.06578947368421052"/>
    </cacheField>
    <cacheField name="PET Q42" uniqueList="1" numFmtId="0" sqlType="0" hierarchy="0" level="0" databaseField="1">
      <sharedItems count="0" containsBlank="1" containsMixedTypes="1" containsNumber="1" minValue="0" maxValue="0.4756756756756757"/>
    </cacheField>
    <cacheField name="PET Q52" uniqueList="1" numFmtId="0" sqlType="0" hierarchy="0" level="0" databaseField="1">
      <sharedItems count="0" containsBlank="1" containsMixedTypes="1" containsNumber="1" minValue="0.0131578947368421" maxValue="0.02162162162162162"/>
    </cacheField>
    <cacheField name="PET O2" uniqueList="1" numFmtId="0" sqlType="0" hierarchy="0" level="0" databaseField="1">
      <sharedItems count="0" containsBlank="1" containsMixedTypes="1" containsNumber="1" minValue="0" maxValue="0.03947368421052631"/>
    </cacheField>
    <cacheField name="PET B2" uniqueList="1" numFmtId="0" sqlType="0" hierarchy="0" level="0" databaseField="1">
      <sharedItems count="0" containsBlank="1" containsMixedTypes="1" containsNumber="1" minValue="0.002651746174856143" maxValue="0.0131578947368421"/>
    </cacheField>
    <cacheField name="PS2" uniqueList="1" numFmtId="0" sqlType="0" hierarchy="0" level="0" databaseField="1">
      <sharedItems count="0" containsBlank="1" containsMixedTypes="1" containsNumber="1" minValue="0" maxValue="0.02631578947368421"/>
    </cacheField>
    <cacheField name="PEHD2" uniqueList="1" numFmtId="0" sqlType="0" hierarchy="0" level="0" databaseField="1">
      <sharedItems count="0" containsBlank="1" containsMixedTypes="1" containsNumber="1" minValue="0.002651746174856143" maxValue="0.1052631578947368"/>
    </cacheField>
    <cacheField name="PP2" uniqueList="1" numFmtId="0" sqlType="0" hierarchy="0" level="0" databaseField="1">
      <sharedItems count="0" containsBlank="1" containsMixedTypes="1" containsNumber="1" minValue="0.002651746174856143" maxValue="0.05263157894736842"/>
    </cacheField>
    <cacheField name="ELA2" uniqueList="1" numFmtId="0" sqlType="0" hierarchy="0" level="0" databaseField="1">
      <sharedItems count="0" containsBlank="1" containsMixedTypes="1" containsNumber="1" minValue="0.002651746174856143" maxValue="0.07894736842105263"/>
    </cacheField>
    <cacheField name="Films PE2" uniqueList="1" numFmtId="0" sqlType="0" hierarchy="0" level="0" databaseField="1">
      <sharedItems count="0" containsBlank="1" containsMixedTypes="1" containsNumber="1" minValue="0.002651746174856143" maxValue="0.1184210526315789"/>
    </cacheField>
    <cacheField name="ACIER2" uniqueList="1" numFmtId="0" sqlType="0" hierarchy="0" level="0" databaseField="1">
      <sharedItems count="0" containsBlank="1" containsMixedTypes="1" containsNumber="1" minValue="0" maxValue="0.6629365437140358"/>
    </cacheField>
    <cacheField name="Petit ALU2" uniqueList="1" numFmtId="0" sqlType="0" hierarchy="0" level="0" databaseField="1">
      <sharedItems count="0" containsBlank="1" containsMixedTypes="1" containsNumber="1" minValue="0.005303492349712286" maxValue="0.03783783783783784"/>
    </cacheField>
    <cacheField name="ALU2" uniqueList="1" numFmtId="0" sqlType="0" hierarchy="0" level="0" databaseField="1">
      <sharedItems count="0" containsBlank="1" containsMixedTypes="1" containsNumber="1" minValue="0.002651746174856143" maxValue="0.02631578947368421"/>
    </cacheField>
    <cacheField name="Refus2" uniqueList="1" numFmtId="0" sqlType="0" hierarchy="0" level="0" databaseField="1">
      <sharedItems count="0" containsBlank="1" containsMixedTypes="1" containsNumber="1" minValue="0.01081081081081081" maxValue="0.2651746174856143"/>
    </cacheField>
    <cacheField name="Taux Valorisable" uniqueList="1" numFmtId="0" sqlType="0" hierarchy="0" level="0" databaseField="1">
      <sharedItems count="0" containsBlank="1" containsNumber="1" containsString="0" minValue="0" maxValue="0.9243243243243243"/>
    </cacheField>
    <cacheField name="Taux Refus " uniqueList="1" numFmtId="0" sqlType="0" hierarchy="0" level="0" databaseField="1">
      <sharedItems count="0" containsBlank="1" containsNumber="1" containsString="0" minValue="0" maxValue="0.2651746174856143"/>
    </cacheField>
    <cacheField name="Taux Fibreux " uniqueList="1" numFmtId="0" sqlType="0" hierarchy="0" level="0" databaseField="1">
      <sharedItems count="0" containsBlank="1" containsNumber="1" containsString="0" minValue="0" maxValue="0.4210526315789473"/>
    </cacheField>
    <cacheField name="Mois2" uniqueList="1" numFmtId="0" sqlType="0" hierarchy="0" level="0" databaseField="0">
      <fieldGroup base="1">
        <rangePr autoStart="1" autoEnd="1" groupBy="months" startDate="2026-01-06T00:00:00" endDate="2026-02-16T00:00:00" groupInterval="1"/>
        <groupItems count="14">
          <s v="&lt;06/01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6/02/2026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240">
  <r>
    <s v="SYTOM"/>
    <x v="0"/>
    <n v="0.2"/>
    <n v="0.3"/>
    <n v="0.01"/>
    <n v="0.001"/>
    <n v="0.2"/>
    <n v="0.3"/>
    <n v="0.6"/>
    <n v="0.2"/>
    <n v="0.1"/>
    <n v="0.1"/>
    <n v="0.1"/>
    <n v="0.1"/>
    <n v="0.1"/>
    <n v="0.1"/>
    <n v="25"/>
    <n v="0.2"/>
    <n v="0.1"/>
    <n v="10"/>
    <n v="37.711"/>
    <n v="0.7348253825143858"/>
    <n v="0.01885391530322718"/>
    <n v="0.2651746174856143"/>
    <m/>
    <n v="2026"/>
    <x v="0"/>
    <n v="2"/>
    <n v="0.005303492349712286"/>
    <n v="0.007955238524568429"/>
    <n v="0.0002651746174856143"/>
    <n v="0.005303492349712286"/>
    <n v="0.007955238524568429"/>
    <n v="0.01591047704913686"/>
    <n v="0.005303492349712286"/>
    <n v="0.002651746174856143"/>
    <n v="0.002651746174856143"/>
    <n v="0.002651746174856143"/>
    <n v="0.002651746174856143"/>
    <n v="0.002651746174856143"/>
    <n v="0.002651746174856143"/>
    <n v="0.6629365437140358"/>
    <n v="0.005303492349712286"/>
    <n v="0.002651746174856143"/>
    <n v="0.2651746174856143"/>
    <n v="0.7347988650526373"/>
    <n v="0.2651746174856143"/>
    <n v="0.01882739784147862"/>
  </r>
  <r>
    <s v="SYTOM"/>
    <x v="0"/>
    <n v="2"/>
    <n v="23"/>
    <n v="2"/>
    <n v="1"/>
    <n v="5"/>
    <n v="0"/>
    <n v="1"/>
    <n v="3"/>
    <n v="1"/>
    <n v="2"/>
    <n v="8"/>
    <n v="4"/>
    <n v="6"/>
    <n v="9"/>
    <n v="0"/>
    <n v="2"/>
    <n v="2"/>
    <n v="5"/>
    <n v="76"/>
    <n v="0.9342105263157895"/>
    <n v="0.4342105263157895"/>
    <n v="0.06578947368421052"/>
    <m/>
    <n v="2026"/>
    <x v="0"/>
    <n v="2"/>
    <n v="0.02631578947368421"/>
    <n v="0.3026315789473684"/>
    <n v="0.02631578947368421"/>
    <n v="0.06578947368421052"/>
    <n v="0"/>
    <n v="0.0131578947368421"/>
    <n v="0.03947368421052631"/>
    <n v="0.0131578947368421"/>
    <n v="0.02631578947368421"/>
    <n v="0.1052631578947368"/>
    <n v="0.05263157894736842"/>
    <n v="0.07894736842105263"/>
    <n v="0.1184210526315789"/>
    <n v="0"/>
    <n v="0.02631578947368421"/>
    <n v="0.02631578947368421"/>
    <n v="0.06578947368421052"/>
    <n v="0.9210526315789473"/>
    <n v="0.06578947368421052"/>
    <n v="0.4210526315789473"/>
  </r>
  <r>
    <s v="SYCTOM"/>
    <x v="0"/>
    <n v="2"/>
    <n v="4"/>
    <n v="6"/>
    <n v="12"/>
    <n v="8"/>
    <n v="88"/>
    <n v="4"/>
    <n v="0"/>
    <n v="1"/>
    <n v="0"/>
    <n v="6"/>
    <n v="5"/>
    <n v="4"/>
    <n v="9"/>
    <n v="25"/>
    <n v="7"/>
    <n v="2"/>
    <n v="2"/>
    <n v="185"/>
    <n v="0.9891891891891892"/>
    <n v="0.172972972972973"/>
    <n v="0.01081081081081081"/>
    <m/>
    <n v="2026"/>
    <x v="0"/>
    <n v="2"/>
    <n v="0.01081081081081081"/>
    <n v="0.02162162162162162"/>
    <n v="0.03243243243243243"/>
    <n v="0.04324324324324325"/>
    <n v="0.4756756756756757"/>
    <n v="0.02162162162162162"/>
    <n v="0"/>
    <n v="0.005405405405405406"/>
    <n v="0"/>
    <n v="0.03243243243243243"/>
    <n v="0.02702702702702703"/>
    <n v="0.02162162162162162"/>
    <n v="0.04864864864864865"/>
    <n v="0.1351351351351351"/>
    <n v="0.03783783783783784"/>
    <n v="0.01081081081081081"/>
    <n v="0.01081081081081081"/>
    <n v="0.9243243243243243"/>
    <n v="0.01081081081081081"/>
    <n v="0.1081081081081081"/>
  </r>
  <r>
    <s v="SYCTOM"/>
    <x v="1"/>
    <n v="0.2"/>
    <n v="0.3"/>
    <n v="0.01"/>
    <n v="0.001"/>
    <n v="0.2"/>
    <n v="0.3"/>
    <n v="0.6"/>
    <n v="0.2"/>
    <n v="0.1"/>
    <n v="0.1"/>
    <n v="0.1"/>
    <n v="0.1"/>
    <n v="0.1"/>
    <n v="0.1"/>
    <n v="25"/>
    <n v="0.2"/>
    <n v="0.1"/>
    <n v="10"/>
    <n v="37.711"/>
    <n v="0.7348253825143858"/>
    <n v="0.01885391530322718"/>
    <n v="0.2651746174856143"/>
    <m/>
    <n v="2026"/>
    <x v="1"/>
    <n v="7"/>
    <n v="0.005303492349712286"/>
    <n v="0.007955238524568429"/>
    <n v="0.0002651746174856143"/>
    <n v="0.005303492349712286"/>
    <n v="0.007955238524568429"/>
    <n v="0.01591047704913686"/>
    <n v="0.005303492349712286"/>
    <n v="0.002651746174856143"/>
    <n v="0.002651746174856143"/>
    <n v="0.002651746174856143"/>
    <n v="0.002651746174856143"/>
    <n v="0.002651746174856143"/>
    <n v="0.002651746174856143"/>
    <n v="0.6629365437140358"/>
    <n v="0.005303492349712286"/>
    <n v="0.002651746174856143"/>
    <n v="0.2651746174856143"/>
    <n v="0.7347988650526373"/>
    <n v="0.2651746174856143"/>
    <n v="0.01882739784147862"/>
  </r>
  <r>
    <s v="SYCTOM"/>
    <x v="1"/>
    <n v="2"/>
    <n v="23"/>
    <n v="2"/>
    <n v="1"/>
    <n v="5"/>
    <n v="0"/>
    <n v="1"/>
    <n v="3"/>
    <n v="1"/>
    <n v="2"/>
    <n v="8"/>
    <n v="4"/>
    <n v="6"/>
    <n v="9"/>
    <n v="0"/>
    <n v="2"/>
    <n v="2"/>
    <n v="5"/>
    <n v="76"/>
    <n v="0.9342105263157895"/>
    <n v="0.4342105263157895"/>
    <n v="0.06578947368421052"/>
    <m/>
    <n v="2026"/>
    <x v="1"/>
    <n v="7"/>
    <n v="0.02631578947368421"/>
    <n v="0.3026315789473684"/>
    <n v="0.02631578947368421"/>
    <n v="0.06578947368421052"/>
    <n v="0"/>
    <n v="0.0131578947368421"/>
    <n v="0.03947368421052631"/>
    <n v="0.0131578947368421"/>
    <n v="0.02631578947368421"/>
    <n v="0.1052631578947368"/>
    <n v="0.05263157894736842"/>
    <n v="0.07894736842105263"/>
    <n v="0.1184210526315789"/>
    <n v="0"/>
    <n v="0.02631578947368421"/>
    <n v="0.02631578947368421"/>
    <n v="0.06578947368421052"/>
    <n v="0.9210526315789473"/>
    <n v="0.06578947368421052"/>
    <n v="0.4210526315789473"/>
  </r>
  <r>
    <s v="SYCTOM"/>
    <x v="1"/>
    <n v="2"/>
    <n v="4"/>
    <n v="6"/>
    <n v="12"/>
    <n v="8"/>
    <n v="88"/>
    <n v="4"/>
    <n v="0"/>
    <n v="1"/>
    <n v="0"/>
    <n v="6"/>
    <n v="5"/>
    <n v="4"/>
    <n v="9"/>
    <n v="25"/>
    <n v="7"/>
    <n v="2"/>
    <n v="2"/>
    <n v="185"/>
    <n v="0.9891891891891892"/>
    <n v="0.172972972972973"/>
    <n v="0.01081081081081081"/>
    <m/>
    <n v="2026"/>
    <x v="1"/>
    <n v="7"/>
    <n v="0.01081081081081081"/>
    <n v="0.02162162162162162"/>
    <n v="0.03243243243243243"/>
    <n v="0.04324324324324325"/>
    <n v="0.4756756756756757"/>
    <n v="0.02162162162162162"/>
    <n v="0"/>
    <n v="0.005405405405405406"/>
    <n v="0"/>
    <n v="0.03243243243243243"/>
    <n v="0.02702702702702703"/>
    <n v="0.02162162162162162"/>
    <n v="0.04864864864864865"/>
    <n v="0.1351351351351351"/>
    <n v="0.03783783783783784"/>
    <n v="0.01081081081081081"/>
    <n v="0.01081081081081081"/>
    <n v="0.9243243243243243"/>
    <n v="0.01081081081081081"/>
    <n v="0.1081081081081081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2021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n v="0"/>
    <e v="#DIV/0!"/>
    <e v="#DIV/0!"/>
    <e v="#DIV/0!"/>
    <m/>
    <n v="1900"/>
    <x v="0"/>
    <n v="1"/>
    <s v=""/>
    <s v=""/>
    <s v=""/>
    <s v=""/>
    <s v=""/>
    <s v=""/>
    <s v=""/>
    <s v=""/>
    <s v=""/>
    <s v=""/>
    <s v=""/>
    <s v=""/>
    <s v=""/>
    <s v=""/>
    <s v=""/>
    <s v=""/>
    <s v=""/>
    <n v="0"/>
    <n v="0"/>
    <n v="0"/>
  </r>
  <r>
    <m/>
    <x v="2"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A3:C7" firstHeaderRow="0" firstDataRow="1" firstDataCol="1"/>
  <pivotFields count="4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0"/>
        <item t="data" sd="1" x="1"/>
        <item t="data" sd="1" m="1" x="3"/>
        <item t="data" sd="1" x="2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</pivotFields>
  <rowFields count="1">
    <field x="26"/>
  </rowFields>
  <rowItems count="4">
    <i t="data" r="0" i="0">
      <x v="0"/>
    </i>
    <i t="data" r="0" i="0">
      <x v="1"/>
    </i>
    <i t="data" r="0" i="0">
      <x v="3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Moyenne de Taux de valorisable" fld="21" subtotal="average" showDataAs="normal" baseField="0" baseItem="0"/>
    <dataField name="Moyenne de Taux de refus" fld="23" subtotal="average" showDataAs="normal" baseField="0" baseItem="0"/>
  </dataFields>
  <chartFormats count="2">
    <chartFormat chart="1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" displayName="Tableau1" ref="A3:AV6" headerRowCount="1" totalsRowShown="0">
  <autoFilter ref="A3:AV6"/>
  <tableColumns count="48">
    <tableColumn id="1" name="Provenance"/>
    <tableColumn id="2" name="Date" dataDxfId="0"/>
    <tableColumn id="3" name="JRM"/>
    <tableColumn id="4" name="2.06"/>
    <tableColumn id="5" name="EMR"/>
    <tableColumn id="6" name="1.05"/>
    <tableColumn id="7" name="GM"/>
    <tableColumn id="8" name="PET Q4"/>
    <tableColumn id="9" name="PET Q5"/>
    <tableColumn id="10" name="PET O"/>
    <tableColumn id="11" name="PET B"/>
    <tableColumn id="12" name="PS"/>
    <tableColumn id="13" name="PEHD"/>
    <tableColumn id="14" name="PP"/>
    <tableColumn id="15" name="ELA"/>
    <tableColumn id="16" name="Films PE"/>
    <tableColumn id="17" name="ACIER"/>
    <tableColumn id="18" name="Petit ALU"/>
    <tableColumn id="19" name="ALU"/>
    <tableColumn id="20" name="Refus"/>
    <tableColumn id="21" name="Total (kg)"/>
    <tableColumn id="22" name="Taux de valorisable"/>
    <tableColumn id="23" name="Taux de fibreux"/>
    <tableColumn id="24" name="Taux de refus"/>
    <tableColumn id="25" name="Commentaire"/>
    <tableColumn id="26" name="Année"/>
    <tableColumn id="27" name="Mois"/>
    <tableColumn id="28" name="Semaine"/>
    <tableColumn id="29" name="JRM2"/>
    <tableColumn id="30" name="2.05"/>
    <tableColumn id="31" name="EMR2"/>
    <tableColumn id="32" name="GM2"/>
    <tableColumn id="33" name="PET Q42"/>
    <tableColumn id="34" name="PET Q52"/>
    <tableColumn id="35" name="PET O2"/>
    <tableColumn id="36" name="PET B2"/>
    <tableColumn id="37" name="PS2"/>
    <tableColumn id="38" name="PEHD2"/>
    <tableColumn id="39" name="PP2"/>
    <tableColumn id="40" name="ELA2"/>
    <tableColumn id="41" name="Films PE2"/>
    <tableColumn id="42" name="ACIER2"/>
    <tableColumn id="43" name="Petit ALU2"/>
    <tableColumn id="44" name="ALU2"/>
    <tableColumn id="45" name="Refus2"/>
    <tableColumn id="46" name="Taux Valorisable"/>
    <tableColumn id="47" name="Taux Refus "/>
    <tableColumn id="48" name="Taux Fibreux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JH241"/>
  <sheetViews>
    <sheetView tabSelected="1" topLeftCell="AC1" zoomScale="84" zoomScaleNormal="84" workbookViewId="0">
      <pane ySplit="1" topLeftCell="A2" activePane="bottomLeft" state="frozen"/>
      <selection activeCell="V1" sqref="V1"/>
      <selection pane="bottomLeft" activeCell="AF17" sqref="AF17"/>
    </sheetView>
  </sheetViews>
  <sheetFormatPr baseColWidth="10" defaultColWidth="11.42578125" defaultRowHeight="12.75"/>
  <cols>
    <col width="4.42578125" customWidth="1" style="2" min="1" max="1"/>
    <col width="19" bestFit="1" customWidth="1" style="1" min="2" max="2"/>
    <col width="11.42578125" customWidth="1" style="2" min="3" max="4"/>
    <col width="17.28515625" customWidth="1" style="2" min="5" max="5"/>
    <col width="19.85546875" customWidth="1" style="2" min="6" max="6"/>
    <col width="8.85546875" customWidth="1" style="2" min="7" max="7"/>
    <col width="11.42578125" customWidth="1" style="2" min="8" max="17"/>
    <col width="19.5703125" bestFit="1" customWidth="1" style="2" min="18" max="18"/>
    <col width="21.7109375" bestFit="1" customWidth="1" style="2" min="19" max="19"/>
    <col width="27.7109375" bestFit="1" customWidth="1" style="2" min="20" max="20"/>
    <col width="46.5703125" bestFit="1" customWidth="1" style="2" min="21" max="21"/>
    <col width="11.42578125" customWidth="1" style="2" min="22" max="25"/>
    <col width="19" bestFit="1" customWidth="1" style="2" min="26" max="26"/>
    <col width="39.140625" bestFit="1" customWidth="1" style="2" min="27" max="27"/>
    <col width="19" bestFit="1" customWidth="1" style="2" min="28" max="28"/>
    <col width="17" bestFit="1" customWidth="1" style="2" min="29" max="29"/>
    <col width="15.140625" bestFit="1" customWidth="1" style="2" min="30" max="30"/>
    <col width="44.5703125" bestFit="1" customWidth="1" style="2" min="31" max="31"/>
    <col width="14" bestFit="1" customWidth="1" style="2" min="32" max="32"/>
    <col width="23.85546875" bestFit="1" customWidth="1" style="2" min="33" max="33"/>
    <col width="13.28515625" bestFit="1" customWidth="1" style="2" min="34" max="34"/>
    <col width="11.42578125" customWidth="1" style="1" min="35" max="35"/>
    <col width="20.28515625" bestFit="1" customWidth="1" style="1" min="36" max="36"/>
    <col width="17.42578125" bestFit="1" customWidth="1" style="2" min="37" max="37"/>
    <col width="16" bestFit="1" customWidth="1" style="2" min="38" max="38"/>
    <col width="64.42578125" customWidth="1" style="2" min="39" max="39"/>
    <col width="10.7109375" bestFit="1" customWidth="1" style="2" min="40" max="40"/>
    <col width="9.28515625" bestFit="1" customWidth="1" style="2" min="41" max="41"/>
    <col width="7.7109375" bestFit="1" customWidth="1" style="2" min="42" max="42"/>
    <col width="9.140625" bestFit="1" customWidth="1" style="2" min="43" max="43"/>
    <col width="15.28515625" bestFit="1" customWidth="1" style="2" min="44" max="44"/>
    <col width="16.5703125" bestFit="1" customWidth="1" style="2" min="45" max="45"/>
    <col width="11.42578125" customWidth="1" style="2" min="46" max="56"/>
    <col width="17" bestFit="1" customWidth="1" style="2" min="57" max="57"/>
    <col width="14.42578125" bestFit="1" customWidth="1" style="2" min="58" max="58"/>
    <col width="20.85546875" bestFit="1" customWidth="1" style="2" min="59" max="59"/>
    <col width="39.28515625" bestFit="1" customWidth="1" style="2" min="60" max="60"/>
    <col width="11.42578125" customWidth="1" style="2" min="61" max="64"/>
    <col width="12" bestFit="1" customWidth="1" style="2" min="65" max="65"/>
    <col width="32.28515625" bestFit="1" customWidth="1" style="2" min="66" max="66"/>
    <col width="11.42578125" customWidth="1" style="2" min="67" max="69"/>
    <col width="37.28515625" bestFit="1" customWidth="1" style="2" min="70" max="70"/>
    <col width="11.42578125" customWidth="1" style="2" min="71" max="71"/>
    <col width="17.42578125" bestFit="1" customWidth="1" style="2" min="72" max="72"/>
    <col width="11.42578125" customWidth="1" style="2" min="73" max="73"/>
    <col width="17" bestFit="1" customWidth="1" style="2" min="74" max="74"/>
    <col width="12" bestFit="1" customWidth="1" style="2" min="75" max="75"/>
    <col width="13.85546875" bestFit="1" customWidth="1" style="2" min="76" max="76"/>
    <col width="11.42578125" customWidth="1" style="2" min="77" max="77"/>
    <col width="39.28515625" bestFit="1" customWidth="1" style="2" min="78" max="78"/>
    <col width="11.42578125" customWidth="1" style="2" min="79" max="79"/>
    <col width="39.28515625" bestFit="1" customWidth="1" style="2" min="80" max="80"/>
    <col width="11.42578125" customWidth="1" style="2" min="81" max="83"/>
    <col width="30.42578125" bestFit="1" customWidth="1" style="2" min="84" max="84"/>
    <col width="11.42578125" customWidth="1" style="2" min="85" max="88"/>
    <col width="11.42578125" customWidth="1" style="2" min="89" max="16384"/>
  </cols>
  <sheetData>
    <row r="1" ht="42" customFormat="1" customHeight="1" s="10">
      <c r="A1" s="159" t="n">
        <v>1</v>
      </c>
      <c r="B1" s="160" t="inlineStr">
        <is>
          <t>Provenance</t>
        </is>
      </c>
      <c r="C1" s="160" t="inlineStr">
        <is>
          <t>Date</t>
        </is>
      </c>
      <c r="D1" s="155" t="inlineStr">
        <is>
          <t>CARTON</t>
        </is>
      </c>
      <c r="E1" s="155" t="inlineStr">
        <is>
          <t>CARTONNETTE</t>
        </is>
      </c>
      <c r="F1" s="205" t="inlineStr">
        <is>
          <t xml:space="preserve">ECRIT COULEUR </t>
        </is>
      </c>
      <c r="G1" s="205" t="inlineStr">
        <is>
          <t>JRM</t>
        </is>
      </c>
      <c r="H1" s="205" t="inlineStr">
        <is>
          <t>GM</t>
        </is>
      </c>
      <c r="I1" s="206" t="inlineStr">
        <is>
          <t>ELA</t>
        </is>
      </c>
      <c r="J1" s="157" t="inlineStr">
        <is>
          <t>PEPP</t>
        </is>
      </c>
      <c r="K1" s="157" t="inlineStr">
        <is>
          <t>PET Q9</t>
        </is>
      </c>
      <c r="L1" s="157" t="inlineStr">
        <is>
          <t>PET Q5</t>
        </is>
      </c>
      <c r="M1" s="157" t="inlineStr">
        <is>
          <t>PET B</t>
        </is>
      </c>
      <c r="N1" s="157" t="inlineStr">
        <is>
          <t>FILM</t>
        </is>
      </c>
      <c r="O1" s="156" t="inlineStr">
        <is>
          <t>ACIER</t>
        </is>
      </c>
      <c r="P1" s="156" t="inlineStr">
        <is>
          <t>ALU</t>
        </is>
      </c>
      <c r="Q1" s="156" t="inlineStr">
        <is>
          <t>PETIT ALU</t>
        </is>
      </c>
      <c r="R1" s="158" t="inlineStr">
        <is>
          <t>PB REFUSES</t>
        </is>
      </c>
      <c r="S1" s="158" t="inlineStr">
        <is>
          <t>FILM REFUSES</t>
        </is>
      </c>
      <c r="T1" s="158" t="inlineStr">
        <is>
          <t>EMBALLAGES NOIRS</t>
        </is>
      </c>
      <c r="U1" s="158" t="inlineStr">
        <is>
          <t>AUTES EMBALLAGES NON RECYCLABES</t>
        </is>
      </c>
      <c r="V1" s="158" t="inlineStr">
        <is>
          <t>BOIS</t>
        </is>
      </c>
      <c r="W1" s="158" t="inlineStr">
        <is>
          <t>VERRE</t>
        </is>
      </c>
      <c r="X1" s="158" t="inlineStr">
        <is>
          <t>DDS</t>
        </is>
      </c>
      <c r="Y1" s="158" t="inlineStr">
        <is>
          <t>D3E</t>
        </is>
      </c>
      <c r="Z1" s="158" t="inlineStr">
        <is>
          <t>IMBRIQUES</t>
        </is>
      </c>
      <c r="AA1" s="158" t="inlineStr">
        <is>
          <t>PLASTIQUES NON EMBALLAGES</t>
        </is>
      </c>
      <c r="AB1" s="158" t="inlineStr">
        <is>
          <t>FERRAILLES</t>
        </is>
      </c>
      <c r="AC1" s="158" t="inlineStr">
        <is>
          <t>GRAVATS</t>
        </is>
      </c>
      <c r="AD1" s="158" t="inlineStr">
        <is>
          <t>TEXTILE</t>
        </is>
      </c>
      <c r="AE1" s="158" t="inlineStr">
        <is>
          <t>EMBALLAGES NON VIDES / SOUILL2S</t>
        </is>
      </c>
      <c r="AF1" s="158" t="inlineStr">
        <is>
          <t>REFUS</t>
        </is>
      </c>
      <c r="AG1" s="158" t="inlineStr">
        <is>
          <t>PAPIER MOUILLE</t>
        </is>
      </c>
      <c r="AH1" s="158" t="inlineStr">
        <is>
          <t>FINES</t>
        </is>
      </c>
      <c r="AI1" s="160" t="inlineStr">
        <is>
          <t>Total (kg)</t>
        </is>
      </c>
      <c r="AJ1" s="160" t="inlineStr">
        <is>
          <t>Taux de valorisable</t>
        </is>
      </c>
      <c r="AK1" s="160" t="inlineStr">
        <is>
          <t>Taux de fibreux</t>
        </is>
      </c>
      <c r="AL1" s="160" t="inlineStr">
        <is>
          <t>Taux de refus</t>
        </is>
      </c>
      <c r="AM1" s="160" t="inlineStr">
        <is>
          <t>Commentaire</t>
        </is>
      </c>
      <c r="AN1" s="160" t="inlineStr">
        <is>
          <t>Année</t>
        </is>
      </c>
      <c r="AO1" s="160" t="inlineStr">
        <is>
          <t>Mois</t>
        </is>
      </c>
      <c r="AP1" s="160" t="inlineStr">
        <is>
          <t>Semaine</t>
        </is>
      </c>
      <c r="AQ1" s="155" t="inlineStr">
        <is>
          <t>CARTON</t>
        </is>
      </c>
      <c r="AR1" s="155" t="inlineStr">
        <is>
          <t>CARTONNETTE</t>
        </is>
      </c>
      <c r="AS1" s="205" t="inlineStr">
        <is>
          <t xml:space="preserve">ECRIT COULEUR </t>
        </is>
      </c>
      <c r="AT1" s="205" t="inlineStr">
        <is>
          <t>JRM</t>
        </is>
      </c>
      <c r="AU1" s="205" t="inlineStr">
        <is>
          <t>GM</t>
        </is>
      </c>
      <c r="AV1" s="206" t="inlineStr">
        <is>
          <t>ELA</t>
        </is>
      </c>
      <c r="AW1" s="157" t="inlineStr">
        <is>
          <t>PEPP</t>
        </is>
      </c>
      <c r="AX1" s="157" t="inlineStr">
        <is>
          <t>PET Q9</t>
        </is>
      </c>
      <c r="AY1" s="157" t="inlineStr">
        <is>
          <t>PET Q5</t>
        </is>
      </c>
      <c r="AZ1" s="157" t="inlineStr">
        <is>
          <t>PET B</t>
        </is>
      </c>
      <c r="BA1" s="157" t="inlineStr">
        <is>
          <t>FILM</t>
        </is>
      </c>
      <c r="BB1" s="156" t="inlineStr">
        <is>
          <t>ACIER</t>
        </is>
      </c>
      <c r="BC1" s="156" t="inlineStr">
        <is>
          <t>ALU</t>
        </is>
      </c>
      <c r="BD1" s="156" t="inlineStr">
        <is>
          <t>PETIT ALU</t>
        </is>
      </c>
      <c r="BE1" s="158" t="inlineStr">
        <is>
          <t>PB REFUSES</t>
        </is>
      </c>
      <c r="BF1" s="158" t="inlineStr">
        <is>
          <t>FILM REFUSES</t>
        </is>
      </c>
      <c r="BG1" s="158" t="inlineStr">
        <is>
          <t>EMBALLAGES NOIRS</t>
        </is>
      </c>
      <c r="BH1" s="158" t="inlineStr">
        <is>
          <t>AUTES EMBALLAGES NON RECYCLABES</t>
        </is>
      </c>
      <c r="BI1" s="158" t="inlineStr">
        <is>
          <t>BOIS</t>
        </is>
      </c>
      <c r="BJ1" s="158" t="inlineStr">
        <is>
          <t>VERRE</t>
        </is>
      </c>
      <c r="BK1" s="158" t="inlineStr">
        <is>
          <t>DDS</t>
        </is>
      </c>
      <c r="BL1" s="158" t="inlineStr">
        <is>
          <t>D3E</t>
        </is>
      </c>
      <c r="BM1" s="158" t="inlineStr">
        <is>
          <t>IMBRIQUES</t>
        </is>
      </c>
      <c r="BN1" s="158" t="inlineStr">
        <is>
          <t>PLASTIQUES NON EMBALLAGES</t>
        </is>
      </c>
      <c r="BO1" s="158" t="inlineStr">
        <is>
          <t>FERRAILLES</t>
        </is>
      </c>
      <c r="BP1" s="158" t="inlineStr">
        <is>
          <t>GRAVATS</t>
        </is>
      </c>
      <c r="BQ1" s="158" t="inlineStr">
        <is>
          <t>TEXTILE</t>
        </is>
      </c>
      <c r="BR1" s="158" t="inlineStr">
        <is>
          <t>EMBALLAGES NON VIDES / SOUILL2S</t>
        </is>
      </c>
      <c r="BS1" s="158" t="inlineStr">
        <is>
          <t>REFUS</t>
        </is>
      </c>
      <c r="BT1" s="158" t="inlineStr">
        <is>
          <t>PAPIER MOUILLE</t>
        </is>
      </c>
      <c r="BU1" s="158" t="inlineStr">
        <is>
          <t>FINES</t>
        </is>
      </c>
      <c r="BV1" s="160" t="inlineStr">
        <is>
          <t>Taux Valorisable</t>
        </is>
      </c>
      <c r="BW1" s="160" t="inlineStr">
        <is>
          <t xml:space="preserve">Taux Refus </t>
        </is>
      </c>
      <c r="BX1" s="160" t="inlineStr">
        <is>
          <t xml:space="preserve">Taux Fibreux </t>
        </is>
      </c>
      <c r="BY1" s="162" t="n"/>
      <c r="BZ1" s="160" t="inlineStr">
        <is>
          <t>matiere</t>
        </is>
      </c>
      <c r="CA1" s="160" t="inlineStr">
        <is>
          <t>taux</t>
        </is>
      </c>
      <c r="CB1" s="162" t="n"/>
      <c r="CC1" s="162" t="n"/>
      <c r="CD1" s="162" t="n"/>
      <c r="CE1" s="162" t="n"/>
      <c r="CF1" s="162" t="n"/>
      <c r="CG1" s="162" t="n"/>
      <c r="CH1" s="162" t="n"/>
      <c r="CI1" s="162" t="n"/>
      <c r="CJ1" s="162" t="n"/>
      <c r="CK1" s="162" t="n"/>
      <c r="CL1" s="162" t="n"/>
      <c r="CM1" s="162" t="n"/>
      <c r="CN1" s="162" t="n"/>
      <c r="CO1" s="162" t="n"/>
      <c r="CP1" s="162" t="n"/>
      <c r="CQ1" s="162" t="n"/>
      <c r="CR1" s="162" t="n"/>
      <c r="CS1" s="162" t="n"/>
      <c r="CT1" s="162" t="n"/>
      <c r="CU1" s="162" t="n"/>
      <c r="CV1" s="162" t="n"/>
      <c r="CW1" s="162" t="n"/>
      <c r="CX1" s="162" t="n"/>
      <c r="CY1" s="162" t="n"/>
      <c r="CZ1" s="162" t="n"/>
      <c r="DA1" s="162" t="n"/>
      <c r="DB1" s="162" t="n"/>
      <c r="DC1" s="162" t="n"/>
      <c r="DD1" s="162" t="n"/>
      <c r="DE1" s="162" t="n"/>
      <c r="DF1" s="162" t="n"/>
      <c r="DG1" s="162" t="n"/>
      <c r="DH1" s="162" t="n"/>
      <c r="DI1" s="162" t="n"/>
      <c r="DJ1" s="162" t="n"/>
      <c r="DK1" s="162" t="n"/>
      <c r="DL1" s="162" t="n"/>
      <c r="DM1" s="162" t="n"/>
      <c r="DN1" s="162" t="n"/>
      <c r="DO1" s="162" t="n"/>
      <c r="DP1" s="162" t="n"/>
      <c r="DQ1" s="162" t="n"/>
      <c r="DR1" s="162" t="n"/>
      <c r="DS1" s="162" t="n"/>
      <c r="DT1" s="162" t="n"/>
      <c r="DU1" s="162" t="n"/>
      <c r="DV1" s="162" t="n"/>
      <c r="DW1" s="162" t="n"/>
      <c r="DX1" s="162" t="n"/>
      <c r="DY1" s="162" t="n"/>
      <c r="DZ1" s="162" t="n"/>
      <c r="EA1" s="162" t="n"/>
      <c r="EB1" s="162" t="n"/>
      <c r="EC1" s="162" t="n"/>
      <c r="ED1" s="162" t="n"/>
      <c r="EE1" s="162" t="n"/>
      <c r="EF1" s="162" t="n"/>
      <c r="EG1" s="162" t="n"/>
      <c r="EH1" s="162" t="n"/>
      <c r="EI1" s="162" t="n"/>
      <c r="EJ1" s="162" t="n"/>
      <c r="EK1" s="162" t="n"/>
      <c r="EL1" s="162" t="n"/>
      <c r="EM1" s="162" t="n"/>
      <c r="EN1" s="162" t="n"/>
      <c r="EO1" s="162" t="n"/>
      <c r="EP1" s="162" t="n"/>
      <c r="EQ1" s="162" t="n"/>
      <c r="ER1" s="162" t="n"/>
      <c r="ES1" s="162" t="n"/>
      <c r="ET1" s="162" t="n"/>
      <c r="EU1" s="162" t="n"/>
      <c r="EV1" s="162" t="n"/>
      <c r="EW1" s="162" t="n"/>
      <c r="EX1" s="162" t="n"/>
      <c r="EY1" s="162" t="n"/>
      <c r="EZ1" s="162" t="n"/>
      <c r="FA1" s="162" t="n"/>
      <c r="FB1" s="162" t="n"/>
      <c r="FC1" s="162" t="n"/>
      <c r="FD1" s="162" t="n"/>
      <c r="FE1" s="162" t="n"/>
      <c r="FF1" s="162" t="n"/>
      <c r="FG1" s="162" t="n"/>
      <c r="FH1" s="162" t="n"/>
      <c r="FI1" s="162" t="n"/>
      <c r="FJ1" s="162" t="n"/>
      <c r="FK1" s="162" t="n"/>
      <c r="FL1" s="162" t="n"/>
      <c r="FM1" s="162" t="n"/>
      <c r="FN1" s="162" t="n"/>
      <c r="FO1" s="162" t="n"/>
      <c r="FP1" s="162" t="n"/>
      <c r="FQ1" s="162" t="n"/>
      <c r="FR1" s="162" t="n"/>
      <c r="FS1" s="162" t="n"/>
      <c r="FT1" s="162" t="n"/>
      <c r="FU1" s="162" t="n"/>
      <c r="FV1" s="162" t="n"/>
      <c r="FW1" s="162" t="n"/>
      <c r="FX1" s="162" t="n"/>
      <c r="FY1" s="162" t="n"/>
      <c r="FZ1" s="162" t="n"/>
      <c r="GA1" s="162" t="n"/>
      <c r="GB1" s="162" t="n"/>
      <c r="GC1" s="162" t="n"/>
      <c r="GD1" s="162" t="n"/>
      <c r="GE1" s="162" t="n"/>
      <c r="GF1" s="162" t="n"/>
      <c r="GG1" s="162" t="n"/>
      <c r="GH1" s="162" t="n"/>
      <c r="GI1" s="162" t="n"/>
      <c r="GJ1" s="162" t="n"/>
      <c r="GK1" s="162" t="n"/>
      <c r="GL1" s="162" t="n"/>
      <c r="GM1" s="162" t="n"/>
      <c r="GN1" s="162" t="n"/>
      <c r="GO1" s="162" t="n"/>
      <c r="GP1" s="162" t="n"/>
      <c r="GQ1" s="162" t="n"/>
      <c r="GR1" s="162" t="n"/>
      <c r="GS1" s="162" t="n"/>
      <c r="GT1" s="162" t="n"/>
      <c r="GU1" s="162" t="n"/>
      <c r="GV1" s="162" t="n"/>
      <c r="GW1" s="162" t="n"/>
      <c r="GX1" s="162" t="n"/>
      <c r="GY1" s="162" t="n"/>
      <c r="GZ1" s="162" t="n"/>
      <c r="HA1" s="162" t="n"/>
      <c r="HB1" s="162" t="n"/>
      <c r="HC1" s="162" t="n"/>
      <c r="HD1" s="162" t="n"/>
      <c r="HE1" s="162" t="n"/>
      <c r="HF1" s="162" t="n"/>
      <c r="HG1" s="162" t="n"/>
      <c r="HH1" s="162" t="n"/>
      <c r="HI1" s="162" t="n"/>
      <c r="HJ1" s="162" t="n"/>
      <c r="HK1" s="162" t="n"/>
      <c r="HL1" s="162" t="n"/>
      <c r="HM1" s="162" t="n"/>
      <c r="HN1" s="162" t="n"/>
      <c r="HO1" s="162" t="n"/>
      <c r="HP1" s="162" t="n"/>
      <c r="HQ1" s="162" t="n"/>
      <c r="HR1" s="162" t="n"/>
      <c r="HS1" s="162" t="n"/>
      <c r="HT1" s="162" t="n"/>
      <c r="HU1" s="162" t="n"/>
      <c r="HV1" s="162" t="n"/>
      <c r="HW1" s="162" t="n"/>
      <c r="HX1" s="162" t="n"/>
      <c r="HY1" s="162" t="n"/>
      <c r="HZ1" s="162" t="n"/>
      <c r="IA1" s="162" t="n"/>
      <c r="IB1" s="162" t="n"/>
      <c r="IC1" s="162" t="n"/>
      <c r="ID1" s="162" t="n"/>
      <c r="IE1" s="162" t="n"/>
      <c r="IF1" s="162" t="n"/>
      <c r="IG1" s="162" t="n"/>
      <c r="IH1" s="162" t="n"/>
      <c r="II1" s="162" t="n"/>
      <c r="IJ1" s="162" t="n"/>
      <c r="IK1" s="162" t="n"/>
      <c r="IL1" s="162" t="n"/>
      <c r="IM1" s="162" t="n"/>
      <c r="IN1" s="162" t="n"/>
      <c r="IO1" s="162" t="n"/>
      <c r="IP1" s="162" t="n"/>
      <c r="IQ1" s="162" t="n"/>
      <c r="IR1" s="162" t="n"/>
      <c r="IS1" s="162" t="n"/>
      <c r="IT1" s="162" t="n"/>
      <c r="IU1" s="162" t="n"/>
      <c r="IV1" s="162" t="n"/>
      <c r="IW1" s="162" t="n"/>
      <c r="IX1" s="162" t="n"/>
      <c r="IY1" s="162" t="n"/>
      <c r="IZ1" s="162" t="n"/>
      <c r="JA1" s="162" t="n"/>
      <c r="JB1" s="162" t="n"/>
      <c r="JC1" s="162" t="n"/>
      <c r="JD1" s="162" t="n"/>
      <c r="JE1" s="162" t="n"/>
      <c r="JF1" s="162" t="n"/>
      <c r="JG1" s="162" t="n"/>
      <c r="JH1" s="162" t="n"/>
    </row>
    <row r="2" ht="15.75" customFormat="1" customHeight="1" s="20">
      <c r="A2" s="2">
        <f>A1+1</f>
        <v/>
      </c>
      <c r="B2" s="127" t="inlineStr">
        <is>
          <t>PSM - ADP BEAUVAIS</t>
        </is>
      </c>
      <c r="C2" s="128" t="inlineStr">
        <is>
          <t>23/02/26</t>
        </is>
      </c>
      <c r="D2" s="125" t="n">
        <v>20</v>
      </c>
      <c r="E2" s="125" t="n">
        <v>2</v>
      </c>
      <c r="F2" s="125" t="n">
        <v>2</v>
      </c>
      <c r="G2" s="125" t="n">
        <v>0</v>
      </c>
      <c r="H2" s="125" t="n">
        <v>0</v>
      </c>
      <c r="I2" s="125" t="n">
        <v>1.2</v>
      </c>
      <c r="J2" s="125" t="n">
        <v>0.3</v>
      </c>
      <c r="K2" s="125" t="n">
        <v>0.3</v>
      </c>
      <c r="L2" s="125" t="n">
        <v>0.2</v>
      </c>
      <c r="M2" s="125" t="n">
        <v>0.1</v>
      </c>
      <c r="N2" s="125" t="n">
        <v>0</v>
      </c>
      <c r="O2" s="125" t="n">
        <v>0.2</v>
      </c>
      <c r="P2" s="125" t="n">
        <v>0.4</v>
      </c>
      <c r="Q2" s="125" t="n">
        <v>0.6</v>
      </c>
      <c r="R2" s="125" t="n">
        <v>0</v>
      </c>
      <c r="S2" s="125" t="n">
        <v>0</v>
      </c>
      <c r="T2" s="125" t="n">
        <v>0</v>
      </c>
      <c r="U2" s="125" t="n">
        <v>0</v>
      </c>
      <c r="V2" s="125" t="n">
        <v>0</v>
      </c>
      <c r="W2" s="125" t="n">
        <v>0</v>
      </c>
      <c r="X2" s="125" t="n">
        <v>0</v>
      </c>
      <c r="Y2" s="125" t="n">
        <v>0</v>
      </c>
      <c r="Z2" s="125" t="n">
        <v>0</v>
      </c>
      <c r="AA2" s="125" t="n">
        <v>0</v>
      </c>
      <c r="AB2" s="125" t="n">
        <v>0</v>
      </c>
      <c r="AC2" s="125" t="n">
        <v>0</v>
      </c>
      <c r="AD2" s="125" t="n">
        <v>0</v>
      </c>
      <c r="AE2" s="125" t="n">
        <v>0</v>
      </c>
      <c r="AF2" s="125" t="n">
        <v>0</v>
      </c>
      <c r="AG2" s="125" t="n">
        <v>0</v>
      </c>
      <c r="AH2" s="125" t="n">
        <v>0</v>
      </c>
      <c r="AI2" s="127">
        <f>SUM(D2:AG2,AH2)</f>
        <v/>
      </c>
      <c r="AJ2" s="126">
        <f>(SUM($D2:$Q2))/AI2</f>
        <v/>
      </c>
      <c r="AK2" s="126">
        <f>(SUM($D2:$H2))/AI2</f>
        <v/>
      </c>
      <c r="AL2" s="126">
        <f>(SUM($R2:$AH2))/AI2</f>
        <v/>
      </c>
      <c r="AM2" s="161" t="n"/>
      <c r="AN2" s="125" t="n">
        <v>2026</v>
      </c>
      <c r="AO2" s="125" t="n">
        <v>2</v>
      </c>
      <c r="AP2" s="125" t="n">
        <v>8</v>
      </c>
      <c r="AQ2" s="129">
        <f>IFERROR(D2/$AI2,"")</f>
        <v/>
      </c>
      <c r="AR2" s="129">
        <f>IFERROR(E2/$AI2,"")</f>
        <v/>
      </c>
      <c r="AS2" s="129">
        <f>IFERROR(F2/$AI2,"")</f>
        <v/>
      </c>
      <c r="AT2" s="129">
        <f>IFERROR(G2/$AI2,"")</f>
        <v/>
      </c>
      <c r="AU2" s="129">
        <f>IFERROR(H2/$AI2,"")</f>
        <v/>
      </c>
      <c r="AV2" s="129">
        <f>IFERROR(I2/$AI2,"")</f>
        <v/>
      </c>
      <c r="AW2" s="129">
        <f>IFERROR(J2/$AI2,"")</f>
        <v/>
      </c>
      <c r="AX2" s="129">
        <f>IFERROR(K2/$AI2,"")</f>
        <v/>
      </c>
      <c r="AY2" s="129">
        <f>IFERROR(L2/$AI2,"")</f>
        <v/>
      </c>
      <c r="AZ2" s="129">
        <f>IFERROR(M2/$AI2,"")</f>
        <v/>
      </c>
      <c r="BA2" s="129">
        <f>IFERROR(N2/$AI2,"")</f>
        <v/>
      </c>
      <c r="BB2" s="129">
        <f>IFERROR(O2/$AI2,"")</f>
        <v/>
      </c>
      <c r="BC2" s="129">
        <f>IFERROR(P2/$AI2,"")</f>
        <v/>
      </c>
      <c r="BD2" s="129">
        <f>IFERROR(Q2/$AI2,"")</f>
        <v/>
      </c>
      <c r="BE2" s="129">
        <f>IFERROR(R2/$AI2,"")</f>
        <v/>
      </c>
      <c r="BF2" s="129">
        <f>IFERROR(S2/$AI2,"")</f>
        <v/>
      </c>
      <c r="BG2" s="129">
        <f>IFERROR(T2/$AI2,"")</f>
        <v/>
      </c>
      <c r="BH2" s="129">
        <f>IFERROR(U2/$AI2,"")</f>
        <v/>
      </c>
      <c r="BI2" s="129">
        <f>IFERROR(V2/$AI2,"")</f>
        <v/>
      </c>
      <c r="BJ2" s="129">
        <f>IFERROR(W2/$AI2,"")</f>
        <v/>
      </c>
      <c r="BK2" s="129">
        <f>IFERROR(X2/$AI2,"")</f>
        <v/>
      </c>
      <c r="BL2" s="129">
        <f>IFERROR(Y2/$AI2,"")</f>
        <v/>
      </c>
      <c r="BM2" s="129">
        <f>IFERROR(Z2/$AI2,"")</f>
        <v/>
      </c>
      <c r="BN2" s="129">
        <f>IFERROR(AA2/$AI2,"")</f>
        <v/>
      </c>
      <c r="BO2" s="129">
        <f>IFERROR(AB2/$AI2,"")</f>
        <v/>
      </c>
      <c r="BP2" s="129">
        <f>IFERROR(AC2/$AI2,"")</f>
        <v/>
      </c>
      <c r="BQ2" s="129">
        <f>IFERROR(AD2/$AI2,"")</f>
        <v/>
      </c>
      <c r="BR2" s="129">
        <f>IFERROR(AE2/$AI2,"")</f>
        <v/>
      </c>
      <c r="BS2" s="129">
        <f>IFERROR(AF2/$AI2,"")</f>
        <v/>
      </c>
      <c r="BT2" s="129">
        <f>IFERROR(AG2/$AI2,"")</f>
        <v/>
      </c>
      <c r="BU2" s="129">
        <f>IFERROR(AH2/$AI2,"")</f>
        <v/>
      </c>
      <c r="BV2" s="126">
        <f>SUM(AQ2:BD2)</f>
        <v/>
      </c>
      <c r="BW2" s="126">
        <f>SUM(BE2:BU2)</f>
        <v/>
      </c>
      <c r="BX2" s="126">
        <f>SUM(AQ2:AU2)</f>
        <v/>
      </c>
      <c r="BY2" s="2" t="n"/>
      <c r="BZ2" s="155" t="inlineStr">
        <is>
          <t>CARTON</t>
        </is>
      </c>
      <c r="CA2" s="209">
        <f>AVERAGE(AQ2:AQ1015)</f>
        <v/>
      </c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  <c r="GV2" s="2" t="n"/>
      <c r="GW2" s="2" t="n"/>
      <c r="GX2" s="2" t="n"/>
      <c r="GY2" s="2" t="n"/>
      <c r="GZ2" s="2" t="n"/>
      <c r="HA2" s="2" t="n"/>
      <c r="HB2" s="2" t="n"/>
      <c r="HC2" s="2" t="n"/>
      <c r="HD2" s="2" t="n"/>
      <c r="HE2" s="2" t="n"/>
      <c r="HF2" s="2" t="n"/>
      <c r="HG2" s="2" t="n"/>
      <c r="HH2" s="2" t="n"/>
      <c r="HI2" s="2" t="n"/>
      <c r="HJ2" s="2" t="n"/>
      <c r="HK2" s="2" t="n"/>
      <c r="HL2" s="2" t="n"/>
      <c r="HM2" s="2" t="n"/>
      <c r="HN2" s="2" t="n"/>
      <c r="HO2" s="2" t="n"/>
      <c r="HP2" s="2" t="n"/>
      <c r="HQ2" s="2" t="n"/>
      <c r="HR2" s="2" t="n"/>
      <c r="HS2" s="2" t="n"/>
      <c r="HT2" s="2" t="n"/>
      <c r="HU2" s="2" t="n"/>
      <c r="HV2" s="2" t="n"/>
      <c r="HW2" s="2" t="n"/>
      <c r="HX2" s="2" t="n"/>
      <c r="HY2" s="2" t="n"/>
      <c r="HZ2" s="2" t="n"/>
      <c r="IA2" s="2" t="n"/>
      <c r="IB2" s="2" t="n"/>
      <c r="IC2" s="2" t="n"/>
      <c r="ID2" s="2" t="n"/>
      <c r="IE2" s="2" t="n"/>
      <c r="IF2" s="2" t="n"/>
      <c r="IG2" s="2" t="n"/>
      <c r="IH2" s="2" t="n"/>
      <c r="II2" s="2" t="n"/>
      <c r="IJ2" s="2" t="n"/>
      <c r="IK2" s="2" t="n"/>
      <c r="IL2" s="2" t="n"/>
      <c r="IM2" s="2" t="n"/>
      <c r="IN2" s="2" t="n"/>
      <c r="IO2" s="2" t="n"/>
      <c r="IP2" s="2" t="n"/>
      <c r="IQ2" s="2" t="n"/>
    </row>
    <row r="3" ht="15.75" customFormat="1" customHeight="1" s="20">
      <c r="A3" s="2">
        <f>A2+1</f>
        <v/>
      </c>
      <c r="B3" s="127" t="inlineStr">
        <is>
          <t>GARE MONTPARNASSE</t>
        </is>
      </c>
      <c r="C3" s="128" t="inlineStr">
        <is>
          <t>24/02/26</t>
        </is>
      </c>
      <c r="D3" s="125" t="n">
        <v>0.7</v>
      </c>
      <c r="E3" s="125" t="n">
        <v>0.6</v>
      </c>
      <c r="F3" s="125" t="n">
        <v>0</v>
      </c>
      <c r="G3" s="125" t="n">
        <v>0</v>
      </c>
      <c r="H3" s="125" t="n">
        <v>0</v>
      </c>
      <c r="I3" s="125" t="n">
        <v>0</v>
      </c>
      <c r="J3" s="125" t="n">
        <v>0</v>
      </c>
      <c r="K3" s="125" t="n">
        <v>0</v>
      </c>
      <c r="L3" s="125" t="n">
        <v>0</v>
      </c>
      <c r="M3" s="125" t="n">
        <v>0</v>
      </c>
      <c r="N3" s="125" t="n">
        <v>0</v>
      </c>
      <c r="O3" s="125" t="n">
        <v>0</v>
      </c>
      <c r="P3" s="125" t="n">
        <v>0</v>
      </c>
      <c r="Q3" s="125" t="n">
        <v>0</v>
      </c>
      <c r="R3" s="125" t="n">
        <v>0</v>
      </c>
      <c r="S3" s="125" t="n">
        <v>0</v>
      </c>
      <c r="T3" s="125" t="n">
        <v>0</v>
      </c>
      <c r="U3" s="125" t="n">
        <v>0</v>
      </c>
      <c r="V3" s="125" t="n">
        <v>0</v>
      </c>
      <c r="W3" s="125" t="n">
        <v>0</v>
      </c>
      <c r="X3" s="125" t="n">
        <v>0</v>
      </c>
      <c r="Y3" s="125" t="n">
        <v>0</v>
      </c>
      <c r="Z3" s="125" t="n">
        <v>0</v>
      </c>
      <c r="AA3" s="125" t="n">
        <v>0</v>
      </c>
      <c r="AB3" s="125" t="n">
        <v>0</v>
      </c>
      <c r="AC3" s="125" t="n">
        <v>0</v>
      </c>
      <c r="AD3" s="125" t="n">
        <v>0</v>
      </c>
      <c r="AE3" s="125" t="n">
        <v>0</v>
      </c>
      <c r="AF3" s="125" t="n">
        <v>0</v>
      </c>
      <c r="AG3" s="125" t="n">
        <v>0</v>
      </c>
      <c r="AH3" s="125" t="n">
        <v>0</v>
      </c>
      <c r="AI3" s="127" t="n">
        <v>0</v>
      </c>
      <c r="AJ3" s="126">
        <f>(SUM($D3:$Q3))/AI3</f>
        <v/>
      </c>
      <c r="AK3" s="126">
        <f>(SUM($D3:$H3))/AI3</f>
        <v/>
      </c>
      <c r="AL3" s="126">
        <f>(SUM($R3:$AH3))/AI3</f>
        <v/>
      </c>
      <c r="AM3" s="161" t="n"/>
      <c r="AN3" s="125" t="n">
        <v>2026</v>
      </c>
      <c r="AO3" s="125" t="n">
        <v>2</v>
      </c>
      <c r="AP3" s="125" t="n">
        <v>8</v>
      </c>
      <c r="AQ3" s="129">
        <f>IFERROR(D3/$AI3,"")</f>
        <v/>
      </c>
      <c r="AR3" s="129">
        <f>IFERROR(E3/$AI3,"")</f>
        <v/>
      </c>
      <c r="AS3" s="129">
        <f>IFERROR(F3/$AI3,"")</f>
        <v/>
      </c>
      <c r="AT3" s="129">
        <f>IFERROR(H3/$AI3,"")</f>
        <v/>
      </c>
      <c r="AU3" s="129">
        <f>IFERROR(I3/$AI3,"")</f>
        <v/>
      </c>
      <c r="AV3" s="129">
        <f>IFERROR(J3/$AI3,"")</f>
        <v/>
      </c>
      <c r="AW3" s="129">
        <f>IFERROR(K3/$AI3,"")</f>
        <v/>
      </c>
      <c r="AX3" s="129">
        <f>IFERROR(L3/$AI3,"")</f>
        <v/>
      </c>
      <c r="AY3" s="129">
        <f>IFERROR(M3/$AI3,"")</f>
        <v/>
      </c>
      <c r="AZ3" s="129">
        <f>IFERROR(N3/$AI3,"")</f>
        <v/>
      </c>
      <c r="BA3" s="129">
        <f>IFERROR(O3/$AI3,"")</f>
        <v/>
      </c>
      <c r="BB3" s="129">
        <f>IFERROR(P3/$AI3,"")</f>
        <v/>
      </c>
      <c r="BC3" s="129">
        <f>IFERROR(AG3/$AI3,"")</f>
        <v/>
      </c>
      <c r="BD3" s="129">
        <f>IFERROR(AH3/$AI3,"")</f>
        <v/>
      </c>
      <c r="BE3" s="129">
        <f>IFERROR(R3/$AI3,"")</f>
        <v/>
      </c>
      <c r="BF3" s="129">
        <f>IFERROR(S3/$AI3,"")</f>
        <v/>
      </c>
      <c r="BG3" s="129">
        <f>IFERROR(T3/$AI3,"")</f>
        <v/>
      </c>
      <c r="BH3" s="129">
        <f>IFERROR(U3/$AI3,"")</f>
        <v/>
      </c>
      <c r="BI3" s="129">
        <f>IFERROR(V3/$AI3,"")</f>
        <v/>
      </c>
      <c r="BJ3" s="129">
        <f>IFERROR(W3/$AI3,"")</f>
        <v/>
      </c>
      <c r="BK3" s="129">
        <f>IFERROR(X3/$AI3,"")</f>
        <v/>
      </c>
      <c r="BL3" s="129">
        <f>IFERROR(Y3/$AI3,"")</f>
        <v/>
      </c>
      <c r="BM3" s="129">
        <f>IFERROR(Z3/$AI3,"")</f>
        <v/>
      </c>
      <c r="BN3" s="129">
        <f>IFERROR(AA3/$AI3,"")</f>
        <v/>
      </c>
      <c r="BO3" s="129">
        <f>IFERROR(AB3/$AI3,"")</f>
        <v/>
      </c>
      <c r="BP3" s="129">
        <f>IFERROR(AC3/$AI3,"")</f>
        <v/>
      </c>
      <c r="BQ3" s="129">
        <f>IFERROR(AD3/$AI3,"")</f>
        <v/>
      </c>
      <c r="BR3" s="129">
        <f>IFERROR(AE3/$AI3,"")</f>
        <v/>
      </c>
      <c r="BS3" s="129">
        <f>IFERROR(AF3/$AI3,"")</f>
        <v/>
      </c>
      <c r="BT3" s="129">
        <f>IFERROR(AG3/$AI3,"")</f>
        <v/>
      </c>
      <c r="BU3" s="129">
        <f>IFERROR(AH3/$AI3,"")</f>
        <v/>
      </c>
      <c r="BV3" s="126">
        <f>SUM(AQ3:BD3)</f>
        <v/>
      </c>
      <c r="BW3" s="126">
        <f>SUM(BE3:BU3)</f>
        <v/>
      </c>
      <c r="BX3" s="126">
        <f>SUM(AQ3:AU3)</f>
        <v/>
      </c>
      <c r="BY3" s="2" t="n"/>
      <c r="BZ3" s="155" t="inlineStr">
        <is>
          <t>CARTONNETTE</t>
        </is>
      </c>
      <c r="CA3" s="209">
        <f>AVERAGE(AR2:AR1015)</f>
        <v/>
      </c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  <c r="GV3" s="2" t="n"/>
      <c r="GW3" s="2" t="n"/>
      <c r="GX3" s="2" t="n"/>
      <c r="GY3" s="2" t="n"/>
      <c r="GZ3" s="2" t="n"/>
      <c r="HA3" s="2" t="n"/>
      <c r="HB3" s="2" t="n"/>
      <c r="HC3" s="2" t="n"/>
      <c r="HD3" s="2" t="n"/>
      <c r="HE3" s="2" t="n"/>
      <c r="HF3" s="2" t="n"/>
      <c r="HG3" s="2" t="n"/>
      <c r="HH3" s="2" t="n"/>
      <c r="HI3" s="2" t="n"/>
      <c r="HJ3" s="2" t="n"/>
      <c r="HK3" s="2" t="n"/>
      <c r="HL3" s="2" t="n"/>
      <c r="HM3" s="2" t="n"/>
      <c r="HN3" s="2" t="n"/>
      <c r="HO3" s="2" t="n"/>
      <c r="HP3" s="2" t="n"/>
      <c r="HQ3" s="2" t="n"/>
      <c r="HR3" s="2" t="n"/>
      <c r="HS3" s="2" t="n"/>
      <c r="HT3" s="2" t="n"/>
      <c r="HU3" s="2" t="n"/>
      <c r="HV3" s="2" t="n"/>
      <c r="HW3" s="2" t="n"/>
      <c r="HX3" s="2" t="n"/>
      <c r="HY3" s="2" t="n"/>
      <c r="HZ3" s="2" t="n"/>
      <c r="IA3" s="2" t="n"/>
      <c r="IB3" s="2" t="n"/>
      <c r="IC3" s="2" t="n"/>
      <c r="ID3" s="2" t="n"/>
      <c r="IE3" s="2" t="n"/>
      <c r="IF3" s="2" t="n"/>
      <c r="IG3" s="2" t="n"/>
      <c r="IH3" s="2" t="n"/>
      <c r="II3" s="2" t="n"/>
      <c r="IJ3" s="2" t="n"/>
      <c r="IK3" s="2" t="n"/>
      <c r="IL3" s="2" t="n"/>
      <c r="IM3" s="2" t="n"/>
      <c r="IN3" s="2" t="n"/>
      <c r="IO3" s="2" t="n"/>
    </row>
    <row r="4" ht="15.75" customFormat="1" customHeight="1" s="20">
      <c r="A4" s="2">
        <f>A3+1</f>
        <v/>
      </c>
      <c r="B4" s="127" t="inlineStr">
        <is>
          <t>GARE MONTPARNASSE</t>
        </is>
      </c>
      <c r="C4" s="128" t="inlineStr">
        <is>
          <t>24/02/26</t>
        </is>
      </c>
      <c r="D4" s="125" t="n">
        <v>0.7</v>
      </c>
      <c r="E4" s="125" t="n">
        <v>0.6</v>
      </c>
      <c r="F4" s="125" t="n">
        <v>0</v>
      </c>
      <c r="G4" s="125" t="n">
        <v>0</v>
      </c>
      <c r="H4" s="125" t="n">
        <v>0</v>
      </c>
      <c r="I4" s="125" t="n">
        <v>0</v>
      </c>
      <c r="J4" s="125" t="n">
        <v>0</v>
      </c>
      <c r="K4" s="125" t="n">
        <v>0</v>
      </c>
      <c r="L4" s="125" t="n">
        <v>0</v>
      </c>
      <c r="M4" s="125" t="n">
        <v>0</v>
      </c>
      <c r="N4" s="125" t="n">
        <v>0</v>
      </c>
      <c r="O4" s="125" t="n">
        <v>0</v>
      </c>
      <c r="P4" s="125" t="n">
        <v>0</v>
      </c>
      <c r="Q4" s="125" t="n">
        <v>0</v>
      </c>
      <c r="R4" s="125" t="n">
        <v>0</v>
      </c>
      <c r="S4" s="125" t="n">
        <v>0</v>
      </c>
      <c r="T4" s="125" t="n">
        <v>0</v>
      </c>
      <c r="U4" s="125" t="n">
        <v>0</v>
      </c>
      <c r="V4" s="125" t="n">
        <v>0</v>
      </c>
      <c r="W4" s="125" t="n">
        <v>0</v>
      </c>
      <c r="X4" s="125" t="n">
        <v>0</v>
      </c>
      <c r="Y4" s="125" t="n">
        <v>0</v>
      </c>
      <c r="Z4" s="125" t="n">
        <v>0</v>
      </c>
      <c r="AA4" s="125" t="n">
        <v>0</v>
      </c>
      <c r="AB4" s="125" t="n">
        <v>0</v>
      </c>
      <c r="AC4" s="125" t="n">
        <v>0</v>
      </c>
      <c r="AD4" s="125" t="n">
        <v>0</v>
      </c>
      <c r="AE4" s="125" t="n">
        <v>0</v>
      </c>
      <c r="AF4" s="125" t="n">
        <v>0</v>
      </c>
      <c r="AG4" s="125" t="n">
        <v>0</v>
      </c>
      <c r="AH4" s="125" t="n">
        <v>0</v>
      </c>
      <c r="AI4" s="127" t="n">
        <v>0</v>
      </c>
      <c r="AJ4" s="126">
        <f>(SUM($D4:$Q4))/AI4</f>
        <v/>
      </c>
      <c r="AK4" s="126">
        <f>(SUM($D4:$H4))/AI4</f>
        <v/>
      </c>
      <c r="AL4" s="126">
        <f>(SUM($R4:$AH4))/AI4</f>
        <v/>
      </c>
      <c r="AM4" s="161" t="n"/>
      <c r="AN4" s="125">
        <f>YEAR(C4)</f>
        <v/>
      </c>
      <c r="AO4" s="125">
        <f>MONTH(C4)</f>
        <v/>
      </c>
      <c r="AP4" s="125">
        <f>WEEKNUM(C4,2)</f>
        <v/>
      </c>
      <c r="AQ4" s="129">
        <f>IFERROR(D4/$AI4,"")</f>
        <v/>
      </c>
      <c r="AR4" s="129">
        <f>IFERROR(E4/$AI4,"")</f>
        <v/>
      </c>
      <c r="AS4" s="129">
        <f>IFERROR(F4/$AI4,"")</f>
        <v/>
      </c>
      <c r="AT4" s="129">
        <f>IFERROR(H4/$AI4,"")</f>
        <v/>
      </c>
      <c r="AU4" s="129">
        <f>IFERROR(I4/$AI4,"")</f>
        <v/>
      </c>
      <c r="AV4" s="129">
        <f>IFERROR(J4/$AI4,"")</f>
        <v/>
      </c>
      <c r="AW4" s="129">
        <f>IFERROR(K4/$AI4,"")</f>
        <v/>
      </c>
      <c r="AX4" s="129">
        <f>IFERROR(L4/$AI4,"")</f>
        <v/>
      </c>
      <c r="AY4" s="129">
        <f>IFERROR(M4/$AI4,"")</f>
        <v/>
      </c>
      <c r="AZ4" s="129">
        <f>IFERROR(N4/$AI4,"")</f>
        <v/>
      </c>
      <c r="BA4" s="129">
        <f>IFERROR(O4/$AI4,"")</f>
        <v/>
      </c>
      <c r="BB4" s="129">
        <f>IFERROR(P4/$AI4,"")</f>
        <v/>
      </c>
      <c r="BC4" s="129">
        <f>IFERROR(AG4/$AI4,"")</f>
        <v/>
      </c>
      <c r="BD4" s="129">
        <f>IFERROR(AH4/$AI4,"")</f>
        <v/>
      </c>
      <c r="BE4" s="129">
        <f>IFERROR(R4/$AI4,"")</f>
        <v/>
      </c>
      <c r="BF4" s="129">
        <f>IFERROR(S4/$AI4,"")</f>
        <v/>
      </c>
      <c r="BG4" s="129">
        <f>IFERROR(T4/$AI4,"")</f>
        <v/>
      </c>
      <c r="BH4" s="129">
        <f>IFERROR(U4/$AI4,"")</f>
        <v/>
      </c>
      <c r="BI4" s="129">
        <f>IFERROR(V4/$AI4,"")</f>
        <v/>
      </c>
      <c r="BJ4" s="129">
        <f>IFERROR(W4/$AI4,"")</f>
        <v/>
      </c>
      <c r="BK4" s="129">
        <f>IFERROR(X4/$AI4,"")</f>
        <v/>
      </c>
      <c r="BL4" s="129">
        <f>IFERROR(Y4/$AI4,"")</f>
        <v/>
      </c>
      <c r="BM4" s="129">
        <f>IFERROR(Z4/$AI4,"")</f>
        <v/>
      </c>
      <c r="BN4" s="129">
        <f>IFERROR(AA4/$AI4,"")</f>
        <v/>
      </c>
      <c r="BO4" s="129">
        <f>IFERROR(AB4/$AI4,"")</f>
        <v/>
      </c>
      <c r="BP4" s="129">
        <f>IFERROR(AC4/$AI4,"")</f>
        <v/>
      </c>
      <c r="BQ4" s="129">
        <f>IFERROR(AD4/$AI4,"")</f>
        <v/>
      </c>
      <c r="BR4" s="129">
        <f>IFERROR(AE4/$AI4,"")</f>
        <v/>
      </c>
      <c r="BS4" s="129">
        <f>IFERROR(AF4/$AI4,"")</f>
        <v/>
      </c>
      <c r="BT4" s="129">
        <f>IFERROR(AG4/$AI4,"")</f>
        <v/>
      </c>
      <c r="BU4" s="129">
        <f>IFERROR(AH4/$AI4,"")</f>
        <v/>
      </c>
      <c r="BV4" s="126">
        <f>SUM(AQ4:BD4)</f>
        <v/>
      </c>
      <c r="BW4" s="126">
        <f>SUM(BE4:BU4)</f>
        <v/>
      </c>
      <c r="BX4" s="126">
        <f>SUM(AQ4:AU4)</f>
        <v/>
      </c>
      <c r="BY4" s="2" t="n"/>
      <c r="BZ4" s="205" t="inlineStr">
        <is>
          <t xml:space="preserve">ECRIT COULEUR </t>
        </is>
      </c>
      <c r="CA4" s="209">
        <f>AVERAGE(AS2:AS1015)</f>
        <v/>
      </c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  <c r="GV4" s="2" t="n"/>
      <c r="GW4" s="2" t="n"/>
      <c r="GX4" s="2" t="n"/>
      <c r="GY4" s="2" t="n"/>
      <c r="GZ4" s="2" t="n"/>
      <c r="HA4" s="2" t="n"/>
      <c r="HB4" s="2" t="n"/>
      <c r="HC4" s="2" t="n"/>
      <c r="HD4" s="2" t="n"/>
      <c r="HE4" s="2" t="n"/>
      <c r="HF4" s="2" t="n"/>
      <c r="HG4" s="2" t="n"/>
      <c r="HH4" s="2" t="n"/>
      <c r="HI4" s="2" t="n"/>
      <c r="HJ4" s="2" t="n"/>
      <c r="HK4" s="2" t="n"/>
      <c r="HL4" s="2" t="n"/>
      <c r="HM4" s="2" t="n"/>
      <c r="HN4" s="2" t="n"/>
      <c r="HO4" s="2" t="n"/>
      <c r="HP4" s="2" t="n"/>
      <c r="HQ4" s="2" t="n"/>
      <c r="HR4" s="2" t="n"/>
      <c r="HS4" s="2" t="n"/>
      <c r="HT4" s="2" t="n"/>
      <c r="HU4" s="2" t="n"/>
      <c r="HV4" s="2" t="n"/>
      <c r="HW4" s="2" t="n"/>
      <c r="HX4" s="2" t="n"/>
      <c r="HY4" s="2" t="n"/>
      <c r="HZ4" s="2" t="n"/>
      <c r="IA4" s="2" t="n"/>
      <c r="IB4" s="2" t="n"/>
      <c r="IC4" s="2" t="n"/>
      <c r="ID4" s="2" t="n"/>
      <c r="IE4" s="2" t="n"/>
      <c r="IF4" s="2" t="n"/>
      <c r="IG4" s="2" t="n"/>
      <c r="IH4" s="2" t="n"/>
      <c r="II4" s="2" t="n"/>
      <c r="IJ4" s="2" t="n"/>
      <c r="IK4" s="2" t="n"/>
      <c r="IL4" s="2" t="n"/>
      <c r="IM4" s="2" t="n"/>
      <c r="IN4" s="2" t="n"/>
      <c r="IO4" s="2" t="n"/>
    </row>
    <row r="5" ht="15.75" customFormat="1" customHeight="1" s="20">
      <c r="A5" s="2">
        <f>A4+1</f>
        <v/>
      </c>
      <c r="B5" s="127" t="inlineStr">
        <is>
          <t>GARE MONTPARNASSE</t>
        </is>
      </c>
      <c r="C5" s="128" t="inlineStr">
        <is>
          <t>24/02/26</t>
        </is>
      </c>
      <c r="D5" s="125" t="n">
        <v>0.5</v>
      </c>
      <c r="E5" s="125" t="n">
        <v>0.4</v>
      </c>
      <c r="F5" s="125" t="n">
        <v>0</v>
      </c>
      <c r="G5" s="125" t="n">
        <v>0</v>
      </c>
      <c r="H5" s="125" t="n">
        <v>0</v>
      </c>
      <c r="I5" s="125" t="n">
        <v>0.1</v>
      </c>
      <c r="J5" s="125" t="n">
        <v>0.1</v>
      </c>
      <c r="K5" s="125" t="n">
        <v>0.1</v>
      </c>
      <c r="L5" s="125" t="n">
        <v>0.1</v>
      </c>
      <c r="M5" s="125" t="n">
        <v>0.1</v>
      </c>
      <c r="N5" s="125" t="n">
        <v>0.1</v>
      </c>
      <c r="O5" s="125" t="n">
        <v>0</v>
      </c>
      <c r="P5" s="125" t="n">
        <v>0</v>
      </c>
      <c r="Q5" s="125" t="n">
        <v>0</v>
      </c>
      <c r="R5" s="125" t="n">
        <v>0</v>
      </c>
      <c r="S5" s="125" t="n">
        <v>0</v>
      </c>
      <c r="T5" s="125" t="n">
        <v>0</v>
      </c>
      <c r="U5" s="125" t="n">
        <v>0</v>
      </c>
      <c r="V5" s="125" t="n">
        <v>0</v>
      </c>
      <c r="W5" s="125" t="n">
        <v>0</v>
      </c>
      <c r="X5" s="125" t="n">
        <v>0</v>
      </c>
      <c r="Y5" s="125" t="n">
        <v>0</v>
      </c>
      <c r="Z5" s="125" t="n">
        <v>0</v>
      </c>
      <c r="AA5" s="125" t="n">
        <v>0</v>
      </c>
      <c r="AB5" s="125" t="n">
        <v>0</v>
      </c>
      <c r="AC5" s="125" t="n">
        <v>0</v>
      </c>
      <c r="AD5" s="125" t="n">
        <v>0</v>
      </c>
      <c r="AE5" s="125" t="n">
        <v>0</v>
      </c>
      <c r="AF5" s="125" t="n">
        <v>0</v>
      </c>
      <c r="AG5" s="125" t="n">
        <v>0</v>
      </c>
      <c r="AH5" s="125" t="n">
        <v>0</v>
      </c>
      <c r="AI5" s="127">
        <f>SUM(D5:AG5,AH5)</f>
        <v/>
      </c>
      <c r="AJ5" s="126">
        <f>(SUM($D5:$Q5))/AI5</f>
        <v/>
      </c>
      <c r="AK5" s="126">
        <f>(SUM($D5:$H5))/AI5</f>
        <v/>
      </c>
      <c r="AL5" s="126">
        <f>(SUM($R5:$AH5))/AI5</f>
        <v/>
      </c>
      <c r="AM5" s="161" t="n"/>
      <c r="AN5" s="125">
        <f>YEAR(C5)</f>
        <v/>
      </c>
      <c r="AO5" s="125">
        <f>MONTH(C5)</f>
        <v/>
      </c>
      <c r="AP5" s="125">
        <f>WEEKNUM(C5,2)</f>
        <v/>
      </c>
      <c r="AQ5" s="129">
        <f>IFERROR(D5/$AI5,"")</f>
        <v/>
      </c>
      <c r="AR5" s="129">
        <f>IFERROR(E5/$AI5,"")</f>
        <v/>
      </c>
      <c r="AS5" s="129">
        <f>IFERROR(F5/$AI5,"")</f>
        <v/>
      </c>
      <c r="AT5" s="129">
        <f>IFERROR(H5/$AI5,"")</f>
        <v/>
      </c>
      <c r="AU5" s="129">
        <f>IFERROR(I5/$AI5,"")</f>
        <v/>
      </c>
      <c r="AV5" s="129">
        <f>IFERROR(J5/$AI5,"")</f>
        <v/>
      </c>
      <c r="AW5" s="129">
        <f>IFERROR(K5/$AI5,"")</f>
        <v/>
      </c>
      <c r="AX5" s="129">
        <f>IFERROR(L5/$AI5,"")</f>
        <v/>
      </c>
      <c r="AY5" s="129">
        <f>IFERROR(M5/$AI5,"")</f>
        <v/>
      </c>
      <c r="AZ5" s="129">
        <f>IFERROR(N5/$AI5,"")</f>
        <v/>
      </c>
      <c r="BA5" s="129">
        <f>IFERROR(O5/$AI5,"")</f>
        <v/>
      </c>
      <c r="BB5" s="129">
        <f>IFERROR(P5/$AI5,"")</f>
        <v/>
      </c>
      <c r="BC5" s="129">
        <f>IFERROR(AG5/$AI5,"")</f>
        <v/>
      </c>
      <c r="BD5" s="129">
        <f>IFERROR(AH5/$AI5,"")</f>
        <v/>
      </c>
      <c r="BE5" s="129">
        <f>IFERROR(R5/$AI5,"")</f>
        <v/>
      </c>
      <c r="BF5" s="129">
        <f>IFERROR(S5/$AI5,"")</f>
        <v/>
      </c>
      <c r="BG5" s="129">
        <f>IFERROR(T5/$AI5,"")</f>
        <v/>
      </c>
      <c r="BH5" s="129">
        <f>IFERROR(U5/$AI5,"")</f>
        <v/>
      </c>
      <c r="BI5" s="129">
        <f>IFERROR(V5/$AI5,"")</f>
        <v/>
      </c>
      <c r="BJ5" s="129">
        <f>IFERROR(W5/$AI5,"")</f>
        <v/>
      </c>
      <c r="BK5" s="129">
        <f>IFERROR(X5/$AI5,"")</f>
        <v/>
      </c>
      <c r="BL5" s="129">
        <f>IFERROR(Y5/$AI5,"")</f>
        <v/>
      </c>
      <c r="BM5" s="129">
        <f>IFERROR(Z5/$AI5,"")</f>
        <v/>
      </c>
      <c r="BN5" s="129">
        <f>IFERROR(AA5/$AI5,"")</f>
        <v/>
      </c>
      <c r="BO5" s="129">
        <f>IFERROR(AB5/$AI5,"")</f>
        <v/>
      </c>
      <c r="BP5" s="129">
        <f>IFERROR(AC5/$AI5,"")</f>
        <v/>
      </c>
      <c r="BQ5" s="129">
        <f>IFERROR(AD5/$AI5,"")</f>
        <v/>
      </c>
      <c r="BR5" s="129">
        <f>IFERROR(AE5/$AI5,"")</f>
        <v/>
      </c>
      <c r="BS5" s="129">
        <f>IFERROR(AF5/$AI5,"")</f>
        <v/>
      </c>
      <c r="BT5" s="129">
        <f>IFERROR(AG5/$AI5,"")</f>
        <v/>
      </c>
      <c r="BU5" s="129">
        <f>IFERROR(AH5/$AI5,"")</f>
        <v/>
      </c>
      <c r="BV5" s="126">
        <f>SUM(AQ5:BD5)</f>
        <v/>
      </c>
      <c r="BW5" s="126">
        <f>SUM(BE5:BU5)</f>
        <v/>
      </c>
      <c r="BX5" s="126">
        <f>SUM(AQ5:AU5)</f>
        <v/>
      </c>
      <c r="BY5" s="2" t="n"/>
      <c r="BZ5" s="205" t="inlineStr">
        <is>
          <t>JRM</t>
        </is>
      </c>
      <c r="CA5" s="209">
        <f>AVERAGE(AT2:AT1015)</f>
        <v/>
      </c>
      <c r="CB5" s="2" t="n"/>
      <c r="CC5" s="2" t="n"/>
      <c r="CD5" s="2" t="n"/>
      <c r="CE5" s="2" t="n"/>
      <c r="CF5" s="210">
        <f t="array" ref="CF5:CG35">_xlfn._xlws.SORT(BZ2:CA32, 2, 1)</f>
        <v/>
      </c>
      <c r="CG5" s="210" t="e">
        <v>#DIV/0!</v>
      </c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  <c r="GV5" s="2" t="n"/>
      <c r="GW5" s="2" t="n"/>
      <c r="GX5" s="2" t="n"/>
      <c r="GY5" s="2" t="n"/>
      <c r="GZ5" s="2" t="n"/>
      <c r="HA5" s="2" t="n"/>
      <c r="HB5" s="2" t="n"/>
      <c r="HC5" s="2" t="n"/>
      <c r="HD5" s="2" t="n"/>
      <c r="HE5" s="2" t="n"/>
      <c r="HF5" s="2" t="n"/>
      <c r="HG5" s="2" t="n"/>
      <c r="HH5" s="2" t="n"/>
      <c r="HI5" s="2" t="n"/>
      <c r="HJ5" s="2" t="n"/>
      <c r="HK5" s="2" t="n"/>
      <c r="HL5" s="2" t="n"/>
      <c r="HM5" s="2" t="n"/>
      <c r="HN5" s="2" t="n"/>
      <c r="HO5" s="2" t="n"/>
      <c r="HP5" s="2" t="n"/>
      <c r="HQ5" s="2" t="n"/>
      <c r="HR5" s="2" t="n"/>
      <c r="HS5" s="2" t="n"/>
      <c r="HT5" s="2" t="n"/>
      <c r="HU5" s="2" t="n"/>
      <c r="HV5" s="2" t="n"/>
      <c r="HW5" s="2" t="n"/>
      <c r="HX5" s="2" t="n"/>
      <c r="HY5" s="2" t="n"/>
      <c r="HZ5" s="2" t="n"/>
      <c r="IA5" s="2" t="n"/>
      <c r="IB5" s="2" t="n"/>
      <c r="IC5" s="2" t="n"/>
      <c r="ID5" s="2" t="n"/>
      <c r="IE5" s="2" t="n"/>
      <c r="IF5" s="2" t="n"/>
      <c r="IG5" s="2" t="n"/>
      <c r="IH5" s="2" t="n"/>
      <c r="II5" s="2" t="n"/>
      <c r="IJ5" s="2" t="n"/>
      <c r="IK5" s="2" t="n"/>
      <c r="IL5" s="2" t="n"/>
      <c r="IM5" s="2" t="n"/>
      <c r="IN5" s="2" t="n"/>
      <c r="IO5" s="2" t="n"/>
    </row>
    <row r="6" ht="15.75" customFormat="1" customHeight="1" s="20">
      <c r="A6" s="2">
        <f>A5+1</f>
        <v/>
      </c>
      <c r="B6" s="127" t="inlineStr">
        <is>
          <t>GARE MONTPARNASSE</t>
        </is>
      </c>
      <c r="C6" s="128" t="inlineStr">
        <is>
          <t>24/02/26</t>
        </is>
      </c>
      <c r="D6" s="125" t="n">
        <v>0.2</v>
      </c>
      <c r="E6" s="125" t="n">
        <v>0.1</v>
      </c>
      <c r="F6" s="125" t="n">
        <v>0.1</v>
      </c>
      <c r="G6" s="125" t="n">
        <v>0.1</v>
      </c>
      <c r="H6" s="125" t="n">
        <v>0.2</v>
      </c>
      <c r="I6" s="125" t="n">
        <v>0.5</v>
      </c>
      <c r="J6" s="125" t="n">
        <v>0.1</v>
      </c>
      <c r="K6" s="125" t="n">
        <v>0.1</v>
      </c>
      <c r="L6" s="125" t="n">
        <v>0</v>
      </c>
      <c r="M6" s="125" t="n">
        <v>0.1</v>
      </c>
      <c r="N6" s="125" t="n">
        <v>0.1</v>
      </c>
      <c r="O6" s="125" t="n">
        <v>0.1</v>
      </c>
      <c r="P6" s="125" t="n">
        <v>0.2</v>
      </c>
      <c r="Q6" s="125" t="n">
        <v>0.1</v>
      </c>
      <c r="R6" s="125" t="n">
        <v>0.1</v>
      </c>
      <c r="S6" s="125" t="n">
        <v>0.3</v>
      </c>
      <c r="T6" s="125" t="n">
        <v>0.1</v>
      </c>
      <c r="U6" s="125" t="n">
        <v>0.1</v>
      </c>
      <c r="V6" s="125" t="n">
        <v>0.1</v>
      </c>
      <c r="W6" s="125" t="n">
        <v>0.1</v>
      </c>
      <c r="X6" s="125" t="n">
        <v>0.4</v>
      </c>
      <c r="Y6" s="125" t="n">
        <v>0.4</v>
      </c>
      <c r="Z6" s="125" t="n">
        <v>0.1</v>
      </c>
      <c r="AA6" s="125" t="n">
        <v>0.1</v>
      </c>
      <c r="AB6" s="125" t="n">
        <v>0.3</v>
      </c>
      <c r="AC6" s="125" t="n">
        <v>0.1</v>
      </c>
      <c r="AD6" s="125" t="n">
        <v>0.1</v>
      </c>
      <c r="AE6" s="125" t="n">
        <v>0.4</v>
      </c>
      <c r="AF6" s="125" t="n">
        <v>0.5</v>
      </c>
      <c r="AG6" s="125" t="n">
        <v>0.1</v>
      </c>
      <c r="AH6" s="125" t="n">
        <v>0.1</v>
      </c>
      <c r="AI6" s="127">
        <f>SUM(D6:AG6,AH6)</f>
        <v/>
      </c>
      <c r="AJ6" s="126">
        <f>(SUM($D6:$Q6))/AI6</f>
        <v/>
      </c>
      <c r="AK6" s="126">
        <f>(SUM($D6:$H6))/AI6</f>
        <v/>
      </c>
      <c r="AL6" s="126">
        <f>(SUM($R6:$AH6))/AI6</f>
        <v/>
      </c>
      <c r="AM6" s="161" t="n"/>
      <c r="AN6" s="125">
        <f>YEAR(C6)</f>
        <v/>
      </c>
      <c r="AO6" s="125">
        <f>MONTH(C6)</f>
        <v/>
      </c>
      <c r="AP6" s="125">
        <f>WEEKNUM(C6,2)</f>
        <v/>
      </c>
      <c r="AQ6" s="129">
        <f>IFERROR(D6/$AI6,"")</f>
        <v/>
      </c>
      <c r="AR6" s="129">
        <f>IFERROR(E6/$AI6,"")</f>
        <v/>
      </c>
      <c r="AS6" s="129">
        <f>IFERROR(F6/$AI6,"")</f>
        <v/>
      </c>
      <c r="AT6" s="129">
        <f>IFERROR(H6/$AI6,"")</f>
        <v/>
      </c>
      <c r="AU6" s="129">
        <f>IFERROR(I6/$AI6,"")</f>
        <v/>
      </c>
      <c r="AV6" s="129">
        <f>IFERROR(J6/$AI6,"")</f>
        <v/>
      </c>
      <c r="AW6" s="129">
        <f>IFERROR(K6/$AI6,"")</f>
        <v/>
      </c>
      <c r="AX6" s="129">
        <f>IFERROR(L6/$AI6,"")</f>
        <v/>
      </c>
      <c r="AY6" s="129">
        <f>IFERROR(M6/$AI6,"")</f>
        <v/>
      </c>
      <c r="AZ6" s="129">
        <f>IFERROR(N6/$AI6,"")</f>
        <v/>
      </c>
      <c r="BA6" s="129">
        <f>IFERROR(O6/$AI6,"")</f>
        <v/>
      </c>
      <c r="BB6" s="129">
        <f>IFERROR(P6/$AI6,"")</f>
        <v/>
      </c>
      <c r="BC6" s="129">
        <f>IFERROR(AG6/$AI6,"")</f>
        <v/>
      </c>
      <c r="BD6" s="129">
        <f>IFERROR(AH6/$AI6,"")</f>
        <v/>
      </c>
      <c r="BE6" s="129">
        <f>IFERROR(R6/$AI6,"")</f>
        <v/>
      </c>
      <c r="BF6" s="129">
        <f>IFERROR(S6/$AI6,"")</f>
        <v/>
      </c>
      <c r="BG6" s="129">
        <f>IFERROR(T6/$AI6,"")</f>
        <v/>
      </c>
      <c r="BH6" s="129">
        <f>IFERROR(U6/$AI6,"")</f>
        <v/>
      </c>
      <c r="BI6" s="129">
        <f>IFERROR(V6/$AI6,"")</f>
        <v/>
      </c>
      <c r="BJ6" s="129">
        <f>IFERROR(W6/$AI6,"")</f>
        <v/>
      </c>
      <c r="BK6" s="129">
        <f>IFERROR(X6/$AI6,"")</f>
        <v/>
      </c>
      <c r="BL6" s="129">
        <f>IFERROR(Y6/$AI6,"")</f>
        <v/>
      </c>
      <c r="BM6" s="129">
        <f>IFERROR(Z6/$AI6,"")</f>
        <v/>
      </c>
      <c r="BN6" s="129">
        <f>IFERROR(AA6/$AI6,"")</f>
        <v/>
      </c>
      <c r="BO6" s="129">
        <f>IFERROR(AB6/$AI6,"")</f>
        <v/>
      </c>
      <c r="BP6" s="129">
        <f>IFERROR(AC6/$AI6,"")</f>
        <v/>
      </c>
      <c r="BQ6" s="129">
        <f>IFERROR(AD6/$AI6,"")</f>
        <v/>
      </c>
      <c r="BR6" s="129">
        <f>IFERROR(AE6/$AI6,"")</f>
        <v/>
      </c>
      <c r="BS6" s="129">
        <f>IFERROR(AF6/$AI6,"")</f>
        <v/>
      </c>
      <c r="BT6" s="129">
        <f>IFERROR(AG6/$AI6,"")</f>
        <v/>
      </c>
      <c r="BU6" s="129">
        <f>IFERROR(AH6/$AI6,"")</f>
        <v/>
      </c>
      <c r="BV6" s="126">
        <f>SUM(AQ6:BD6)</f>
        <v/>
      </c>
      <c r="BW6" s="126">
        <f>SUM(BE6:BU6)</f>
        <v/>
      </c>
      <c r="BX6" s="126">
        <f>SUM(AQ6:AU6)</f>
        <v/>
      </c>
      <c r="BY6" s="2" t="n"/>
      <c r="BZ6" s="205" t="inlineStr">
        <is>
          <t>GM</t>
        </is>
      </c>
      <c r="CA6" s="209">
        <f>AVERAGE(AU2:AU1015)</f>
        <v/>
      </c>
      <c r="CB6" s="2" t="n"/>
      <c r="CC6" s="2" t="n"/>
      <c r="CD6" s="2" t="n"/>
      <c r="CE6" s="2" t="n"/>
      <c r="CF6" s="210" t="inlineStr">
        <is>
          <t>CARTONNETTE</t>
        </is>
      </c>
      <c r="CG6" s="210" t="e">
        <v>#DIV/0!</v>
      </c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  <c r="GV6" s="2" t="n"/>
      <c r="GW6" s="2" t="n"/>
      <c r="GX6" s="2" t="n"/>
      <c r="GY6" s="2" t="n"/>
      <c r="GZ6" s="2" t="n"/>
      <c r="HA6" s="2" t="n"/>
      <c r="HB6" s="2" t="n"/>
      <c r="HC6" s="2" t="n"/>
      <c r="HD6" s="2" t="n"/>
      <c r="HE6" s="2" t="n"/>
      <c r="HF6" s="2" t="n"/>
      <c r="HG6" s="2" t="n"/>
      <c r="HH6" s="2" t="n"/>
      <c r="HI6" s="2" t="n"/>
      <c r="HJ6" s="2" t="n"/>
      <c r="HK6" s="2" t="n"/>
      <c r="HL6" s="2" t="n"/>
      <c r="HM6" s="2" t="n"/>
      <c r="HN6" s="2" t="n"/>
      <c r="HO6" s="2" t="n"/>
      <c r="HP6" s="2" t="n"/>
      <c r="HQ6" s="2" t="n"/>
      <c r="HR6" s="2" t="n"/>
      <c r="HS6" s="2" t="n"/>
      <c r="HT6" s="2" t="n"/>
      <c r="HU6" s="2" t="n"/>
      <c r="HV6" s="2" t="n"/>
      <c r="HW6" s="2" t="n"/>
      <c r="HX6" s="2" t="n"/>
      <c r="HY6" s="2" t="n"/>
      <c r="HZ6" s="2" t="n"/>
      <c r="IA6" s="2" t="n"/>
      <c r="IB6" s="2" t="n"/>
      <c r="IC6" s="2" t="n"/>
      <c r="ID6" s="2" t="n"/>
      <c r="IE6" s="2" t="n"/>
      <c r="IF6" s="2" t="n"/>
      <c r="IG6" s="2" t="n"/>
      <c r="IH6" s="2" t="n"/>
      <c r="II6" s="2" t="n"/>
      <c r="IJ6" s="2" t="n"/>
      <c r="IK6" s="2" t="n"/>
      <c r="IL6" s="2" t="n"/>
      <c r="IM6" s="2" t="n"/>
      <c r="IN6" s="2" t="n"/>
      <c r="IO6" s="2" t="n"/>
    </row>
    <row r="7" ht="15.75" customFormat="1" customHeight="1" s="20">
      <c r="A7" s="2">
        <f>A6+1</f>
        <v/>
      </c>
      <c r="B7" s="127" t="inlineStr">
        <is>
          <t>GARE MONTPARNASSE</t>
        </is>
      </c>
      <c r="C7" s="128" t="inlineStr">
        <is>
          <t>24-02-2026</t>
        </is>
      </c>
      <c r="D7" s="125" t="n">
        <v>2.7</v>
      </c>
      <c r="E7" s="125" t="n">
        <v>0.1</v>
      </c>
      <c r="F7" s="125" t="n">
        <v>0.1</v>
      </c>
      <c r="G7" s="125" t="n">
        <v>0.2</v>
      </c>
      <c r="H7" s="125" t="n">
        <v>0.2</v>
      </c>
      <c r="I7" s="125" t="n">
        <v>0</v>
      </c>
      <c r="J7" s="125" t="n">
        <v>0</v>
      </c>
      <c r="K7" s="125" t="n">
        <v>0</v>
      </c>
      <c r="L7" s="125" t="n">
        <v>0</v>
      </c>
      <c r="M7" s="125" t="n">
        <v>0</v>
      </c>
      <c r="N7" s="125" t="n">
        <v>0</v>
      </c>
      <c r="O7" s="125" t="n">
        <v>0</v>
      </c>
      <c r="P7" s="125" t="n">
        <v>0</v>
      </c>
      <c r="Q7" s="125" t="n">
        <v>0</v>
      </c>
      <c r="R7" s="125" t="n">
        <v>0</v>
      </c>
      <c r="S7" s="125" t="n">
        <v>0</v>
      </c>
      <c r="T7" s="125" t="n">
        <v>0</v>
      </c>
      <c r="U7" s="125" t="n">
        <v>0</v>
      </c>
      <c r="V7" s="125" t="n">
        <v>0</v>
      </c>
      <c r="W7" s="125" t="n">
        <v>0</v>
      </c>
      <c r="X7" s="125" t="n">
        <v>0</v>
      </c>
      <c r="Y7" s="125" t="n">
        <v>0</v>
      </c>
      <c r="Z7" s="125" t="n">
        <v>0</v>
      </c>
      <c r="AA7" s="125" t="n">
        <v>0</v>
      </c>
      <c r="AB7" s="125" t="n">
        <v>0</v>
      </c>
      <c r="AC7" s="125" t="n">
        <v>0</v>
      </c>
      <c r="AD7" s="125" t="n">
        <v>0.1</v>
      </c>
      <c r="AE7" s="125" t="n">
        <v>0</v>
      </c>
      <c r="AF7" s="125" t="n">
        <v>0.2</v>
      </c>
      <c r="AG7" s="125" t="n">
        <v>0</v>
      </c>
      <c r="AH7" s="125" t="n">
        <v>0.1</v>
      </c>
      <c r="AI7" s="127">
        <f>SUM(D7:AG7,AH7)</f>
        <v/>
      </c>
      <c r="AJ7" s="126">
        <f>(SUM($D7:$Q7))/AI7</f>
        <v/>
      </c>
      <c r="AK7" s="126">
        <f>(SUM($D7:$H7))/AI7</f>
        <v/>
      </c>
      <c r="AL7" s="126">
        <f>(SUM($R7:$AH7))/AI7</f>
        <v/>
      </c>
      <c r="AM7" s="161" t="n"/>
      <c r="AN7" s="125">
        <f>YEAR(C7)</f>
        <v/>
      </c>
      <c r="AO7" s="125">
        <f>MONTH(C7)</f>
        <v/>
      </c>
      <c r="AP7" s="125">
        <f>WEEKNUM(C7,2)</f>
        <v/>
      </c>
      <c r="AQ7" s="129">
        <f>IFERROR(D7/$AI7,"")</f>
        <v/>
      </c>
      <c r="AR7" s="129">
        <f>IFERROR(E7/$AI7,"")</f>
        <v/>
      </c>
      <c r="AS7" s="129">
        <f>IFERROR(F7/$AI7,"")</f>
        <v/>
      </c>
      <c r="AT7" s="129">
        <f>IFERROR(H7/$AI7,"")</f>
        <v/>
      </c>
      <c r="AU7" s="129">
        <f>IFERROR(I7/$AI7,"")</f>
        <v/>
      </c>
      <c r="AV7" s="129">
        <f>IFERROR(J7/$AI7,"")</f>
        <v/>
      </c>
      <c r="AW7" s="129">
        <f>IFERROR(K7/$AI7,"")</f>
        <v/>
      </c>
      <c r="AX7" s="129">
        <f>IFERROR(L7/$AI7,"")</f>
        <v/>
      </c>
      <c r="AY7" s="129">
        <f>IFERROR(M7/$AI7,"")</f>
        <v/>
      </c>
      <c r="AZ7" s="129">
        <f>IFERROR(N7/$AI7,"")</f>
        <v/>
      </c>
      <c r="BA7" s="129">
        <f>IFERROR(O7/$AI7,"")</f>
        <v/>
      </c>
      <c r="BB7" s="129">
        <f>IFERROR(P7/$AI7,"")</f>
        <v/>
      </c>
      <c r="BC7" s="129">
        <f>IFERROR(AG7/$AI7,"")</f>
        <v/>
      </c>
      <c r="BD7" s="129">
        <f>IFERROR(AH7/$AI7,"")</f>
        <v/>
      </c>
      <c r="BE7" s="129">
        <f>IFERROR(R7/$AI7,"")</f>
        <v/>
      </c>
      <c r="BF7" s="129">
        <f>IFERROR(S7/$AI7,"")</f>
        <v/>
      </c>
      <c r="BG7" s="129">
        <f>IFERROR(T7/$AI7,"")</f>
        <v/>
      </c>
      <c r="BH7" s="129">
        <f>IFERROR(U7/$AI7,"")</f>
        <v/>
      </c>
      <c r="BI7" s="129">
        <f>IFERROR(V7/$AI7,"")</f>
        <v/>
      </c>
      <c r="BJ7" s="129">
        <f>IFERROR(W7/$AI7,"")</f>
        <v/>
      </c>
      <c r="BK7" s="129">
        <f>IFERROR(X7/$AI7,"")</f>
        <v/>
      </c>
      <c r="BL7" s="129">
        <f>IFERROR(Y7/$AI7,"")</f>
        <v/>
      </c>
      <c r="BM7" s="129">
        <f>IFERROR(Z7/$AI7,"")</f>
        <v/>
      </c>
      <c r="BN7" s="129">
        <f>IFERROR(AA7/$AI7,"")</f>
        <v/>
      </c>
      <c r="BO7" s="129">
        <f>IFERROR(AB7/$AI7,"")</f>
        <v/>
      </c>
      <c r="BP7" s="129">
        <f>IFERROR(AC7/$AI7,"")</f>
        <v/>
      </c>
      <c r="BQ7" s="129">
        <f>IFERROR(AD7/$AI7,"")</f>
        <v/>
      </c>
      <c r="BR7" s="129">
        <f>IFERROR(AE7/$AI7,"")</f>
        <v/>
      </c>
      <c r="BS7" s="129">
        <f>IFERROR(AF7/$AI7,"")</f>
        <v/>
      </c>
      <c r="BT7" s="129">
        <f>IFERROR(AG7/$AI7,"")</f>
        <v/>
      </c>
      <c r="BU7" s="129">
        <f>IFERROR(AH7/$AI7,"")</f>
        <v/>
      </c>
      <c r="BV7" s="126">
        <f>SUM(AQ7:BD7)</f>
        <v/>
      </c>
      <c r="BW7" s="126">
        <f>SUM(BE7:BU7)</f>
        <v/>
      </c>
      <c r="BX7" s="126">
        <f>SUM(AQ7:AU7)</f>
        <v/>
      </c>
      <c r="BY7" s="2" t="n"/>
      <c r="BZ7" s="206" t="inlineStr">
        <is>
          <t>ELA</t>
        </is>
      </c>
      <c r="CA7" s="209">
        <f>AVERAGE(AV2:AV1015)</f>
        <v/>
      </c>
      <c r="CB7" s="2" t="n"/>
      <c r="CC7" s="2" t="n"/>
      <c r="CD7" s="2" t="n"/>
      <c r="CE7" s="2" t="n"/>
      <c r="CF7" s="210" t="inlineStr">
        <is>
          <t xml:space="preserve">ECRIT COULEUR </t>
        </is>
      </c>
      <c r="CG7" s="210" t="e">
        <v>#DIV/0!</v>
      </c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n"/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2" t="n"/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2" t="n"/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2" t="n"/>
      <c r="IH7" s="2" t="n"/>
      <c r="II7" s="2" t="n"/>
      <c r="IJ7" s="2" t="n"/>
      <c r="IK7" s="2" t="n"/>
      <c r="IL7" s="2" t="n"/>
      <c r="IM7" s="2" t="n"/>
      <c r="IN7" s="2" t="n"/>
      <c r="IO7" s="2" t="n"/>
    </row>
    <row r="8" ht="15.75" customFormat="1" customHeight="1" s="20">
      <c r="A8" s="2">
        <f>A7+1</f>
        <v/>
      </c>
      <c r="B8" s="127" t="n"/>
      <c r="C8" s="128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7">
        <f>SUM(D8:AG8,AH8)</f>
        <v/>
      </c>
      <c r="AJ8" s="126">
        <f>(SUM($D8:$Q8))/AI8</f>
        <v/>
      </c>
      <c r="AK8" s="126">
        <f>(SUM($D8:$H8))/AI8</f>
        <v/>
      </c>
      <c r="AL8" s="126">
        <f>(SUM($R8:$AH8))/AI8</f>
        <v/>
      </c>
      <c r="AM8" s="161" t="n"/>
      <c r="AN8" s="125">
        <f>YEAR(C8)</f>
        <v/>
      </c>
      <c r="AO8" s="125">
        <f>MONTH(C8)</f>
        <v/>
      </c>
      <c r="AP8" s="125">
        <f>WEEKNUM(C8,2)</f>
        <v/>
      </c>
      <c r="AQ8" s="129">
        <f>IFERROR(D8/$AI8,"")</f>
        <v/>
      </c>
      <c r="AR8" s="129">
        <f>IFERROR(E8/$AI8,"")</f>
        <v/>
      </c>
      <c r="AS8" s="129">
        <f>IFERROR(F8/$AI8,"")</f>
        <v/>
      </c>
      <c r="AT8" s="129">
        <f>IFERROR(H8/$AI8,"")</f>
        <v/>
      </c>
      <c r="AU8" s="129">
        <f>IFERROR(I8/$AI8,"")</f>
        <v/>
      </c>
      <c r="AV8" s="129">
        <f>IFERROR(J8/$AI8,"")</f>
        <v/>
      </c>
      <c r="AW8" s="129">
        <f>IFERROR(K8/$AI8,"")</f>
        <v/>
      </c>
      <c r="AX8" s="129">
        <f>IFERROR(L8/$AI8,"")</f>
        <v/>
      </c>
      <c r="AY8" s="129">
        <f>IFERROR(M8/$AI8,"")</f>
        <v/>
      </c>
      <c r="AZ8" s="129">
        <f>IFERROR(N8/$AI8,"")</f>
        <v/>
      </c>
      <c r="BA8" s="129">
        <f>IFERROR(O8/$AI8,"")</f>
        <v/>
      </c>
      <c r="BB8" s="129">
        <f>IFERROR(P8/$AI8,"")</f>
        <v/>
      </c>
      <c r="BC8" s="129">
        <f>IFERROR(AG8/$AI8,"")</f>
        <v/>
      </c>
      <c r="BD8" s="129">
        <f>IFERROR(AH8/$AI8,"")</f>
        <v/>
      </c>
      <c r="BE8" s="129">
        <f>IFERROR(R8/$AI8,"")</f>
        <v/>
      </c>
      <c r="BF8" s="129">
        <f>IFERROR(S8/$AI8,"")</f>
        <v/>
      </c>
      <c r="BG8" s="129">
        <f>IFERROR(T8/$AI8,"")</f>
        <v/>
      </c>
      <c r="BH8" s="129">
        <f>IFERROR(U8/$AI8,"")</f>
        <v/>
      </c>
      <c r="BI8" s="129">
        <f>IFERROR(V8/$AI8,"")</f>
        <v/>
      </c>
      <c r="BJ8" s="129">
        <f>IFERROR(W8/$AI8,"")</f>
        <v/>
      </c>
      <c r="BK8" s="129">
        <f>IFERROR(X8/$AI8,"")</f>
        <v/>
      </c>
      <c r="BL8" s="129">
        <f>IFERROR(Y8/$AI8,"")</f>
        <v/>
      </c>
      <c r="BM8" s="129">
        <f>IFERROR(Z8/$AI8,"")</f>
        <v/>
      </c>
      <c r="BN8" s="129">
        <f>IFERROR(AA8/$AI8,"")</f>
        <v/>
      </c>
      <c r="BO8" s="129">
        <f>IFERROR(AB8/$AI8,"")</f>
        <v/>
      </c>
      <c r="BP8" s="129">
        <f>IFERROR(AC8/$AI8,"")</f>
        <v/>
      </c>
      <c r="BQ8" s="129">
        <f>IFERROR(AD8/$AI8,"")</f>
        <v/>
      </c>
      <c r="BR8" s="129">
        <f>IFERROR(AE8/$AI8,"")</f>
        <v/>
      </c>
      <c r="BS8" s="129">
        <f>IFERROR(AF8/$AI8,"")</f>
        <v/>
      </c>
      <c r="BT8" s="129">
        <f>IFERROR(AG8/$AI8,"")</f>
        <v/>
      </c>
      <c r="BU8" s="129">
        <f>IFERROR(AH8/$AI8,"")</f>
        <v/>
      </c>
      <c r="BV8" s="126">
        <f>SUM(AQ8:BD8)</f>
        <v/>
      </c>
      <c r="BW8" s="126">
        <f>SUM(BE8:BU8)</f>
        <v/>
      </c>
      <c r="BX8" s="126">
        <f>SUM(AQ8:AU8)</f>
        <v/>
      </c>
      <c r="BY8" s="2" t="n"/>
      <c r="BZ8" s="157" t="inlineStr">
        <is>
          <t>PEPP</t>
        </is>
      </c>
      <c r="CA8" s="209">
        <f>AVERAGE(AW2:AW1015)</f>
        <v/>
      </c>
      <c r="CB8" s="2" t="n"/>
      <c r="CC8" s="2" t="n"/>
      <c r="CD8" s="2" t="n"/>
      <c r="CE8" s="2" t="n"/>
      <c r="CF8" s="210" t="inlineStr">
        <is>
          <t>JRM</t>
        </is>
      </c>
      <c r="CG8" s="210" t="e">
        <v>#DIV/0!</v>
      </c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n"/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  <c r="GV8" s="2" t="n"/>
      <c r="GW8" s="2" t="n"/>
      <c r="GX8" s="2" t="n"/>
      <c r="GY8" s="2" t="n"/>
      <c r="GZ8" s="2" t="n"/>
      <c r="HA8" s="2" t="n"/>
      <c r="HB8" s="2" t="n"/>
      <c r="HC8" s="2" t="n"/>
      <c r="HD8" s="2" t="n"/>
      <c r="HE8" s="2" t="n"/>
      <c r="HF8" s="2" t="n"/>
      <c r="HG8" s="2" t="n"/>
      <c r="HH8" s="2" t="n"/>
      <c r="HI8" s="2" t="n"/>
      <c r="HJ8" s="2" t="n"/>
      <c r="HK8" s="2" t="n"/>
      <c r="HL8" s="2" t="n"/>
      <c r="HM8" s="2" t="n"/>
      <c r="HN8" s="2" t="n"/>
      <c r="HO8" s="2" t="n"/>
      <c r="HP8" s="2" t="n"/>
      <c r="HQ8" s="2" t="n"/>
      <c r="HR8" s="2" t="n"/>
      <c r="HS8" s="2" t="n"/>
      <c r="HT8" s="2" t="n"/>
      <c r="HU8" s="2" t="n"/>
      <c r="HV8" s="2" t="n"/>
      <c r="HW8" s="2" t="n"/>
      <c r="HX8" s="2" t="n"/>
      <c r="HY8" s="2" t="n"/>
      <c r="HZ8" s="2" t="n"/>
      <c r="IA8" s="2" t="n"/>
      <c r="IB8" s="2" t="n"/>
      <c r="IC8" s="2" t="n"/>
      <c r="ID8" s="2" t="n"/>
      <c r="IE8" s="2" t="n"/>
      <c r="IF8" s="2" t="n"/>
      <c r="IG8" s="2" t="n"/>
      <c r="IH8" s="2" t="n"/>
      <c r="II8" s="2" t="n"/>
      <c r="IJ8" s="2" t="n"/>
      <c r="IK8" s="2" t="n"/>
      <c r="IL8" s="2" t="n"/>
      <c r="IM8" s="2" t="n"/>
      <c r="IN8" s="2" t="n"/>
      <c r="IO8" s="2" t="n"/>
    </row>
    <row r="9" ht="15.75" customFormat="1" customHeight="1" s="20">
      <c r="A9" s="2">
        <f>A8+1</f>
        <v/>
      </c>
      <c r="B9" s="127" t="n"/>
      <c r="C9" s="128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7">
        <f>SUM(D9:AG9,AH9)</f>
        <v/>
      </c>
      <c r="AJ9" s="126">
        <f>(SUM($D9:$Q9))/AI9</f>
        <v/>
      </c>
      <c r="AK9" s="126">
        <f>(SUM($D9:$H9))/AI9</f>
        <v/>
      </c>
      <c r="AL9" s="126">
        <f>(SUM($R9:$AH9))/AI9</f>
        <v/>
      </c>
      <c r="AM9" s="161" t="n"/>
      <c r="AN9" s="125">
        <f>YEAR(C9)</f>
        <v/>
      </c>
      <c r="AO9" s="125">
        <f>MONTH(C9)</f>
        <v/>
      </c>
      <c r="AP9" s="125">
        <f>WEEKNUM(C9,2)</f>
        <v/>
      </c>
      <c r="AQ9" s="129">
        <f>IFERROR(D9/$AI9,"")</f>
        <v/>
      </c>
      <c r="AR9" s="129">
        <f>IFERROR(E9/$AI9,"")</f>
        <v/>
      </c>
      <c r="AS9" s="129">
        <f>IFERROR(F9/$AI9,"")</f>
        <v/>
      </c>
      <c r="AT9" s="129">
        <f>IFERROR(H9/$AI9,"")</f>
        <v/>
      </c>
      <c r="AU9" s="129">
        <f>IFERROR(I9/$AI9,"")</f>
        <v/>
      </c>
      <c r="AV9" s="129">
        <f>IFERROR(J9/$AI9,"")</f>
        <v/>
      </c>
      <c r="AW9" s="129">
        <f>IFERROR(K9/$AI9,"")</f>
        <v/>
      </c>
      <c r="AX9" s="129">
        <f>IFERROR(L9/$AI9,"")</f>
        <v/>
      </c>
      <c r="AY9" s="129">
        <f>IFERROR(M9/$AI9,"")</f>
        <v/>
      </c>
      <c r="AZ9" s="129">
        <f>IFERROR(N9/$AI9,"")</f>
        <v/>
      </c>
      <c r="BA9" s="129">
        <f>IFERROR(O9/$AI9,"")</f>
        <v/>
      </c>
      <c r="BB9" s="129">
        <f>IFERROR(P9/$AI9,"")</f>
        <v/>
      </c>
      <c r="BC9" s="129">
        <f>IFERROR(AG9/$AI9,"")</f>
        <v/>
      </c>
      <c r="BD9" s="129">
        <f>IFERROR(AH9/$AI9,"")</f>
        <v/>
      </c>
      <c r="BE9" s="129">
        <f>IFERROR(R9/$AI9,"")</f>
        <v/>
      </c>
      <c r="BF9" s="129">
        <f>IFERROR(S9/$AI9,"")</f>
        <v/>
      </c>
      <c r="BG9" s="129">
        <f>IFERROR(T9/$AI9,"")</f>
        <v/>
      </c>
      <c r="BH9" s="129">
        <f>IFERROR(U9/$AI9,"")</f>
        <v/>
      </c>
      <c r="BI9" s="129">
        <f>IFERROR(V9/$AI9,"")</f>
        <v/>
      </c>
      <c r="BJ9" s="129">
        <f>IFERROR(W9/$AI9,"")</f>
        <v/>
      </c>
      <c r="BK9" s="129">
        <f>IFERROR(X9/$AI9,"")</f>
        <v/>
      </c>
      <c r="BL9" s="129">
        <f>IFERROR(Y9/$AI9,"")</f>
        <v/>
      </c>
      <c r="BM9" s="129">
        <f>IFERROR(Z9/$AI9,"")</f>
        <v/>
      </c>
      <c r="BN9" s="129">
        <f>IFERROR(AA9/$AI9,"")</f>
        <v/>
      </c>
      <c r="BO9" s="129">
        <f>IFERROR(AB9/$AI9,"")</f>
        <v/>
      </c>
      <c r="BP9" s="129">
        <f>IFERROR(AC9/$AI9,"")</f>
        <v/>
      </c>
      <c r="BQ9" s="129">
        <f>IFERROR(AD9/$AI9,"")</f>
        <v/>
      </c>
      <c r="BR9" s="129">
        <f>IFERROR(AE9/$AI9,"")</f>
        <v/>
      </c>
      <c r="BS9" s="129">
        <f>IFERROR(AF9/$AI9,"")</f>
        <v/>
      </c>
      <c r="BT9" s="129">
        <f>IFERROR(AG9/$AI9,"")</f>
        <v/>
      </c>
      <c r="BU9" s="129">
        <f>IFERROR(AH9/$AI9,"")</f>
        <v/>
      </c>
      <c r="BV9" s="126">
        <f>SUM(AQ9:BD9)</f>
        <v/>
      </c>
      <c r="BW9" s="126">
        <f>SUM(BE9:BU9)</f>
        <v/>
      </c>
      <c r="BX9" s="126">
        <f>SUM(AQ9:AU9)</f>
        <v/>
      </c>
      <c r="BY9" s="2" t="n"/>
      <c r="BZ9" s="157" t="inlineStr">
        <is>
          <t>PET Q9</t>
        </is>
      </c>
      <c r="CA9" s="209">
        <f>AVERAGE(AX2:AX1015)</f>
        <v/>
      </c>
      <c r="CB9" s="2" t="n"/>
      <c r="CC9" s="2" t="n"/>
      <c r="CD9" s="2" t="n"/>
      <c r="CE9" s="2" t="n"/>
      <c r="CF9" s="210" t="inlineStr">
        <is>
          <t>GM</t>
        </is>
      </c>
      <c r="CG9" s="210" t="e">
        <v>#DIV/0!</v>
      </c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  <c r="GV9" s="2" t="n"/>
      <c r="GW9" s="2" t="n"/>
      <c r="GX9" s="2" t="n"/>
      <c r="GY9" s="2" t="n"/>
      <c r="GZ9" s="2" t="n"/>
      <c r="HA9" s="2" t="n"/>
      <c r="HB9" s="2" t="n"/>
      <c r="HC9" s="2" t="n"/>
      <c r="HD9" s="2" t="n"/>
      <c r="HE9" s="2" t="n"/>
      <c r="HF9" s="2" t="n"/>
      <c r="HG9" s="2" t="n"/>
      <c r="HH9" s="2" t="n"/>
      <c r="HI9" s="2" t="n"/>
      <c r="HJ9" s="2" t="n"/>
      <c r="HK9" s="2" t="n"/>
      <c r="HL9" s="2" t="n"/>
      <c r="HM9" s="2" t="n"/>
      <c r="HN9" s="2" t="n"/>
      <c r="HO9" s="2" t="n"/>
      <c r="HP9" s="2" t="n"/>
      <c r="HQ9" s="2" t="n"/>
      <c r="HR9" s="2" t="n"/>
      <c r="HS9" s="2" t="n"/>
      <c r="HT9" s="2" t="n"/>
      <c r="HU9" s="2" t="n"/>
      <c r="HV9" s="2" t="n"/>
      <c r="HW9" s="2" t="n"/>
      <c r="HX9" s="2" t="n"/>
      <c r="HY9" s="2" t="n"/>
      <c r="HZ9" s="2" t="n"/>
      <c r="IA9" s="2" t="n"/>
      <c r="IB9" s="2" t="n"/>
      <c r="IC9" s="2" t="n"/>
      <c r="ID9" s="2" t="n"/>
      <c r="IE9" s="2" t="n"/>
      <c r="IF9" s="2" t="n"/>
      <c r="IG9" s="2" t="n"/>
      <c r="IH9" s="2" t="n"/>
      <c r="II9" s="2" t="n"/>
      <c r="IJ9" s="2" t="n"/>
      <c r="IK9" s="2" t="n"/>
      <c r="IL9" s="2" t="n"/>
      <c r="IM9" s="2" t="n"/>
      <c r="IN9" s="2" t="n"/>
      <c r="IO9" s="2" t="n"/>
    </row>
    <row r="10" ht="15.75" customFormat="1" customHeight="1" s="20">
      <c r="A10" s="2">
        <f>A9+1</f>
        <v/>
      </c>
      <c r="B10" s="127" t="n"/>
      <c r="C10" s="128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7">
        <f>SUM(D10:AG10,AH10)</f>
        <v/>
      </c>
      <c r="AJ10" s="126">
        <f>(SUM($D10:$Q10))/AI10</f>
        <v/>
      </c>
      <c r="AK10" s="126">
        <f>(SUM($D10:$H10))/AI10</f>
        <v/>
      </c>
      <c r="AL10" s="126">
        <f>(SUM($R10:$AH10))/AI10</f>
        <v/>
      </c>
      <c r="AM10" s="161" t="n"/>
      <c r="AN10" s="125">
        <f>YEAR(C10)</f>
        <v/>
      </c>
      <c r="AO10" s="125">
        <f>MONTH(C10)</f>
        <v/>
      </c>
      <c r="AP10" s="125">
        <f>WEEKNUM(C10,2)</f>
        <v/>
      </c>
      <c r="AQ10" s="129">
        <f>IFERROR(D10/$AI10,"")</f>
        <v/>
      </c>
      <c r="AR10" s="129">
        <f>IFERROR(E10/$AI10,"")</f>
        <v/>
      </c>
      <c r="AS10" s="129">
        <f>IFERROR(F10/$AI10,"")</f>
        <v/>
      </c>
      <c r="AT10" s="129">
        <f>IFERROR(H10/$AI10,"")</f>
        <v/>
      </c>
      <c r="AU10" s="129">
        <f>IFERROR(I10/$AI10,"")</f>
        <v/>
      </c>
      <c r="AV10" s="129">
        <f>IFERROR(J10/$AI10,"")</f>
        <v/>
      </c>
      <c r="AW10" s="129">
        <f>IFERROR(K10/$AI10,"")</f>
        <v/>
      </c>
      <c r="AX10" s="129">
        <f>IFERROR(L10/$AI10,"")</f>
        <v/>
      </c>
      <c r="AY10" s="129">
        <f>IFERROR(M10/$AI10,"")</f>
        <v/>
      </c>
      <c r="AZ10" s="129">
        <f>IFERROR(N10/$AI10,"")</f>
        <v/>
      </c>
      <c r="BA10" s="129">
        <f>IFERROR(O10/$AI10,"")</f>
        <v/>
      </c>
      <c r="BB10" s="129">
        <f>IFERROR(P10/$AI10,"")</f>
        <v/>
      </c>
      <c r="BC10" s="129">
        <f>IFERROR(AG10/$AI10,"")</f>
        <v/>
      </c>
      <c r="BD10" s="129">
        <f>IFERROR(AH10/$AI10,"")</f>
        <v/>
      </c>
      <c r="BE10" s="129">
        <f>IFERROR(R10/$AI10,"")</f>
        <v/>
      </c>
      <c r="BF10" s="129">
        <f>IFERROR(S10/$AI10,"")</f>
        <v/>
      </c>
      <c r="BG10" s="129">
        <f>IFERROR(T10/$AI10,"")</f>
        <v/>
      </c>
      <c r="BH10" s="129">
        <f>IFERROR(U10/$AI10,"")</f>
        <v/>
      </c>
      <c r="BI10" s="129">
        <f>IFERROR(V10/$AI10,"")</f>
        <v/>
      </c>
      <c r="BJ10" s="129">
        <f>IFERROR(W10/$AI10,"")</f>
        <v/>
      </c>
      <c r="BK10" s="129">
        <f>IFERROR(X10/$AI10,"")</f>
        <v/>
      </c>
      <c r="BL10" s="129">
        <f>IFERROR(Y10/$AI10,"")</f>
        <v/>
      </c>
      <c r="BM10" s="129">
        <f>IFERROR(Z10/$AI10,"")</f>
        <v/>
      </c>
      <c r="BN10" s="129">
        <f>IFERROR(AA10/$AI10,"")</f>
        <v/>
      </c>
      <c r="BO10" s="129">
        <f>IFERROR(AB10/$AI10,"")</f>
        <v/>
      </c>
      <c r="BP10" s="129">
        <f>IFERROR(AC10/$AI10,"")</f>
        <v/>
      </c>
      <c r="BQ10" s="129">
        <f>IFERROR(AD10/$AI10,"")</f>
        <v/>
      </c>
      <c r="BR10" s="129">
        <f>IFERROR(AE10/$AI10,"")</f>
        <v/>
      </c>
      <c r="BS10" s="129">
        <f>IFERROR(AF10/$AI10,"")</f>
        <v/>
      </c>
      <c r="BT10" s="129">
        <f>IFERROR(AG10/$AI10,"")</f>
        <v/>
      </c>
      <c r="BU10" s="129">
        <f>IFERROR(AH10/$AI10,"")</f>
        <v/>
      </c>
      <c r="BV10" s="126">
        <f>SUM(AQ10:BD10)</f>
        <v/>
      </c>
      <c r="BW10" s="126">
        <f>SUM(BE10:BU10)</f>
        <v/>
      </c>
      <c r="BX10" s="126">
        <f>SUM(AQ10:AU10)</f>
        <v/>
      </c>
      <c r="BY10" s="2" t="n"/>
      <c r="BZ10" s="157" t="inlineStr">
        <is>
          <t>PET Q5</t>
        </is>
      </c>
      <c r="CA10" s="209">
        <f>AVERAGE(AY2:AY1015)</f>
        <v/>
      </c>
      <c r="CB10" s="2" t="n"/>
      <c r="CC10" s="2" t="n"/>
      <c r="CD10" s="2" t="n"/>
      <c r="CE10" s="2" t="n"/>
      <c r="CF10" s="210" t="inlineStr">
        <is>
          <t>ELA</t>
        </is>
      </c>
      <c r="CG10" s="210" t="e">
        <v>#DIV/0!</v>
      </c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  <c r="GV10" s="2" t="n"/>
      <c r="GW10" s="2" t="n"/>
      <c r="GX10" s="2" t="n"/>
      <c r="GY10" s="2" t="n"/>
      <c r="GZ10" s="2" t="n"/>
      <c r="HA10" s="2" t="n"/>
      <c r="HB10" s="2" t="n"/>
      <c r="HC10" s="2" t="n"/>
      <c r="HD10" s="2" t="n"/>
      <c r="HE10" s="2" t="n"/>
      <c r="HF10" s="2" t="n"/>
      <c r="HG10" s="2" t="n"/>
      <c r="HH10" s="2" t="n"/>
      <c r="HI10" s="2" t="n"/>
      <c r="HJ10" s="2" t="n"/>
      <c r="HK10" s="2" t="n"/>
      <c r="HL10" s="2" t="n"/>
      <c r="HM10" s="2" t="n"/>
      <c r="HN10" s="2" t="n"/>
      <c r="HO10" s="2" t="n"/>
      <c r="HP10" s="2" t="n"/>
      <c r="HQ10" s="2" t="n"/>
      <c r="HR10" s="2" t="n"/>
      <c r="HS10" s="2" t="n"/>
      <c r="HT10" s="2" t="n"/>
      <c r="HU10" s="2" t="n"/>
      <c r="HV10" s="2" t="n"/>
      <c r="HW10" s="2" t="n"/>
      <c r="HX10" s="2" t="n"/>
      <c r="HY10" s="2" t="n"/>
      <c r="HZ10" s="2" t="n"/>
      <c r="IA10" s="2" t="n"/>
      <c r="IB10" s="2" t="n"/>
      <c r="IC10" s="2" t="n"/>
      <c r="ID10" s="2" t="n"/>
      <c r="IE10" s="2" t="n"/>
      <c r="IF10" s="2" t="n"/>
      <c r="IG10" s="2" t="n"/>
      <c r="IH10" s="2" t="n"/>
      <c r="II10" s="2" t="n"/>
      <c r="IJ10" s="2" t="n"/>
      <c r="IK10" s="2" t="n"/>
      <c r="IL10" s="2" t="n"/>
      <c r="IM10" s="2" t="n"/>
      <c r="IN10" s="2" t="n"/>
      <c r="IO10" s="2" t="n"/>
    </row>
    <row r="11" ht="15.75" customFormat="1" customHeight="1" s="20">
      <c r="A11" s="2">
        <f>A10+1</f>
        <v/>
      </c>
      <c r="B11" s="127" t="n"/>
      <c r="C11" s="128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7">
        <f>SUM(D11:AG11,AH11)</f>
        <v/>
      </c>
      <c r="AJ11" s="126">
        <f>(SUM($D11:$Q11))/AI11</f>
        <v/>
      </c>
      <c r="AK11" s="126">
        <f>(SUM($D11:$H11))/AI11</f>
        <v/>
      </c>
      <c r="AL11" s="126">
        <f>(SUM($R11:$AH11))/AI11</f>
        <v/>
      </c>
      <c r="AM11" s="161" t="n"/>
      <c r="AN11" s="125">
        <f>YEAR(C11)</f>
        <v/>
      </c>
      <c r="AO11" s="125">
        <f>MONTH(C11)</f>
        <v/>
      </c>
      <c r="AP11" s="125">
        <f>WEEKNUM(C11,2)</f>
        <v/>
      </c>
      <c r="AQ11" s="129">
        <f>IFERROR(D11/$AI11,"")</f>
        <v/>
      </c>
      <c r="AR11" s="129">
        <f>IFERROR(E11/$AI11,"")</f>
        <v/>
      </c>
      <c r="AS11" s="129">
        <f>IFERROR(F11/$AI11,"")</f>
        <v/>
      </c>
      <c r="AT11" s="129">
        <f>IFERROR(H11/$AI11,"")</f>
        <v/>
      </c>
      <c r="AU11" s="129">
        <f>IFERROR(I11/$AI11,"")</f>
        <v/>
      </c>
      <c r="AV11" s="129">
        <f>IFERROR(J11/$AI11,"")</f>
        <v/>
      </c>
      <c r="AW11" s="129">
        <f>IFERROR(K11/$AI11,"")</f>
        <v/>
      </c>
      <c r="AX11" s="129">
        <f>IFERROR(L11/$AI11,"")</f>
        <v/>
      </c>
      <c r="AY11" s="129">
        <f>IFERROR(M11/$AI11,"")</f>
        <v/>
      </c>
      <c r="AZ11" s="129">
        <f>IFERROR(N11/$AI11,"")</f>
        <v/>
      </c>
      <c r="BA11" s="129">
        <f>IFERROR(O11/$AI11,"")</f>
        <v/>
      </c>
      <c r="BB11" s="129">
        <f>IFERROR(P11/$AI11,"")</f>
        <v/>
      </c>
      <c r="BC11" s="129">
        <f>IFERROR(AG11/$AI11,"")</f>
        <v/>
      </c>
      <c r="BD11" s="129">
        <f>IFERROR(AH11/$AI11,"")</f>
        <v/>
      </c>
      <c r="BE11" s="129">
        <f>IFERROR(R11/$AI11,"")</f>
        <v/>
      </c>
      <c r="BF11" s="129">
        <f>IFERROR(S11/$AI11,"")</f>
        <v/>
      </c>
      <c r="BG11" s="129">
        <f>IFERROR(T11/$AI11,"")</f>
        <v/>
      </c>
      <c r="BH11" s="129">
        <f>IFERROR(U11/$AI11,"")</f>
        <v/>
      </c>
      <c r="BI11" s="129">
        <f>IFERROR(V11/$AI11,"")</f>
        <v/>
      </c>
      <c r="BJ11" s="129">
        <f>IFERROR(W11/$AI11,"")</f>
        <v/>
      </c>
      <c r="BK11" s="129">
        <f>IFERROR(X11/$AI11,"")</f>
        <v/>
      </c>
      <c r="BL11" s="129">
        <f>IFERROR(Y11/$AI11,"")</f>
        <v/>
      </c>
      <c r="BM11" s="129">
        <f>IFERROR(Z11/$AI11,"")</f>
        <v/>
      </c>
      <c r="BN11" s="129">
        <f>IFERROR(AA11/$AI11,"")</f>
        <v/>
      </c>
      <c r="BO11" s="129">
        <f>IFERROR(AB11/$AI11,"")</f>
        <v/>
      </c>
      <c r="BP11" s="129">
        <f>IFERROR(AC11/$AI11,"")</f>
        <v/>
      </c>
      <c r="BQ11" s="129">
        <f>IFERROR(AD11/$AI11,"")</f>
        <v/>
      </c>
      <c r="BR11" s="129">
        <f>IFERROR(AE11/$AI11,"")</f>
        <v/>
      </c>
      <c r="BS11" s="129">
        <f>IFERROR(AF11/$AI11,"")</f>
        <v/>
      </c>
      <c r="BT11" s="129">
        <f>IFERROR(AG11/$AI11,"")</f>
        <v/>
      </c>
      <c r="BU11" s="129">
        <f>IFERROR(AH11/$AI11,"")</f>
        <v/>
      </c>
      <c r="BV11" s="126">
        <f>SUM(AQ11:BD11)</f>
        <v/>
      </c>
      <c r="BW11" s="126">
        <f>SUM(BE11:BU11)</f>
        <v/>
      </c>
      <c r="BX11" s="126">
        <f>SUM(AQ11:AU11)</f>
        <v/>
      </c>
      <c r="BY11" s="2" t="n"/>
      <c r="BZ11" s="157" t="inlineStr">
        <is>
          <t>PET B</t>
        </is>
      </c>
      <c r="CA11" s="209">
        <f>AVERAGE(AZ2:AZ1015)</f>
        <v/>
      </c>
      <c r="CB11" s="2" t="n"/>
      <c r="CC11" s="2" t="n"/>
      <c r="CD11" s="2" t="n"/>
      <c r="CE11" s="2" t="n"/>
      <c r="CF11" s="210" t="inlineStr">
        <is>
          <t>PEPP</t>
        </is>
      </c>
      <c r="CG11" s="210" t="e">
        <v>#DIV/0!</v>
      </c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  <c r="GV11" s="2" t="n"/>
      <c r="GW11" s="2" t="n"/>
      <c r="GX11" s="2" t="n"/>
      <c r="GY11" s="2" t="n"/>
      <c r="GZ11" s="2" t="n"/>
      <c r="HA11" s="2" t="n"/>
      <c r="HB11" s="2" t="n"/>
      <c r="HC11" s="2" t="n"/>
      <c r="HD11" s="2" t="n"/>
      <c r="HE11" s="2" t="n"/>
      <c r="HF11" s="2" t="n"/>
      <c r="HG11" s="2" t="n"/>
      <c r="HH11" s="2" t="n"/>
      <c r="HI11" s="2" t="n"/>
      <c r="HJ11" s="2" t="n"/>
      <c r="HK11" s="2" t="n"/>
      <c r="HL11" s="2" t="n"/>
      <c r="HM11" s="2" t="n"/>
      <c r="HN11" s="2" t="n"/>
      <c r="HO11" s="2" t="n"/>
      <c r="HP11" s="2" t="n"/>
      <c r="HQ11" s="2" t="n"/>
      <c r="HR11" s="2" t="n"/>
      <c r="HS11" s="2" t="n"/>
      <c r="HT11" s="2" t="n"/>
      <c r="HU11" s="2" t="n"/>
      <c r="HV11" s="2" t="n"/>
      <c r="HW11" s="2" t="n"/>
      <c r="HX11" s="2" t="n"/>
      <c r="HY11" s="2" t="n"/>
      <c r="HZ11" s="2" t="n"/>
      <c r="IA11" s="2" t="n"/>
      <c r="IB11" s="2" t="n"/>
      <c r="IC11" s="2" t="n"/>
      <c r="ID11" s="2" t="n"/>
      <c r="IE11" s="2" t="n"/>
      <c r="IF11" s="2" t="n"/>
      <c r="IG11" s="2" t="n"/>
      <c r="IH11" s="2" t="n"/>
      <c r="II11" s="2" t="n"/>
      <c r="IJ11" s="2" t="n"/>
      <c r="IK11" s="2" t="n"/>
      <c r="IL11" s="2" t="n"/>
      <c r="IM11" s="2" t="n"/>
      <c r="IN11" s="2" t="n"/>
      <c r="IO11" s="2" t="n"/>
    </row>
    <row r="12" ht="15.75" customFormat="1" customHeight="1" s="20">
      <c r="A12" s="2">
        <f>A11+1</f>
        <v/>
      </c>
      <c r="B12" s="127" t="n"/>
      <c r="C12" s="128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7">
        <f>SUM(D12:AG12,AH12)</f>
        <v/>
      </c>
      <c r="AJ12" s="126">
        <f>(SUM($D12:$Q12))/AI12</f>
        <v/>
      </c>
      <c r="AK12" s="126">
        <f>(SUM($D12:$H12))/AI12</f>
        <v/>
      </c>
      <c r="AL12" s="126">
        <f>(SUM($R12:$AH12))/AI12</f>
        <v/>
      </c>
      <c r="AM12" s="161" t="n"/>
      <c r="AN12" s="125">
        <f>YEAR(C12)</f>
        <v/>
      </c>
      <c r="AO12" s="125">
        <f>MONTH(C12)</f>
        <v/>
      </c>
      <c r="AP12" s="125">
        <f>WEEKNUM(C12,2)</f>
        <v/>
      </c>
      <c r="AQ12" s="129">
        <f>IFERROR(D12/$AI12,"")</f>
        <v/>
      </c>
      <c r="AR12" s="129">
        <f>IFERROR(E12/$AI12,"")</f>
        <v/>
      </c>
      <c r="AS12" s="129">
        <f>IFERROR(F12/$AI12,"")</f>
        <v/>
      </c>
      <c r="AT12" s="129">
        <f>IFERROR(H12/$AI12,"")</f>
        <v/>
      </c>
      <c r="AU12" s="129">
        <f>IFERROR(I12/$AI12,"")</f>
        <v/>
      </c>
      <c r="AV12" s="129">
        <f>IFERROR(J12/$AI12,"")</f>
        <v/>
      </c>
      <c r="AW12" s="129">
        <f>IFERROR(K12/$AI12,"")</f>
        <v/>
      </c>
      <c r="AX12" s="129">
        <f>IFERROR(L12/$AI12,"")</f>
        <v/>
      </c>
      <c r="AY12" s="129">
        <f>IFERROR(M12/$AI12,"")</f>
        <v/>
      </c>
      <c r="AZ12" s="129">
        <f>IFERROR(N12/$AI12,"")</f>
        <v/>
      </c>
      <c r="BA12" s="129">
        <f>IFERROR(O12/$AI12,"")</f>
        <v/>
      </c>
      <c r="BB12" s="129">
        <f>IFERROR(P12/$AI12,"")</f>
        <v/>
      </c>
      <c r="BC12" s="129">
        <f>IFERROR(AG12/$AI12,"")</f>
        <v/>
      </c>
      <c r="BD12" s="129">
        <f>IFERROR(AH12/$AI12,"")</f>
        <v/>
      </c>
      <c r="BE12" s="129">
        <f>IFERROR(R12/$AI12,"")</f>
        <v/>
      </c>
      <c r="BF12" s="129">
        <f>IFERROR(S12/$AI12,"")</f>
        <v/>
      </c>
      <c r="BG12" s="129">
        <f>IFERROR(T12/$AI12,"")</f>
        <v/>
      </c>
      <c r="BH12" s="129">
        <f>IFERROR(U12/$AI12,"")</f>
        <v/>
      </c>
      <c r="BI12" s="129">
        <f>IFERROR(V12/$AI12,"")</f>
        <v/>
      </c>
      <c r="BJ12" s="129">
        <f>IFERROR(W12/$AI12,"")</f>
        <v/>
      </c>
      <c r="BK12" s="129">
        <f>IFERROR(X12/$AI12,"")</f>
        <v/>
      </c>
      <c r="BL12" s="129">
        <f>IFERROR(Y12/$AI12,"")</f>
        <v/>
      </c>
      <c r="BM12" s="129">
        <f>IFERROR(Z12/$AI12,"")</f>
        <v/>
      </c>
      <c r="BN12" s="129">
        <f>IFERROR(AA12/$AI12,"")</f>
        <v/>
      </c>
      <c r="BO12" s="129">
        <f>IFERROR(AB12/$AI12,"")</f>
        <v/>
      </c>
      <c r="BP12" s="129">
        <f>IFERROR(AC12/$AI12,"")</f>
        <v/>
      </c>
      <c r="BQ12" s="129">
        <f>IFERROR(AD12/$AI12,"")</f>
        <v/>
      </c>
      <c r="BR12" s="129">
        <f>IFERROR(AE12/$AI12,"")</f>
        <v/>
      </c>
      <c r="BS12" s="129">
        <f>IFERROR(AF12/$AI12,"")</f>
        <v/>
      </c>
      <c r="BT12" s="129">
        <f>IFERROR(AG12/$AI12,"")</f>
        <v/>
      </c>
      <c r="BU12" s="129">
        <f>IFERROR(AH12/$AI12,"")</f>
        <v/>
      </c>
      <c r="BV12" s="126">
        <f>SUM(AQ12:BD12)</f>
        <v/>
      </c>
      <c r="BW12" s="126">
        <f>SUM(BE12:BU12)</f>
        <v/>
      </c>
      <c r="BX12" s="126">
        <f>SUM(AQ12:AU12)</f>
        <v/>
      </c>
      <c r="BY12" s="2" t="n"/>
      <c r="BZ12" s="157" t="inlineStr">
        <is>
          <t>FILM</t>
        </is>
      </c>
      <c r="CA12" s="209">
        <f>AVERAGE(BA2:BA1015)</f>
        <v/>
      </c>
      <c r="CB12" s="2" t="n"/>
      <c r="CC12" s="2" t="n"/>
      <c r="CD12" s="2" t="n"/>
      <c r="CE12" s="2" t="n"/>
      <c r="CF12" s="210" t="inlineStr">
        <is>
          <t>PET Q9</t>
        </is>
      </c>
      <c r="CG12" s="210" t="e">
        <v>#DIV/0!</v>
      </c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  <c r="GV12" s="2" t="n"/>
      <c r="GW12" s="2" t="n"/>
      <c r="GX12" s="2" t="n"/>
      <c r="GY12" s="2" t="n"/>
      <c r="GZ12" s="2" t="n"/>
      <c r="HA12" s="2" t="n"/>
      <c r="HB12" s="2" t="n"/>
      <c r="HC12" s="2" t="n"/>
      <c r="HD12" s="2" t="n"/>
      <c r="HE12" s="2" t="n"/>
      <c r="HF12" s="2" t="n"/>
      <c r="HG12" s="2" t="n"/>
      <c r="HH12" s="2" t="n"/>
      <c r="HI12" s="2" t="n"/>
      <c r="HJ12" s="2" t="n"/>
      <c r="HK12" s="2" t="n"/>
      <c r="HL12" s="2" t="n"/>
      <c r="HM12" s="2" t="n"/>
      <c r="HN12" s="2" t="n"/>
      <c r="HO12" s="2" t="n"/>
      <c r="HP12" s="2" t="n"/>
      <c r="HQ12" s="2" t="n"/>
      <c r="HR12" s="2" t="n"/>
      <c r="HS12" s="2" t="n"/>
      <c r="HT12" s="2" t="n"/>
      <c r="HU12" s="2" t="n"/>
      <c r="HV12" s="2" t="n"/>
      <c r="HW12" s="2" t="n"/>
      <c r="HX12" s="2" t="n"/>
      <c r="HY12" s="2" t="n"/>
      <c r="HZ12" s="2" t="n"/>
      <c r="IA12" s="2" t="n"/>
      <c r="IB12" s="2" t="n"/>
      <c r="IC12" s="2" t="n"/>
      <c r="ID12" s="2" t="n"/>
      <c r="IE12" s="2" t="n"/>
      <c r="IF12" s="2" t="n"/>
      <c r="IG12" s="2" t="n"/>
      <c r="IH12" s="2" t="n"/>
      <c r="II12" s="2" t="n"/>
      <c r="IJ12" s="2" t="n"/>
      <c r="IK12" s="2" t="n"/>
      <c r="IL12" s="2" t="n"/>
      <c r="IM12" s="2" t="n"/>
      <c r="IN12" s="2" t="n"/>
      <c r="IO12" s="2" t="n"/>
    </row>
    <row r="13" ht="15.75" customFormat="1" customHeight="1" s="20">
      <c r="A13" s="2">
        <f>A12+1</f>
        <v/>
      </c>
      <c r="B13" s="127" t="n"/>
      <c r="C13" s="128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7">
        <f>SUM(D13:AG13,AH13)</f>
        <v/>
      </c>
      <c r="AJ13" s="126">
        <f>(SUM($D13:$Q13))/AI13</f>
        <v/>
      </c>
      <c r="AK13" s="126">
        <f>(SUM($D13:$H13))/AI13</f>
        <v/>
      </c>
      <c r="AL13" s="126">
        <f>(SUM($R13:$AH13))/AI13</f>
        <v/>
      </c>
      <c r="AM13" s="161" t="n"/>
      <c r="AN13" s="125">
        <f>YEAR(C13)</f>
        <v/>
      </c>
      <c r="AO13" s="125">
        <f>MONTH(C13)</f>
        <v/>
      </c>
      <c r="AP13" s="125">
        <f>WEEKNUM(C13,2)</f>
        <v/>
      </c>
      <c r="AQ13" s="129">
        <f>IFERROR(D13/$AI13,"")</f>
        <v/>
      </c>
      <c r="AR13" s="129">
        <f>IFERROR(E13/$AI13,"")</f>
        <v/>
      </c>
      <c r="AS13" s="129">
        <f>IFERROR(F13/$AI13,"")</f>
        <v/>
      </c>
      <c r="AT13" s="129">
        <f>IFERROR(H13/$AI13,"")</f>
        <v/>
      </c>
      <c r="AU13" s="129">
        <f>IFERROR(I13/$AI13,"")</f>
        <v/>
      </c>
      <c r="AV13" s="129">
        <f>IFERROR(J13/$AI13,"")</f>
        <v/>
      </c>
      <c r="AW13" s="129">
        <f>IFERROR(K13/$AI13,"")</f>
        <v/>
      </c>
      <c r="AX13" s="129">
        <f>IFERROR(L13/$AI13,"")</f>
        <v/>
      </c>
      <c r="AY13" s="129">
        <f>IFERROR(M13/$AI13,"")</f>
        <v/>
      </c>
      <c r="AZ13" s="129">
        <f>IFERROR(N13/$AI13,"")</f>
        <v/>
      </c>
      <c r="BA13" s="129">
        <f>IFERROR(O13/$AI13,"")</f>
        <v/>
      </c>
      <c r="BB13" s="129">
        <f>IFERROR(P13/$AI13,"")</f>
        <v/>
      </c>
      <c r="BC13" s="129">
        <f>IFERROR(AG13/$AI13,"")</f>
        <v/>
      </c>
      <c r="BD13" s="129">
        <f>IFERROR(AH13/$AI13,"")</f>
        <v/>
      </c>
      <c r="BE13" s="129">
        <f>IFERROR(R13/$AI13,"")</f>
        <v/>
      </c>
      <c r="BF13" s="129">
        <f>IFERROR(S13/$AI13,"")</f>
        <v/>
      </c>
      <c r="BG13" s="129">
        <f>IFERROR(T13/$AI13,"")</f>
        <v/>
      </c>
      <c r="BH13" s="129">
        <f>IFERROR(U13/$AI13,"")</f>
        <v/>
      </c>
      <c r="BI13" s="129">
        <f>IFERROR(V13/$AI13,"")</f>
        <v/>
      </c>
      <c r="BJ13" s="129">
        <f>IFERROR(W13/$AI13,"")</f>
        <v/>
      </c>
      <c r="BK13" s="129">
        <f>IFERROR(X13/$AI13,"")</f>
        <v/>
      </c>
      <c r="BL13" s="129">
        <f>IFERROR(Y13/$AI13,"")</f>
        <v/>
      </c>
      <c r="BM13" s="129">
        <f>IFERROR(Z13/$AI13,"")</f>
        <v/>
      </c>
      <c r="BN13" s="129">
        <f>IFERROR(AA13/$AI13,"")</f>
        <v/>
      </c>
      <c r="BO13" s="129">
        <f>IFERROR(AB13/$AI13,"")</f>
        <v/>
      </c>
      <c r="BP13" s="129">
        <f>IFERROR(AC13/$AI13,"")</f>
        <v/>
      </c>
      <c r="BQ13" s="129">
        <f>IFERROR(AD13/$AI13,"")</f>
        <v/>
      </c>
      <c r="BR13" s="129">
        <f>IFERROR(AE13/$AI13,"")</f>
        <v/>
      </c>
      <c r="BS13" s="129">
        <f>IFERROR(AF13/$AI13,"")</f>
        <v/>
      </c>
      <c r="BT13" s="129">
        <f>IFERROR(AG13/$AI13,"")</f>
        <v/>
      </c>
      <c r="BU13" s="129">
        <f>IFERROR(AH13/$AI13,"")</f>
        <v/>
      </c>
      <c r="BV13" s="126">
        <f>SUM(AQ13:BD13)</f>
        <v/>
      </c>
      <c r="BW13" s="126">
        <f>SUM(BE13:BU13)</f>
        <v/>
      </c>
      <c r="BX13" s="126">
        <f>SUM(AQ13:AU13)</f>
        <v/>
      </c>
      <c r="BY13" s="2" t="n"/>
      <c r="BZ13" s="156" t="inlineStr">
        <is>
          <t>ACIER</t>
        </is>
      </c>
      <c r="CA13" s="209">
        <f>AVERAGE(BB2:BB1015)</f>
        <v/>
      </c>
      <c r="CB13" s="2" t="n"/>
      <c r="CC13" s="2" t="n"/>
      <c r="CD13" s="2" t="n"/>
      <c r="CE13" s="2" t="n"/>
      <c r="CF13" s="210" t="inlineStr">
        <is>
          <t>PET Q5</t>
        </is>
      </c>
      <c r="CG13" s="210" t="e">
        <v>#DIV/0!</v>
      </c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  <c r="GV13" s="2" t="n"/>
      <c r="GW13" s="2" t="n"/>
      <c r="GX13" s="2" t="n"/>
      <c r="GY13" s="2" t="n"/>
      <c r="GZ13" s="2" t="n"/>
      <c r="HA13" s="2" t="n"/>
      <c r="HB13" s="2" t="n"/>
      <c r="HC13" s="2" t="n"/>
      <c r="HD13" s="2" t="n"/>
      <c r="HE13" s="2" t="n"/>
      <c r="HF13" s="2" t="n"/>
      <c r="HG13" s="2" t="n"/>
      <c r="HH13" s="2" t="n"/>
      <c r="HI13" s="2" t="n"/>
      <c r="HJ13" s="2" t="n"/>
      <c r="HK13" s="2" t="n"/>
      <c r="HL13" s="2" t="n"/>
      <c r="HM13" s="2" t="n"/>
      <c r="HN13" s="2" t="n"/>
      <c r="HO13" s="2" t="n"/>
      <c r="HP13" s="2" t="n"/>
      <c r="HQ13" s="2" t="n"/>
      <c r="HR13" s="2" t="n"/>
      <c r="HS13" s="2" t="n"/>
      <c r="HT13" s="2" t="n"/>
      <c r="HU13" s="2" t="n"/>
      <c r="HV13" s="2" t="n"/>
      <c r="HW13" s="2" t="n"/>
      <c r="HX13" s="2" t="n"/>
      <c r="HY13" s="2" t="n"/>
      <c r="HZ13" s="2" t="n"/>
      <c r="IA13" s="2" t="n"/>
      <c r="IB13" s="2" t="n"/>
      <c r="IC13" s="2" t="n"/>
      <c r="ID13" s="2" t="n"/>
      <c r="IE13" s="2" t="n"/>
      <c r="IF13" s="2" t="n"/>
      <c r="IG13" s="2" t="n"/>
      <c r="IH13" s="2" t="n"/>
      <c r="II13" s="2" t="n"/>
      <c r="IJ13" s="2" t="n"/>
      <c r="IK13" s="2" t="n"/>
      <c r="IL13" s="2" t="n"/>
      <c r="IM13" s="2" t="n"/>
      <c r="IN13" s="2" t="n"/>
      <c r="IO13" s="2" t="n"/>
    </row>
    <row r="14" ht="15.75" customFormat="1" customHeight="1" s="20">
      <c r="A14" s="2">
        <f>A13+1</f>
        <v/>
      </c>
      <c r="B14" s="127" t="n"/>
      <c r="C14" s="128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7">
        <f>SUM(D14:AG14,AH14)</f>
        <v/>
      </c>
      <c r="AJ14" s="126">
        <f>(SUM($D14:$Q14))/AI14</f>
        <v/>
      </c>
      <c r="AK14" s="126">
        <f>(SUM($D14:$H14))/AI14</f>
        <v/>
      </c>
      <c r="AL14" s="126">
        <f>(SUM($R14:$AH14))/AI14</f>
        <v/>
      </c>
      <c r="AM14" s="161" t="n"/>
      <c r="AN14" s="125">
        <f>YEAR(C14)</f>
        <v/>
      </c>
      <c r="AO14" s="125">
        <f>MONTH(C14)</f>
        <v/>
      </c>
      <c r="AP14" s="125">
        <f>WEEKNUM(C14,2)</f>
        <v/>
      </c>
      <c r="AQ14" s="129">
        <f>IFERROR(D14/$AI14,"")</f>
        <v/>
      </c>
      <c r="AR14" s="129">
        <f>IFERROR(E14/$AI14,"")</f>
        <v/>
      </c>
      <c r="AS14" s="129">
        <f>IFERROR(F14/$AI14,"")</f>
        <v/>
      </c>
      <c r="AT14" s="129">
        <f>IFERROR(H14/$AI14,"")</f>
        <v/>
      </c>
      <c r="AU14" s="129">
        <f>IFERROR(I14/$AI14,"")</f>
        <v/>
      </c>
      <c r="AV14" s="129">
        <f>IFERROR(J14/$AI14,"")</f>
        <v/>
      </c>
      <c r="AW14" s="129">
        <f>IFERROR(K14/$AI14,"")</f>
        <v/>
      </c>
      <c r="AX14" s="129">
        <f>IFERROR(L14/$AI14,"")</f>
        <v/>
      </c>
      <c r="AY14" s="129">
        <f>IFERROR(M14/$AI14,"")</f>
        <v/>
      </c>
      <c r="AZ14" s="129">
        <f>IFERROR(N14/$AI14,"")</f>
        <v/>
      </c>
      <c r="BA14" s="129">
        <f>IFERROR(O14/$AI14,"")</f>
        <v/>
      </c>
      <c r="BB14" s="129">
        <f>IFERROR(P14/$AI14,"")</f>
        <v/>
      </c>
      <c r="BC14" s="129">
        <f>IFERROR(AG14/$AI14,"")</f>
        <v/>
      </c>
      <c r="BD14" s="129">
        <f>IFERROR(AH14/$AI14,"")</f>
        <v/>
      </c>
      <c r="BE14" s="129">
        <f>IFERROR(R14/$AI14,"")</f>
        <v/>
      </c>
      <c r="BF14" s="129">
        <f>IFERROR(S14/$AI14,"")</f>
        <v/>
      </c>
      <c r="BG14" s="129">
        <f>IFERROR(T14/$AI14,"")</f>
        <v/>
      </c>
      <c r="BH14" s="129">
        <f>IFERROR(U14/$AI14,"")</f>
        <v/>
      </c>
      <c r="BI14" s="129">
        <f>IFERROR(V14/$AI14,"")</f>
        <v/>
      </c>
      <c r="BJ14" s="129">
        <f>IFERROR(W14/$AI14,"")</f>
        <v/>
      </c>
      <c r="BK14" s="129">
        <f>IFERROR(X14/$AI14,"")</f>
        <v/>
      </c>
      <c r="BL14" s="129">
        <f>IFERROR(Y14/$AI14,"")</f>
        <v/>
      </c>
      <c r="BM14" s="129">
        <f>IFERROR(Z14/$AI14,"")</f>
        <v/>
      </c>
      <c r="BN14" s="129">
        <f>IFERROR(AA14/$AI14,"")</f>
        <v/>
      </c>
      <c r="BO14" s="129">
        <f>IFERROR(AB14/$AI14,"")</f>
        <v/>
      </c>
      <c r="BP14" s="129">
        <f>IFERROR(AC14/$AI14,"")</f>
        <v/>
      </c>
      <c r="BQ14" s="129">
        <f>IFERROR(AD14/$AI14,"")</f>
        <v/>
      </c>
      <c r="BR14" s="129">
        <f>IFERROR(AE14/$AI14,"")</f>
        <v/>
      </c>
      <c r="BS14" s="129">
        <f>IFERROR(AF14/$AI14,"")</f>
        <v/>
      </c>
      <c r="BT14" s="129">
        <f>IFERROR(AG14/$AI14,"")</f>
        <v/>
      </c>
      <c r="BU14" s="129">
        <f>IFERROR(AH14/$AI14,"")</f>
        <v/>
      </c>
      <c r="BV14" s="126">
        <f>SUM(AQ14:BD14)</f>
        <v/>
      </c>
      <c r="BW14" s="126">
        <f>SUM(BE14:BU14)</f>
        <v/>
      </c>
      <c r="BX14" s="126">
        <f>SUM(AQ14:AU14)</f>
        <v/>
      </c>
      <c r="BY14" s="2" t="n"/>
      <c r="BZ14" s="156" t="inlineStr">
        <is>
          <t>ALU</t>
        </is>
      </c>
      <c r="CA14" s="209">
        <f>AVERAGE(BC2:BC1015)</f>
        <v/>
      </c>
      <c r="CB14" s="2" t="n"/>
      <c r="CC14" s="2" t="n"/>
      <c r="CD14" s="2" t="n"/>
      <c r="CE14" s="2" t="n"/>
      <c r="CF14" s="210" t="inlineStr">
        <is>
          <t>PET B</t>
        </is>
      </c>
      <c r="CG14" s="210" t="e">
        <v>#DIV/0!</v>
      </c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  <c r="GV14" s="2" t="n"/>
      <c r="GW14" s="2" t="n"/>
      <c r="GX14" s="2" t="n"/>
      <c r="GY14" s="2" t="n"/>
      <c r="GZ14" s="2" t="n"/>
      <c r="HA14" s="2" t="n"/>
      <c r="HB14" s="2" t="n"/>
      <c r="HC14" s="2" t="n"/>
      <c r="HD14" s="2" t="n"/>
      <c r="HE14" s="2" t="n"/>
      <c r="HF14" s="2" t="n"/>
      <c r="HG14" s="2" t="n"/>
      <c r="HH14" s="2" t="n"/>
      <c r="HI14" s="2" t="n"/>
      <c r="HJ14" s="2" t="n"/>
      <c r="HK14" s="2" t="n"/>
      <c r="HL14" s="2" t="n"/>
      <c r="HM14" s="2" t="n"/>
      <c r="HN14" s="2" t="n"/>
      <c r="HO14" s="2" t="n"/>
      <c r="HP14" s="2" t="n"/>
      <c r="HQ14" s="2" t="n"/>
      <c r="HR14" s="2" t="n"/>
      <c r="HS14" s="2" t="n"/>
      <c r="HT14" s="2" t="n"/>
      <c r="HU14" s="2" t="n"/>
      <c r="HV14" s="2" t="n"/>
      <c r="HW14" s="2" t="n"/>
      <c r="HX14" s="2" t="n"/>
      <c r="HY14" s="2" t="n"/>
      <c r="HZ14" s="2" t="n"/>
      <c r="IA14" s="2" t="n"/>
      <c r="IB14" s="2" t="n"/>
      <c r="IC14" s="2" t="n"/>
      <c r="ID14" s="2" t="n"/>
      <c r="IE14" s="2" t="n"/>
      <c r="IF14" s="2" t="n"/>
      <c r="IG14" s="2" t="n"/>
      <c r="IH14" s="2" t="n"/>
      <c r="II14" s="2" t="n"/>
      <c r="IJ14" s="2" t="n"/>
      <c r="IK14" s="2" t="n"/>
      <c r="IL14" s="2" t="n"/>
      <c r="IM14" s="2" t="n"/>
    </row>
    <row r="15" ht="15.75" customFormat="1" customHeight="1" s="20">
      <c r="A15" s="2">
        <f>A14+1</f>
        <v/>
      </c>
      <c r="B15" s="127" t="n"/>
      <c r="C15" s="128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7">
        <f>SUM(D15:AG15,AH15)</f>
        <v/>
      </c>
      <c r="AJ15" s="126">
        <f>(SUM($D15:$Q15))/AI15</f>
        <v/>
      </c>
      <c r="AK15" s="126">
        <f>(SUM($D15:$H15))/AI15</f>
        <v/>
      </c>
      <c r="AL15" s="126">
        <f>(SUM($R15:$AH15))/AI15</f>
        <v/>
      </c>
      <c r="AM15" s="161" t="n"/>
      <c r="AN15" s="125">
        <f>YEAR(C15)</f>
        <v/>
      </c>
      <c r="AO15" s="125">
        <f>MONTH(C15)</f>
        <v/>
      </c>
      <c r="AP15" s="125">
        <f>WEEKNUM(C15,2)</f>
        <v/>
      </c>
      <c r="AQ15" s="129">
        <f>IFERROR(D15/$AI15,"")</f>
        <v/>
      </c>
      <c r="AR15" s="129">
        <f>IFERROR(E15/$AI15,"")</f>
        <v/>
      </c>
      <c r="AS15" s="129">
        <f>IFERROR(F15/$AI15,"")</f>
        <v/>
      </c>
      <c r="AT15" s="129">
        <f>IFERROR(H15/$AI15,"")</f>
        <v/>
      </c>
      <c r="AU15" s="129">
        <f>IFERROR(I15/$AI15,"")</f>
        <v/>
      </c>
      <c r="AV15" s="129">
        <f>IFERROR(J15/$AI15,"")</f>
        <v/>
      </c>
      <c r="AW15" s="129">
        <f>IFERROR(K15/$AI15,"")</f>
        <v/>
      </c>
      <c r="AX15" s="129">
        <f>IFERROR(L15/$AI15,"")</f>
        <v/>
      </c>
      <c r="AY15" s="129">
        <f>IFERROR(M15/$AI15,"")</f>
        <v/>
      </c>
      <c r="AZ15" s="129">
        <f>IFERROR(N15/$AI15,"")</f>
        <v/>
      </c>
      <c r="BA15" s="129">
        <f>IFERROR(O15/$AI15,"")</f>
        <v/>
      </c>
      <c r="BB15" s="129">
        <f>IFERROR(P15/$AI15,"")</f>
        <v/>
      </c>
      <c r="BC15" s="129">
        <f>IFERROR(AG15/$AI15,"")</f>
        <v/>
      </c>
      <c r="BD15" s="129">
        <f>IFERROR(AH15/$AI15,"")</f>
        <v/>
      </c>
      <c r="BE15" s="129">
        <f>IFERROR(R15/$AI15,"")</f>
        <v/>
      </c>
      <c r="BF15" s="129">
        <f>IFERROR(S15/$AI15,"")</f>
        <v/>
      </c>
      <c r="BG15" s="129">
        <f>IFERROR(T15/$AI15,"")</f>
        <v/>
      </c>
      <c r="BH15" s="129">
        <f>IFERROR(U15/$AI15,"")</f>
        <v/>
      </c>
      <c r="BI15" s="129">
        <f>IFERROR(V15/$AI15,"")</f>
        <v/>
      </c>
      <c r="BJ15" s="129">
        <f>IFERROR(W15/$AI15,"")</f>
        <v/>
      </c>
      <c r="BK15" s="129">
        <f>IFERROR(X15/$AI15,"")</f>
        <v/>
      </c>
      <c r="BL15" s="129">
        <f>IFERROR(Y15/$AI15,"")</f>
        <v/>
      </c>
      <c r="BM15" s="129">
        <f>IFERROR(Z15/$AI15,"")</f>
        <v/>
      </c>
      <c r="BN15" s="129">
        <f>IFERROR(AA15/$AI15,"")</f>
        <v/>
      </c>
      <c r="BO15" s="129">
        <f>IFERROR(AB15/$AI15,"")</f>
        <v/>
      </c>
      <c r="BP15" s="129">
        <f>IFERROR(AC15/$AI15,"")</f>
        <v/>
      </c>
      <c r="BQ15" s="129">
        <f>IFERROR(AD15/$AI15,"")</f>
        <v/>
      </c>
      <c r="BR15" s="129">
        <f>IFERROR(AE15/$AI15,"")</f>
        <v/>
      </c>
      <c r="BS15" s="129">
        <f>IFERROR(AF15/$AI15,"")</f>
        <v/>
      </c>
      <c r="BT15" s="129">
        <f>IFERROR(AG15/$AI15,"")</f>
        <v/>
      </c>
      <c r="BU15" s="129">
        <f>IFERROR(AH15/$AI15,"")</f>
        <v/>
      </c>
      <c r="BV15" s="126">
        <f>SUM(AQ15:BD15)</f>
        <v/>
      </c>
      <c r="BW15" s="126">
        <f>SUM(BE15:BU15)</f>
        <v/>
      </c>
      <c r="BX15" s="126">
        <f>SUM(AQ15:AU15)</f>
        <v/>
      </c>
      <c r="BY15" s="2" t="n"/>
      <c r="BZ15" s="156" t="inlineStr">
        <is>
          <t>PETIT ALU</t>
        </is>
      </c>
      <c r="CA15" s="209">
        <f>AVERAGE(BD2:BD1015)</f>
        <v/>
      </c>
      <c r="CB15" s="2" t="n"/>
      <c r="CC15" s="2" t="n"/>
      <c r="CD15" s="2" t="n"/>
      <c r="CE15" s="2" t="n"/>
      <c r="CF15" s="210" t="inlineStr">
        <is>
          <t>FILM</t>
        </is>
      </c>
      <c r="CG15" s="210" t="e">
        <v>#DIV/0!</v>
      </c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2" t="n"/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2" t="n"/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2" t="n"/>
      <c r="IH15" s="2" t="n"/>
      <c r="II15" s="2" t="n"/>
      <c r="IJ15" s="2" t="n"/>
      <c r="IK15" s="2" t="n"/>
      <c r="IL15" s="2" t="n"/>
      <c r="IM15" s="2" t="n"/>
    </row>
    <row r="16" ht="15.75" customFormat="1" customHeight="1" s="20">
      <c r="A16" s="2">
        <f>A15+1</f>
        <v/>
      </c>
      <c r="B16" s="127" t="n"/>
      <c r="C16" s="128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7">
        <f>SUM(D16:AG16,AH16)</f>
        <v/>
      </c>
      <c r="AJ16" s="126">
        <f>(SUM($D16:$Q16))/AI16</f>
        <v/>
      </c>
      <c r="AK16" s="126">
        <f>(SUM($D16:$H16))/AI16</f>
        <v/>
      </c>
      <c r="AL16" s="126">
        <f>(SUM($R16:$AH16))/AI16</f>
        <v/>
      </c>
      <c r="AM16" s="161" t="n"/>
      <c r="AN16" s="125">
        <f>YEAR(C16)</f>
        <v/>
      </c>
      <c r="AO16" s="125">
        <f>MONTH(C16)</f>
        <v/>
      </c>
      <c r="AP16" s="125">
        <f>WEEKNUM(C16,2)</f>
        <v/>
      </c>
      <c r="AQ16" s="129">
        <f>IFERROR(D16/$AI16,"")</f>
        <v/>
      </c>
      <c r="AR16" s="129">
        <f>IFERROR(E16/$AI16,"")</f>
        <v/>
      </c>
      <c r="AS16" s="129">
        <f>IFERROR(F16/$AI16,"")</f>
        <v/>
      </c>
      <c r="AT16" s="129">
        <f>IFERROR(H16/$AI16,"")</f>
        <v/>
      </c>
      <c r="AU16" s="129">
        <f>IFERROR(I16/$AI16,"")</f>
        <v/>
      </c>
      <c r="AV16" s="129">
        <f>IFERROR(J16/$AI16,"")</f>
        <v/>
      </c>
      <c r="AW16" s="129">
        <f>IFERROR(K16/$AI16,"")</f>
        <v/>
      </c>
      <c r="AX16" s="129">
        <f>IFERROR(L16/$AI16,"")</f>
        <v/>
      </c>
      <c r="AY16" s="129">
        <f>IFERROR(M16/$AI16,"")</f>
        <v/>
      </c>
      <c r="AZ16" s="129">
        <f>IFERROR(N16/$AI16,"")</f>
        <v/>
      </c>
      <c r="BA16" s="129">
        <f>IFERROR(O16/$AI16,"")</f>
        <v/>
      </c>
      <c r="BB16" s="129">
        <f>IFERROR(P16/$AI16,"")</f>
        <v/>
      </c>
      <c r="BC16" s="129">
        <f>IFERROR(AG16/$AI16,"")</f>
        <v/>
      </c>
      <c r="BD16" s="129">
        <f>IFERROR(AH16/$AI16,"")</f>
        <v/>
      </c>
      <c r="BE16" s="129">
        <f>IFERROR(R16/$AI16,"")</f>
        <v/>
      </c>
      <c r="BF16" s="129">
        <f>IFERROR(S16/$AI16,"")</f>
        <v/>
      </c>
      <c r="BG16" s="129">
        <f>IFERROR(T16/$AI16,"")</f>
        <v/>
      </c>
      <c r="BH16" s="129">
        <f>IFERROR(U16/$AI16,"")</f>
        <v/>
      </c>
      <c r="BI16" s="129">
        <f>IFERROR(V16/$AI16,"")</f>
        <v/>
      </c>
      <c r="BJ16" s="129">
        <f>IFERROR(W16/$AI16,"")</f>
        <v/>
      </c>
      <c r="BK16" s="129">
        <f>IFERROR(X16/$AI16,"")</f>
        <v/>
      </c>
      <c r="BL16" s="129">
        <f>IFERROR(Y16/$AI16,"")</f>
        <v/>
      </c>
      <c r="BM16" s="129">
        <f>IFERROR(Z16/$AI16,"")</f>
        <v/>
      </c>
      <c r="BN16" s="129">
        <f>IFERROR(AA16/$AI16,"")</f>
        <v/>
      </c>
      <c r="BO16" s="129">
        <f>IFERROR(AB16/$AI16,"")</f>
        <v/>
      </c>
      <c r="BP16" s="129">
        <f>IFERROR(AC16/$AI16,"")</f>
        <v/>
      </c>
      <c r="BQ16" s="129">
        <f>IFERROR(AD16/$AI16,"")</f>
        <v/>
      </c>
      <c r="BR16" s="129">
        <f>IFERROR(AE16/$AI16,"")</f>
        <v/>
      </c>
      <c r="BS16" s="129">
        <f>IFERROR(AF16/$AI16,"")</f>
        <v/>
      </c>
      <c r="BT16" s="129">
        <f>IFERROR(AG16/$AI16,"")</f>
        <v/>
      </c>
      <c r="BU16" s="129">
        <f>IFERROR(AH16/$AI16,"")</f>
        <v/>
      </c>
      <c r="BV16" s="126">
        <f>SUM(AQ16:BD16)</f>
        <v/>
      </c>
      <c r="BW16" s="126">
        <f>SUM(BE16:BU16)</f>
        <v/>
      </c>
      <c r="BX16" s="126">
        <f>SUM(AQ16:AU16)</f>
        <v/>
      </c>
      <c r="BY16" s="2" t="n"/>
      <c r="BZ16" s="158" t="inlineStr">
        <is>
          <t>PB REFUSES</t>
        </is>
      </c>
      <c r="CA16" s="209">
        <f>AVERAGE(BE2:BE1015)</f>
        <v/>
      </c>
      <c r="CB16" s="2" t="n"/>
      <c r="CC16" s="2" t="n"/>
      <c r="CD16" s="2" t="n"/>
      <c r="CE16" s="2" t="n"/>
      <c r="CF16" s="210" t="inlineStr">
        <is>
          <t>ACIER</t>
        </is>
      </c>
      <c r="CG16" s="210" t="e">
        <v>#DIV/0!</v>
      </c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n"/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  <c r="GV16" s="2" t="n"/>
      <c r="GW16" s="2" t="n"/>
      <c r="GX16" s="2" t="n"/>
      <c r="GY16" s="2" t="n"/>
      <c r="GZ16" s="2" t="n"/>
      <c r="HA16" s="2" t="n"/>
      <c r="HB16" s="2" t="n"/>
      <c r="HC16" s="2" t="n"/>
      <c r="HD16" s="2" t="n"/>
      <c r="HE16" s="2" t="n"/>
      <c r="HF16" s="2" t="n"/>
      <c r="HG16" s="2" t="n"/>
      <c r="HH16" s="2" t="n"/>
      <c r="HI16" s="2" t="n"/>
      <c r="HJ16" s="2" t="n"/>
      <c r="HK16" s="2" t="n"/>
      <c r="HL16" s="2" t="n"/>
      <c r="HM16" s="2" t="n"/>
      <c r="HN16" s="2" t="n"/>
      <c r="HO16" s="2" t="n"/>
      <c r="HP16" s="2" t="n"/>
      <c r="HQ16" s="2" t="n"/>
      <c r="HR16" s="2" t="n"/>
      <c r="HS16" s="2" t="n"/>
      <c r="HT16" s="2" t="n"/>
      <c r="HU16" s="2" t="n"/>
      <c r="HV16" s="2" t="n"/>
      <c r="HW16" s="2" t="n"/>
      <c r="HX16" s="2" t="n"/>
      <c r="HY16" s="2" t="n"/>
      <c r="HZ16" s="2" t="n"/>
      <c r="IA16" s="2" t="n"/>
      <c r="IB16" s="2" t="n"/>
      <c r="IC16" s="2" t="n"/>
      <c r="ID16" s="2" t="n"/>
      <c r="IE16" s="2" t="n"/>
      <c r="IF16" s="2" t="n"/>
      <c r="IG16" s="2" t="n"/>
      <c r="IH16" s="2" t="n"/>
      <c r="II16" s="2" t="n"/>
      <c r="IJ16" s="2" t="n"/>
      <c r="IK16" s="2" t="n"/>
      <c r="IL16" s="2" t="n"/>
      <c r="IM16" s="2" t="n"/>
    </row>
    <row r="17" ht="15.75" customFormat="1" customHeight="1" s="20">
      <c r="A17" s="2">
        <f>A16+1</f>
        <v/>
      </c>
      <c r="B17" s="127" t="n"/>
      <c r="C17" s="128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7">
        <f>SUM(D17:AG17,AH17)</f>
        <v/>
      </c>
      <c r="AJ17" s="126">
        <f>(SUM($D17:$Q17))/AI17</f>
        <v/>
      </c>
      <c r="AK17" s="126">
        <f>(SUM($D17:$H17))/AI17</f>
        <v/>
      </c>
      <c r="AL17" s="126">
        <f>(SUM($R17:$AH17))/AI17</f>
        <v/>
      </c>
      <c r="AM17" s="161" t="n"/>
      <c r="AN17" s="125">
        <f>YEAR(C17)</f>
        <v/>
      </c>
      <c r="AO17" s="125">
        <f>MONTH(C17)</f>
        <v/>
      </c>
      <c r="AP17" s="125">
        <f>WEEKNUM(C17,2)</f>
        <v/>
      </c>
      <c r="AQ17" s="129">
        <f>IFERROR(D17/$AI17,"")</f>
        <v/>
      </c>
      <c r="AR17" s="129">
        <f>IFERROR(E17/$AI17,"")</f>
        <v/>
      </c>
      <c r="AS17" s="129">
        <f>IFERROR(F17/$AI17,"")</f>
        <v/>
      </c>
      <c r="AT17" s="129">
        <f>IFERROR(H17/$AI17,"")</f>
        <v/>
      </c>
      <c r="AU17" s="129">
        <f>IFERROR(I17/$AI17,"")</f>
        <v/>
      </c>
      <c r="AV17" s="129">
        <f>IFERROR(J17/$AI17,"")</f>
        <v/>
      </c>
      <c r="AW17" s="129">
        <f>IFERROR(K17/$AI17,"")</f>
        <v/>
      </c>
      <c r="AX17" s="129">
        <f>IFERROR(L17/$AI17,"")</f>
        <v/>
      </c>
      <c r="AY17" s="129">
        <f>IFERROR(M17/$AI17,"")</f>
        <v/>
      </c>
      <c r="AZ17" s="129">
        <f>IFERROR(N17/$AI17,"")</f>
        <v/>
      </c>
      <c r="BA17" s="129">
        <f>IFERROR(O17/$AI17,"")</f>
        <v/>
      </c>
      <c r="BB17" s="129">
        <f>IFERROR(P17/$AI17,"")</f>
        <v/>
      </c>
      <c r="BC17" s="129">
        <f>IFERROR(AG17/$AI17,"")</f>
        <v/>
      </c>
      <c r="BD17" s="129">
        <f>IFERROR(AH17/$AI17,"")</f>
        <v/>
      </c>
      <c r="BE17" s="129">
        <f>IFERROR(R17/$AI17,"")</f>
        <v/>
      </c>
      <c r="BF17" s="129">
        <f>IFERROR(S17/$AI17,"")</f>
        <v/>
      </c>
      <c r="BG17" s="129">
        <f>IFERROR(T17/$AI17,"")</f>
        <v/>
      </c>
      <c r="BH17" s="129">
        <f>IFERROR(U17/$AI17,"")</f>
        <v/>
      </c>
      <c r="BI17" s="129">
        <f>IFERROR(V17/$AI17,"")</f>
        <v/>
      </c>
      <c r="BJ17" s="129">
        <f>IFERROR(W17/$AI17,"")</f>
        <v/>
      </c>
      <c r="BK17" s="129">
        <f>IFERROR(X17/$AI17,"")</f>
        <v/>
      </c>
      <c r="BL17" s="129">
        <f>IFERROR(Y17/$AI17,"")</f>
        <v/>
      </c>
      <c r="BM17" s="129">
        <f>IFERROR(Z17/$AI17,"")</f>
        <v/>
      </c>
      <c r="BN17" s="129">
        <f>IFERROR(AA17/$AI17,"")</f>
        <v/>
      </c>
      <c r="BO17" s="129">
        <f>IFERROR(AB17/$AI17,"")</f>
        <v/>
      </c>
      <c r="BP17" s="129">
        <f>IFERROR(AC17/$AI17,"")</f>
        <v/>
      </c>
      <c r="BQ17" s="129">
        <f>IFERROR(AD17/$AI17,"")</f>
        <v/>
      </c>
      <c r="BR17" s="129">
        <f>IFERROR(AE17/$AI17,"")</f>
        <v/>
      </c>
      <c r="BS17" s="129">
        <f>IFERROR(AF17/$AI17,"")</f>
        <v/>
      </c>
      <c r="BT17" s="129">
        <f>IFERROR(AG17/$AI17,"")</f>
        <v/>
      </c>
      <c r="BU17" s="129">
        <f>IFERROR(AH17/$AI17,"")</f>
        <v/>
      </c>
      <c r="BV17" s="126">
        <f>SUM(AQ17:BD17)</f>
        <v/>
      </c>
      <c r="BW17" s="126">
        <f>SUM(BE17:BU17)</f>
        <v/>
      </c>
      <c r="BX17" s="126">
        <f>SUM(AQ17:AU17)</f>
        <v/>
      </c>
      <c r="BY17" s="2" t="n"/>
      <c r="BZ17" s="158" t="inlineStr">
        <is>
          <t>FILM REFUSES</t>
        </is>
      </c>
      <c r="CA17" s="209">
        <f>AVERAGE(BF2:BF1015)</f>
        <v/>
      </c>
      <c r="CB17" s="2" t="n"/>
      <c r="CC17" s="2" t="n"/>
      <c r="CD17" s="2" t="n"/>
      <c r="CE17" s="2" t="n"/>
      <c r="CF17" s="210" t="inlineStr">
        <is>
          <t>ALU</t>
        </is>
      </c>
      <c r="CG17" s="210" t="e">
        <v>#DIV/0!</v>
      </c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  <c r="GV17" s="2" t="n"/>
      <c r="GW17" s="2" t="n"/>
      <c r="GX17" s="2" t="n"/>
      <c r="GY17" s="2" t="n"/>
      <c r="GZ17" s="2" t="n"/>
      <c r="HA17" s="2" t="n"/>
      <c r="HB17" s="2" t="n"/>
      <c r="HC17" s="2" t="n"/>
      <c r="HD17" s="2" t="n"/>
      <c r="HE17" s="2" t="n"/>
      <c r="HF17" s="2" t="n"/>
      <c r="HG17" s="2" t="n"/>
      <c r="HH17" s="2" t="n"/>
      <c r="HI17" s="2" t="n"/>
      <c r="HJ17" s="2" t="n"/>
      <c r="HK17" s="2" t="n"/>
      <c r="HL17" s="2" t="n"/>
      <c r="HM17" s="2" t="n"/>
      <c r="HN17" s="2" t="n"/>
      <c r="HO17" s="2" t="n"/>
      <c r="HP17" s="2" t="n"/>
      <c r="HQ17" s="2" t="n"/>
      <c r="HR17" s="2" t="n"/>
      <c r="HS17" s="2" t="n"/>
      <c r="HT17" s="2" t="n"/>
      <c r="HU17" s="2" t="n"/>
      <c r="HV17" s="2" t="n"/>
      <c r="HW17" s="2" t="n"/>
      <c r="HX17" s="2" t="n"/>
      <c r="HY17" s="2" t="n"/>
      <c r="HZ17" s="2" t="n"/>
      <c r="IA17" s="2" t="n"/>
      <c r="IB17" s="2" t="n"/>
      <c r="IC17" s="2" t="n"/>
      <c r="ID17" s="2" t="n"/>
      <c r="IE17" s="2" t="n"/>
      <c r="IF17" s="2" t="n"/>
      <c r="IG17" s="2" t="n"/>
      <c r="IH17" s="2" t="n"/>
      <c r="II17" s="2" t="n"/>
      <c r="IJ17" s="2" t="n"/>
      <c r="IK17" s="2" t="n"/>
      <c r="IL17" s="2" t="n"/>
      <c r="IM17" s="2" t="n"/>
      <c r="IN17" s="2" t="n"/>
      <c r="IO17" s="2" t="n"/>
    </row>
    <row r="18" ht="15.75" customHeight="1" s="215">
      <c r="A18" s="2">
        <f>A17+1</f>
        <v/>
      </c>
      <c r="B18" s="127" t="n"/>
      <c r="C18" s="128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7">
        <f>SUM(D18:AG18,AH18)</f>
        <v/>
      </c>
      <c r="AJ18" s="126">
        <f>(SUM($D18:$Q18))/AI18</f>
        <v/>
      </c>
      <c r="AK18" s="126">
        <f>(SUM($D18:$H18))/AI18</f>
        <v/>
      </c>
      <c r="AL18" s="126">
        <f>(SUM($R18:$AH18))/AI18</f>
        <v/>
      </c>
      <c r="AM18" s="161" t="n"/>
      <c r="AN18" s="125">
        <f>YEAR(C18)</f>
        <v/>
      </c>
      <c r="AO18" s="125">
        <f>MONTH(C18)</f>
        <v/>
      </c>
      <c r="AP18" s="125">
        <f>WEEKNUM(C18,2)</f>
        <v/>
      </c>
      <c r="AQ18" s="129">
        <f>IFERROR(D18/$AI18,"")</f>
        <v/>
      </c>
      <c r="AR18" s="129">
        <f>IFERROR(E18/$AI18,"")</f>
        <v/>
      </c>
      <c r="AS18" s="129">
        <f>IFERROR(F18/$AI18,"")</f>
        <v/>
      </c>
      <c r="AT18" s="129">
        <f>IFERROR(H18/$AI18,"")</f>
        <v/>
      </c>
      <c r="AU18" s="129">
        <f>IFERROR(I18/$AI18,"")</f>
        <v/>
      </c>
      <c r="AV18" s="129">
        <f>IFERROR(J18/$AI18,"")</f>
        <v/>
      </c>
      <c r="AW18" s="129">
        <f>IFERROR(K18/$AI18,"")</f>
        <v/>
      </c>
      <c r="AX18" s="129">
        <f>IFERROR(L18/$AI18,"")</f>
        <v/>
      </c>
      <c r="AY18" s="129">
        <f>IFERROR(M18/$AI18,"")</f>
        <v/>
      </c>
      <c r="AZ18" s="129">
        <f>IFERROR(N18/$AI18,"")</f>
        <v/>
      </c>
      <c r="BA18" s="129">
        <f>IFERROR(O18/$AI18,"")</f>
        <v/>
      </c>
      <c r="BB18" s="129">
        <f>IFERROR(P18/$AI18,"")</f>
        <v/>
      </c>
      <c r="BC18" s="129">
        <f>IFERROR(AG18/$AI18,"")</f>
        <v/>
      </c>
      <c r="BD18" s="129">
        <f>IFERROR(AH18/$AI18,"")</f>
        <v/>
      </c>
      <c r="BE18" s="129">
        <f>IFERROR(R18/$AI18,"")</f>
        <v/>
      </c>
      <c r="BF18" s="129">
        <f>IFERROR(S18/$AI18,"")</f>
        <v/>
      </c>
      <c r="BG18" s="129">
        <f>IFERROR(T18/$AI18,"")</f>
        <v/>
      </c>
      <c r="BH18" s="129">
        <f>IFERROR(U18/$AI18,"")</f>
        <v/>
      </c>
      <c r="BI18" s="129">
        <f>IFERROR(V18/$AI18,"")</f>
        <v/>
      </c>
      <c r="BJ18" s="129">
        <f>IFERROR(W18/$AI18,"")</f>
        <v/>
      </c>
      <c r="BK18" s="129">
        <f>IFERROR(X18/$AI18,"")</f>
        <v/>
      </c>
      <c r="BL18" s="129">
        <f>IFERROR(Y18/$AI18,"")</f>
        <v/>
      </c>
      <c r="BM18" s="129">
        <f>IFERROR(Z18/$AI18,"")</f>
        <v/>
      </c>
      <c r="BN18" s="129">
        <f>IFERROR(AA18/$AI18,"")</f>
        <v/>
      </c>
      <c r="BO18" s="129">
        <f>IFERROR(AB18/$AI18,"")</f>
        <v/>
      </c>
      <c r="BP18" s="129">
        <f>IFERROR(AC18/$AI18,"")</f>
        <v/>
      </c>
      <c r="BQ18" s="129">
        <f>IFERROR(AD18/$AI18,"")</f>
        <v/>
      </c>
      <c r="BR18" s="129">
        <f>IFERROR(AE18/$AI18,"")</f>
        <v/>
      </c>
      <c r="BS18" s="129">
        <f>IFERROR(AF18/$AI18,"")</f>
        <v/>
      </c>
      <c r="BT18" s="129">
        <f>IFERROR(AG18/$AI18,"")</f>
        <v/>
      </c>
      <c r="BU18" s="129">
        <f>IFERROR(AH18/$AI18,"")</f>
        <v/>
      </c>
      <c r="BV18" s="126">
        <f>SUM(AQ18:BD18)</f>
        <v/>
      </c>
      <c r="BW18" s="126">
        <f>SUM(BE18:BU18)</f>
        <v/>
      </c>
      <c r="BX18" s="126">
        <f>SUM(AQ18:AU18)</f>
        <v/>
      </c>
      <c r="BZ18" s="158" t="inlineStr">
        <is>
          <t>EMBALLAGES NOIRS</t>
        </is>
      </c>
      <c r="CA18" s="209">
        <f>AVERAGE(BG2:BG1015)</f>
        <v/>
      </c>
      <c r="CF18" s="210" t="inlineStr">
        <is>
          <t>PETIT ALU</t>
        </is>
      </c>
      <c r="CG18" s="210" t="e">
        <v>#DIV/0!</v>
      </c>
    </row>
    <row r="19" ht="15.75" customHeight="1" s="215">
      <c r="A19" s="2">
        <f>A18+1</f>
        <v/>
      </c>
      <c r="B19" s="127" t="n"/>
      <c r="C19" s="128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7">
        <f>SUM(D19:AG19,AH19)</f>
        <v/>
      </c>
      <c r="AJ19" s="126">
        <f>(SUM($D19:$Q19))/AI19</f>
        <v/>
      </c>
      <c r="AK19" s="126">
        <f>(SUM($D19:$H19))/AI19</f>
        <v/>
      </c>
      <c r="AL19" s="126">
        <f>(SUM($R19:$AH19))/AI19</f>
        <v/>
      </c>
      <c r="AM19" s="161" t="n"/>
      <c r="AN19" s="125">
        <f>YEAR(C19)</f>
        <v/>
      </c>
      <c r="AO19" s="125">
        <f>MONTH(C19)</f>
        <v/>
      </c>
      <c r="AP19" s="125">
        <f>WEEKNUM(C19,2)</f>
        <v/>
      </c>
      <c r="AQ19" s="129">
        <f>IFERROR(D19/$AI19,"")</f>
        <v/>
      </c>
      <c r="AR19" s="129">
        <f>IFERROR(E19/$AI19,"")</f>
        <v/>
      </c>
      <c r="AS19" s="129">
        <f>IFERROR(F19/$AI19,"")</f>
        <v/>
      </c>
      <c r="AT19" s="129">
        <f>IFERROR(H19/$AI19,"")</f>
        <v/>
      </c>
      <c r="AU19" s="129">
        <f>IFERROR(I19/$AI19,"")</f>
        <v/>
      </c>
      <c r="AV19" s="129">
        <f>IFERROR(J19/$AI19,"")</f>
        <v/>
      </c>
      <c r="AW19" s="129">
        <f>IFERROR(K19/$AI19,"")</f>
        <v/>
      </c>
      <c r="AX19" s="129">
        <f>IFERROR(L19/$AI19,"")</f>
        <v/>
      </c>
      <c r="AY19" s="129">
        <f>IFERROR(M19/$AI19,"")</f>
        <v/>
      </c>
      <c r="AZ19" s="129">
        <f>IFERROR(N19/$AI19,"")</f>
        <v/>
      </c>
      <c r="BA19" s="129">
        <f>IFERROR(O19/$AI19,"")</f>
        <v/>
      </c>
      <c r="BB19" s="129">
        <f>IFERROR(P19/$AI19,"")</f>
        <v/>
      </c>
      <c r="BC19" s="129">
        <f>IFERROR(AG19/$AI19,"")</f>
        <v/>
      </c>
      <c r="BD19" s="129">
        <f>IFERROR(AH19/$AI19,"")</f>
        <v/>
      </c>
      <c r="BE19" s="129">
        <f>IFERROR(R19/$AI19,"")</f>
        <v/>
      </c>
      <c r="BF19" s="129">
        <f>IFERROR(S19/$AI19,"")</f>
        <v/>
      </c>
      <c r="BG19" s="129">
        <f>IFERROR(T19/$AI19,"")</f>
        <v/>
      </c>
      <c r="BH19" s="129">
        <f>IFERROR(U19/$AI19,"")</f>
        <v/>
      </c>
      <c r="BI19" s="129">
        <f>IFERROR(V19/$AI19,"")</f>
        <v/>
      </c>
      <c r="BJ19" s="129">
        <f>IFERROR(W19/$AI19,"")</f>
        <v/>
      </c>
      <c r="BK19" s="129">
        <f>IFERROR(X19/$AI19,"")</f>
        <v/>
      </c>
      <c r="BL19" s="129">
        <f>IFERROR(Y19/$AI19,"")</f>
        <v/>
      </c>
      <c r="BM19" s="129">
        <f>IFERROR(Z19/$AI19,"")</f>
        <v/>
      </c>
      <c r="BN19" s="129">
        <f>IFERROR(AA19/$AI19,"")</f>
        <v/>
      </c>
      <c r="BO19" s="129">
        <f>IFERROR(AB19/$AI19,"")</f>
        <v/>
      </c>
      <c r="BP19" s="129">
        <f>IFERROR(AC19/$AI19,"")</f>
        <v/>
      </c>
      <c r="BQ19" s="129">
        <f>IFERROR(AD19/$AI19,"")</f>
        <v/>
      </c>
      <c r="BR19" s="129">
        <f>IFERROR(AE19/$AI19,"")</f>
        <v/>
      </c>
      <c r="BS19" s="129">
        <f>IFERROR(AF19/$AI19,"")</f>
        <v/>
      </c>
      <c r="BT19" s="129">
        <f>IFERROR(AG19/$AI19,"")</f>
        <v/>
      </c>
      <c r="BU19" s="129">
        <f>IFERROR(AH19/$AI19,"")</f>
        <v/>
      </c>
      <c r="BV19" s="126">
        <f>SUM(AQ19:BD19)</f>
        <v/>
      </c>
      <c r="BW19" s="126">
        <f>SUM(BE19:BU19)</f>
        <v/>
      </c>
      <c r="BX19" s="126">
        <f>SUM(AQ19:AU19)</f>
        <v/>
      </c>
      <c r="BZ19" s="158" t="inlineStr">
        <is>
          <t>AUTES EMBALLAGES NON RECYCLABES</t>
        </is>
      </c>
      <c r="CA19" s="209">
        <f>AVERAGE(BH2:BH1015)</f>
        <v/>
      </c>
      <c r="CF19" s="210" t="inlineStr">
        <is>
          <t>PB REFUSES</t>
        </is>
      </c>
      <c r="CG19" s="210" t="e">
        <v>#DIV/0!</v>
      </c>
    </row>
    <row r="20" ht="15.75" customHeight="1" s="215">
      <c r="A20" s="2">
        <f>A19+1</f>
        <v/>
      </c>
      <c r="B20" s="127" t="n"/>
      <c r="C20" s="128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7">
        <f>SUM(D20:AG20,AH20)</f>
        <v/>
      </c>
      <c r="AJ20" s="126">
        <f>(SUM($D20:$Q20))/AI20</f>
        <v/>
      </c>
      <c r="AK20" s="126">
        <f>(SUM($D20:$H20))/AI20</f>
        <v/>
      </c>
      <c r="AL20" s="126">
        <f>(SUM($R20:$AH20))/AI20</f>
        <v/>
      </c>
      <c r="AM20" s="161" t="n"/>
      <c r="AN20" s="125">
        <f>YEAR(C20)</f>
        <v/>
      </c>
      <c r="AO20" s="125">
        <f>MONTH(C20)</f>
        <v/>
      </c>
      <c r="AP20" s="125">
        <f>WEEKNUM(C20,2)</f>
        <v/>
      </c>
      <c r="AQ20" s="129">
        <f>IFERROR(D20/$AI20,"")</f>
        <v/>
      </c>
      <c r="AR20" s="129">
        <f>IFERROR(E20/$AI20,"")</f>
        <v/>
      </c>
      <c r="AS20" s="129">
        <f>IFERROR(F20/$AI20,"")</f>
        <v/>
      </c>
      <c r="AT20" s="129">
        <f>IFERROR(H20/$AI20,"")</f>
        <v/>
      </c>
      <c r="AU20" s="129">
        <f>IFERROR(I20/$AI20,"")</f>
        <v/>
      </c>
      <c r="AV20" s="129">
        <f>IFERROR(J20/$AI20,"")</f>
        <v/>
      </c>
      <c r="AW20" s="129">
        <f>IFERROR(K20/$AI20,"")</f>
        <v/>
      </c>
      <c r="AX20" s="129">
        <f>IFERROR(L20/$AI20,"")</f>
        <v/>
      </c>
      <c r="AY20" s="129">
        <f>IFERROR(M20/$AI20,"")</f>
        <v/>
      </c>
      <c r="AZ20" s="129">
        <f>IFERROR(N20/$AI20,"")</f>
        <v/>
      </c>
      <c r="BA20" s="129">
        <f>IFERROR(O20/$AI20,"")</f>
        <v/>
      </c>
      <c r="BB20" s="129">
        <f>IFERROR(P20/$AI20,"")</f>
        <v/>
      </c>
      <c r="BC20" s="129">
        <f>IFERROR(AG20/$AI20,"")</f>
        <v/>
      </c>
      <c r="BD20" s="129">
        <f>IFERROR(AH20/$AI20,"")</f>
        <v/>
      </c>
      <c r="BE20" s="129">
        <f>IFERROR(R20/$AI20,"")</f>
        <v/>
      </c>
      <c r="BF20" s="129">
        <f>IFERROR(S20/$AI20,"")</f>
        <v/>
      </c>
      <c r="BG20" s="129">
        <f>IFERROR(T20/$AI20,"")</f>
        <v/>
      </c>
      <c r="BH20" s="129">
        <f>IFERROR(U20/$AI20,"")</f>
        <v/>
      </c>
      <c r="BI20" s="129">
        <f>IFERROR(V20/$AI20,"")</f>
        <v/>
      </c>
      <c r="BJ20" s="129">
        <f>IFERROR(W20/$AI20,"")</f>
        <v/>
      </c>
      <c r="BK20" s="129">
        <f>IFERROR(X20/$AI20,"")</f>
        <v/>
      </c>
      <c r="BL20" s="129">
        <f>IFERROR(Y20/$AI20,"")</f>
        <v/>
      </c>
      <c r="BM20" s="129">
        <f>IFERROR(Z20/$AI20,"")</f>
        <v/>
      </c>
      <c r="BN20" s="129">
        <f>IFERROR(AA20/$AI20,"")</f>
        <v/>
      </c>
      <c r="BO20" s="129">
        <f>IFERROR(AB20/$AI20,"")</f>
        <v/>
      </c>
      <c r="BP20" s="129">
        <f>IFERROR(AC20/$AI20,"")</f>
        <v/>
      </c>
      <c r="BQ20" s="129">
        <f>IFERROR(AD20/$AI20,"")</f>
        <v/>
      </c>
      <c r="BR20" s="129">
        <f>IFERROR(AE20/$AI20,"")</f>
        <v/>
      </c>
      <c r="BS20" s="129">
        <f>IFERROR(AF20/$AI20,"")</f>
        <v/>
      </c>
      <c r="BT20" s="129">
        <f>IFERROR(AG20/$AI20,"")</f>
        <v/>
      </c>
      <c r="BU20" s="129">
        <f>IFERROR(AH20/$AI20,"")</f>
        <v/>
      </c>
      <c r="BV20" s="126">
        <f>SUM(AQ20:BD20)</f>
        <v/>
      </c>
      <c r="BW20" s="126">
        <f>SUM(BE20:BU20)</f>
        <v/>
      </c>
      <c r="BX20" s="126">
        <f>SUM(AQ20:AU20)</f>
        <v/>
      </c>
      <c r="BZ20" s="158" t="inlineStr">
        <is>
          <t>BOIS</t>
        </is>
      </c>
      <c r="CA20" s="209">
        <f>AVERAGE(BI2:BI1015)</f>
        <v/>
      </c>
      <c r="CF20" s="210" t="inlineStr">
        <is>
          <t>FILM REFUSES</t>
        </is>
      </c>
      <c r="CG20" s="210" t="e">
        <v>#DIV/0!</v>
      </c>
    </row>
    <row r="21" ht="15.75" customHeight="1" s="215">
      <c r="A21" s="2">
        <f>A20+1</f>
        <v/>
      </c>
      <c r="B21" s="127" t="n"/>
      <c r="C21" s="128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7">
        <f>SUM(D21:AG21,AH21)</f>
        <v/>
      </c>
      <c r="AJ21" s="126">
        <f>(SUM($D21:$Q21))/AI21</f>
        <v/>
      </c>
      <c r="AK21" s="126">
        <f>(SUM($D21:$H21))/AI21</f>
        <v/>
      </c>
      <c r="AL21" s="126">
        <f>(SUM($R21:$AH21))/AI21</f>
        <v/>
      </c>
      <c r="AM21" s="161" t="n"/>
      <c r="AN21" s="125">
        <f>YEAR(C21)</f>
        <v/>
      </c>
      <c r="AO21" s="125">
        <f>MONTH(C21)</f>
        <v/>
      </c>
      <c r="AP21" s="125">
        <f>WEEKNUM(C21,2)</f>
        <v/>
      </c>
      <c r="AQ21" s="129">
        <f>IFERROR(D21/$AI21,"")</f>
        <v/>
      </c>
      <c r="AR21" s="129">
        <f>IFERROR(E21/$AI21,"")</f>
        <v/>
      </c>
      <c r="AS21" s="129">
        <f>IFERROR(F21/$AI21,"")</f>
        <v/>
      </c>
      <c r="AT21" s="129">
        <f>IFERROR(H21/$AI21,"")</f>
        <v/>
      </c>
      <c r="AU21" s="129">
        <f>IFERROR(I21/$AI21,"")</f>
        <v/>
      </c>
      <c r="AV21" s="129">
        <f>IFERROR(J21/$AI21,"")</f>
        <v/>
      </c>
      <c r="AW21" s="129">
        <f>IFERROR(K21/$AI21,"")</f>
        <v/>
      </c>
      <c r="AX21" s="129">
        <f>IFERROR(L21/$AI21,"")</f>
        <v/>
      </c>
      <c r="AY21" s="129">
        <f>IFERROR(M21/$AI21,"")</f>
        <v/>
      </c>
      <c r="AZ21" s="129">
        <f>IFERROR(N21/$AI21,"")</f>
        <v/>
      </c>
      <c r="BA21" s="129">
        <f>IFERROR(O21/$AI21,"")</f>
        <v/>
      </c>
      <c r="BB21" s="129">
        <f>IFERROR(P21/$AI21,"")</f>
        <v/>
      </c>
      <c r="BC21" s="129">
        <f>IFERROR(AG21/$AI21,"")</f>
        <v/>
      </c>
      <c r="BD21" s="129">
        <f>IFERROR(AH21/$AI21,"")</f>
        <v/>
      </c>
      <c r="BE21" s="129">
        <f>IFERROR(R21/$AI21,"")</f>
        <v/>
      </c>
      <c r="BF21" s="129">
        <f>IFERROR(S21/$AI21,"")</f>
        <v/>
      </c>
      <c r="BG21" s="129">
        <f>IFERROR(T21/$AI21,"")</f>
        <v/>
      </c>
      <c r="BH21" s="129">
        <f>IFERROR(U21/$AI21,"")</f>
        <v/>
      </c>
      <c r="BI21" s="129">
        <f>IFERROR(V21/$AI21,"")</f>
        <v/>
      </c>
      <c r="BJ21" s="129">
        <f>IFERROR(W21/$AI21,"")</f>
        <v/>
      </c>
      <c r="BK21" s="129">
        <f>IFERROR(X21/$AI21,"")</f>
        <v/>
      </c>
      <c r="BL21" s="129">
        <f>IFERROR(Y21/$AI21,"")</f>
        <v/>
      </c>
      <c r="BM21" s="129">
        <f>IFERROR(Z21/$AI21,"")</f>
        <v/>
      </c>
      <c r="BN21" s="129">
        <f>IFERROR(AA21/$AI21,"")</f>
        <v/>
      </c>
      <c r="BO21" s="129">
        <f>IFERROR(AB21/$AI21,"")</f>
        <v/>
      </c>
      <c r="BP21" s="129">
        <f>IFERROR(AC21/$AI21,"")</f>
        <v/>
      </c>
      <c r="BQ21" s="129">
        <f>IFERROR(AD21/$AI21,"")</f>
        <v/>
      </c>
      <c r="BR21" s="129">
        <f>IFERROR(AE21/$AI21,"")</f>
        <v/>
      </c>
      <c r="BS21" s="129">
        <f>IFERROR(AF21/$AI21,"")</f>
        <v/>
      </c>
      <c r="BT21" s="129">
        <f>IFERROR(AG21/$AI21,"")</f>
        <v/>
      </c>
      <c r="BU21" s="129">
        <f>IFERROR(AH21/$AI21,"")</f>
        <v/>
      </c>
      <c r="BV21" s="126">
        <f>SUM(AQ21:BD21)</f>
        <v/>
      </c>
      <c r="BW21" s="126">
        <f>SUM(BE21:BU21)</f>
        <v/>
      </c>
      <c r="BX21" s="126">
        <f>SUM(AQ21:AU21)</f>
        <v/>
      </c>
      <c r="BZ21" s="158" t="inlineStr">
        <is>
          <t>VERRE</t>
        </is>
      </c>
      <c r="CA21" s="209">
        <f>AVERAGE(BJ2:BJ1015)</f>
        <v/>
      </c>
      <c r="CF21" s="210" t="inlineStr">
        <is>
          <t>EMBALLAGES NOIRS</t>
        </is>
      </c>
      <c r="CG21" s="210" t="e">
        <v>#DIV/0!</v>
      </c>
    </row>
    <row r="22" ht="15.75" customHeight="1" s="215">
      <c r="A22" s="2">
        <f>A21+1</f>
        <v/>
      </c>
      <c r="B22" s="127" t="n"/>
      <c r="C22" s="128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7">
        <f>SUM(D22:AG22,AH22)</f>
        <v/>
      </c>
      <c r="AJ22" s="126">
        <f>(SUM($D22:$Q22))/AI22</f>
        <v/>
      </c>
      <c r="AK22" s="126">
        <f>(SUM($D22:$H22))/AI22</f>
        <v/>
      </c>
      <c r="AL22" s="126">
        <f>(SUM($R22:$AH22))/AI22</f>
        <v/>
      </c>
      <c r="AM22" s="161" t="n"/>
      <c r="AN22" s="125">
        <f>YEAR(C22)</f>
        <v/>
      </c>
      <c r="AO22" s="125">
        <f>MONTH(C22)</f>
        <v/>
      </c>
      <c r="AP22" s="125">
        <f>WEEKNUM(C22,2)</f>
        <v/>
      </c>
      <c r="AQ22" s="129">
        <f>IFERROR(D22/$AI22,"")</f>
        <v/>
      </c>
      <c r="AR22" s="129">
        <f>IFERROR(E22/$AI22,"")</f>
        <v/>
      </c>
      <c r="AS22" s="129">
        <f>IFERROR(F22/$AI22,"")</f>
        <v/>
      </c>
      <c r="AT22" s="129">
        <f>IFERROR(H22/$AI22,"")</f>
        <v/>
      </c>
      <c r="AU22" s="129">
        <f>IFERROR(I22/$AI22,"")</f>
        <v/>
      </c>
      <c r="AV22" s="129">
        <f>IFERROR(J22/$AI22,"")</f>
        <v/>
      </c>
      <c r="AW22" s="129">
        <f>IFERROR(K22/$AI22,"")</f>
        <v/>
      </c>
      <c r="AX22" s="129">
        <f>IFERROR(L22/$AI22,"")</f>
        <v/>
      </c>
      <c r="AY22" s="129">
        <f>IFERROR(M22/$AI22,"")</f>
        <v/>
      </c>
      <c r="AZ22" s="129">
        <f>IFERROR(N22/$AI22,"")</f>
        <v/>
      </c>
      <c r="BA22" s="129">
        <f>IFERROR(O22/$AI22,"")</f>
        <v/>
      </c>
      <c r="BB22" s="129">
        <f>IFERROR(P22/$AI22,"")</f>
        <v/>
      </c>
      <c r="BC22" s="129">
        <f>IFERROR(AG22/$AI22,"")</f>
        <v/>
      </c>
      <c r="BD22" s="129">
        <f>IFERROR(AH22/$AI22,"")</f>
        <v/>
      </c>
      <c r="BE22" s="129">
        <f>IFERROR(R22/$AI22,"")</f>
        <v/>
      </c>
      <c r="BF22" s="129">
        <f>IFERROR(S22/$AI22,"")</f>
        <v/>
      </c>
      <c r="BG22" s="129">
        <f>IFERROR(T22/$AI22,"")</f>
        <v/>
      </c>
      <c r="BH22" s="129">
        <f>IFERROR(U22/$AI22,"")</f>
        <v/>
      </c>
      <c r="BI22" s="129">
        <f>IFERROR(V22/$AI22,"")</f>
        <v/>
      </c>
      <c r="BJ22" s="129">
        <f>IFERROR(W22/$AI22,"")</f>
        <v/>
      </c>
      <c r="BK22" s="129">
        <f>IFERROR(X22/$AI22,"")</f>
        <v/>
      </c>
      <c r="BL22" s="129">
        <f>IFERROR(Y22/$AI22,"")</f>
        <v/>
      </c>
      <c r="BM22" s="129">
        <f>IFERROR(Z22/$AI22,"")</f>
        <v/>
      </c>
      <c r="BN22" s="129">
        <f>IFERROR(AA22/$AI22,"")</f>
        <v/>
      </c>
      <c r="BO22" s="129">
        <f>IFERROR(AB22/$AI22,"")</f>
        <v/>
      </c>
      <c r="BP22" s="129">
        <f>IFERROR(AC22/$AI22,"")</f>
        <v/>
      </c>
      <c r="BQ22" s="129">
        <f>IFERROR(AD22/$AI22,"")</f>
        <v/>
      </c>
      <c r="BR22" s="129">
        <f>IFERROR(AE22/$AI22,"")</f>
        <v/>
      </c>
      <c r="BS22" s="129">
        <f>IFERROR(AF22/$AI22,"")</f>
        <v/>
      </c>
      <c r="BT22" s="129">
        <f>IFERROR(AG22/$AI22,"")</f>
        <v/>
      </c>
      <c r="BU22" s="129">
        <f>IFERROR(AH22/$AI22,"")</f>
        <v/>
      </c>
      <c r="BV22" s="126">
        <f>SUM(AQ22:BD22)</f>
        <v/>
      </c>
      <c r="BW22" s="126">
        <f>SUM(BE22:BU22)</f>
        <v/>
      </c>
      <c r="BX22" s="126">
        <f>SUM(AQ22:AU22)</f>
        <v/>
      </c>
      <c r="BZ22" s="158" t="inlineStr">
        <is>
          <t>DDS</t>
        </is>
      </c>
      <c r="CA22" s="209">
        <f>AVERAGE(BK2:BK1015)</f>
        <v/>
      </c>
      <c r="CF22" s="210" t="inlineStr">
        <is>
          <t>AUTES EMBALLAGES NON RECYCLABES</t>
        </is>
      </c>
      <c r="CG22" s="210" t="e">
        <v>#DIV/0!</v>
      </c>
    </row>
    <row r="23" ht="15.75" customHeight="1" s="215">
      <c r="A23" s="2">
        <f>A22+1</f>
        <v/>
      </c>
      <c r="B23" s="130" t="n"/>
      <c r="C23" s="128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7">
        <f>SUM(D23:AG23,AH23)</f>
        <v/>
      </c>
      <c r="AJ23" s="126">
        <f>(SUM($D23:$Q23))/AI23</f>
        <v/>
      </c>
      <c r="AK23" s="126">
        <f>(SUM($D23:$H23))/AI23</f>
        <v/>
      </c>
      <c r="AL23" s="126">
        <f>(SUM($R23:$AH23))/AI23</f>
        <v/>
      </c>
      <c r="AM23" s="161" t="n"/>
      <c r="AN23" s="125">
        <f>YEAR(C23)</f>
        <v/>
      </c>
      <c r="AO23" s="125">
        <f>MONTH(C23)</f>
        <v/>
      </c>
      <c r="AP23" s="125">
        <f>WEEKNUM(C23,2)</f>
        <v/>
      </c>
      <c r="AQ23" s="129">
        <f>IFERROR(D23/$AI23,"")</f>
        <v/>
      </c>
      <c r="AR23" s="129">
        <f>IFERROR(E23/$AI23,"")</f>
        <v/>
      </c>
      <c r="AS23" s="129">
        <f>IFERROR(F23/$AI23,"")</f>
        <v/>
      </c>
      <c r="AT23" s="129">
        <f>IFERROR(H23/$AI23,"")</f>
        <v/>
      </c>
      <c r="AU23" s="129">
        <f>IFERROR(I23/$AI23,"")</f>
        <v/>
      </c>
      <c r="AV23" s="129">
        <f>IFERROR(J23/$AI23,"")</f>
        <v/>
      </c>
      <c r="AW23" s="129">
        <f>IFERROR(K23/$AI23,"")</f>
        <v/>
      </c>
      <c r="AX23" s="129">
        <f>IFERROR(L23/$AI23,"")</f>
        <v/>
      </c>
      <c r="AY23" s="129">
        <f>IFERROR(M23/$AI23,"")</f>
        <v/>
      </c>
      <c r="AZ23" s="129">
        <f>IFERROR(N23/$AI23,"")</f>
        <v/>
      </c>
      <c r="BA23" s="129">
        <f>IFERROR(O23/$AI23,"")</f>
        <v/>
      </c>
      <c r="BB23" s="129">
        <f>IFERROR(P23/$AI23,"")</f>
        <v/>
      </c>
      <c r="BC23" s="129">
        <f>IFERROR(AG23/$AI23,"")</f>
        <v/>
      </c>
      <c r="BD23" s="129">
        <f>IFERROR(AH23/$AI23,"")</f>
        <v/>
      </c>
      <c r="BE23" s="129">
        <f>IFERROR(R23/$AI23,"")</f>
        <v/>
      </c>
      <c r="BF23" s="129">
        <f>IFERROR(S23/$AI23,"")</f>
        <v/>
      </c>
      <c r="BG23" s="129">
        <f>IFERROR(T23/$AI23,"")</f>
        <v/>
      </c>
      <c r="BH23" s="129">
        <f>IFERROR(U23/$AI23,"")</f>
        <v/>
      </c>
      <c r="BI23" s="129">
        <f>IFERROR(V23/$AI23,"")</f>
        <v/>
      </c>
      <c r="BJ23" s="129">
        <f>IFERROR(W23/$AI23,"")</f>
        <v/>
      </c>
      <c r="BK23" s="129">
        <f>IFERROR(X23/$AI23,"")</f>
        <v/>
      </c>
      <c r="BL23" s="129">
        <f>IFERROR(Y23/$AI23,"")</f>
        <v/>
      </c>
      <c r="BM23" s="129">
        <f>IFERROR(Z23/$AI23,"")</f>
        <v/>
      </c>
      <c r="BN23" s="129">
        <f>IFERROR(AA23/$AI23,"")</f>
        <v/>
      </c>
      <c r="BO23" s="129">
        <f>IFERROR(AB23/$AI23,"")</f>
        <v/>
      </c>
      <c r="BP23" s="129">
        <f>IFERROR(AC23/$AI23,"")</f>
        <v/>
      </c>
      <c r="BQ23" s="129">
        <f>IFERROR(AD23/$AI23,"")</f>
        <v/>
      </c>
      <c r="BR23" s="129">
        <f>IFERROR(AE23/$AI23,"")</f>
        <v/>
      </c>
      <c r="BS23" s="129">
        <f>IFERROR(AF23/$AI23,"")</f>
        <v/>
      </c>
      <c r="BT23" s="129">
        <f>IFERROR(AG23/$AI23,"")</f>
        <v/>
      </c>
      <c r="BU23" s="129">
        <f>IFERROR(AH23/$AI23,"")</f>
        <v/>
      </c>
      <c r="BV23" s="126">
        <f>SUM(AQ23:BD23)</f>
        <v/>
      </c>
      <c r="BW23" s="126">
        <f>SUM(BE23:BU23)</f>
        <v/>
      </c>
      <c r="BX23" s="126">
        <f>SUM(AQ23:AU23)</f>
        <v/>
      </c>
      <c r="BZ23" s="158" t="inlineStr">
        <is>
          <t>D3E</t>
        </is>
      </c>
      <c r="CA23" s="209">
        <f>AVERAGE(BL2:BL1015)</f>
        <v/>
      </c>
      <c r="CF23" s="210" t="inlineStr">
        <is>
          <t>BOIS</t>
        </is>
      </c>
      <c r="CG23" s="210" t="e">
        <v>#DIV/0!</v>
      </c>
    </row>
    <row r="24" ht="15.75" customHeight="1" s="215">
      <c r="A24" s="2">
        <f>A23+1</f>
        <v/>
      </c>
      <c r="B24" s="127" t="n"/>
      <c r="C24" s="128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7">
        <f>SUM(D24:AG24,AH24)</f>
        <v/>
      </c>
      <c r="AJ24" s="126">
        <f>(SUM($D24:$Q24))/AI24</f>
        <v/>
      </c>
      <c r="AK24" s="126">
        <f>(SUM($D24:$H24))/AI24</f>
        <v/>
      </c>
      <c r="AL24" s="126">
        <f>(SUM($R24:$AH24))/AI24</f>
        <v/>
      </c>
      <c r="AM24" s="161" t="n"/>
      <c r="AN24" s="125">
        <f>YEAR(C24)</f>
        <v/>
      </c>
      <c r="AO24" s="125">
        <f>MONTH(C24)</f>
        <v/>
      </c>
      <c r="AP24" s="125">
        <f>WEEKNUM(C24,2)</f>
        <v/>
      </c>
      <c r="AQ24" s="129">
        <f>IFERROR(D24/$AI24,"")</f>
        <v/>
      </c>
      <c r="AR24" s="129">
        <f>IFERROR(E24/$AI24,"")</f>
        <v/>
      </c>
      <c r="AS24" s="129">
        <f>IFERROR(F24/$AI24,"")</f>
        <v/>
      </c>
      <c r="AT24" s="129">
        <f>IFERROR(H24/$AI24,"")</f>
        <v/>
      </c>
      <c r="AU24" s="129">
        <f>IFERROR(I24/$AI24,"")</f>
        <v/>
      </c>
      <c r="AV24" s="129">
        <f>IFERROR(J24/$AI24,"")</f>
        <v/>
      </c>
      <c r="AW24" s="129">
        <f>IFERROR(K24/$AI24,"")</f>
        <v/>
      </c>
      <c r="AX24" s="129">
        <f>IFERROR(L24/$AI24,"")</f>
        <v/>
      </c>
      <c r="AY24" s="129">
        <f>IFERROR(M24/$AI24,"")</f>
        <v/>
      </c>
      <c r="AZ24" s="129">
        <f>IFERROR(N24/$AI24,"")</f>
        <v/>
      </c>
      <c r="BA24" s="129">
        <f>IFERROR(O24/$AI24,"")</f>
        <v/>
      </c>
      <c r="BB24" s="129">
        <f>IFERROR(P24/$AI24,"")</f>
        <v/>
      </c>
      <c r="BC24" s="129">
        <f>IFERROR(AG24/$AI24,"")</f>
        <v/>
      </c>
      <c r="BD24" s="129">
        <f>IFERROR(AH24/$AI24,"")</f>
        <v/>
      </c>
      <c r="BE24" s="129">
        <f>IFERROR(R24/$AI24,"")</f>
        <v/>
      </c>
      <c r="BF24" s="129">
        <f>IFERROR(S24/$AI24,"")</f>
        <v/>
      </c>
      <c r="BG24" s="129">
        <f>IFERROR(T24/$AI24,"")</f>
        <v/>
      </c>
      <c r="BH24" s="129">
        <f>IFERROR(U24/$AI24,"")</f>
        <v/>
      </c>
      <c r="BI24" s="129">
        <f>IFERROR(V24/$AI24,"")</f>
        <v/>
      </c>
      <c r="BJ24" s="129">
        <f>IFERROR(W24/$AI24,"")</f>
        <v/>
      </c>
      <c r="BK24" s="129">
        <f>IFERROR(X24/$AI24,"")</f>
        <v/>
      </c>
      <c r="BL24" s="129">
        <f>IFERROR(Y24/$AI24,"")</f>
        <v/>
      </c>
      <c r="BM24" s="129">
        <f>IFERROR(Z24/$AI24,"")</f>
        <v/>
      </c>
      <c r="BN24" s="129">
        <f>IFERROR(AA24/$AI24,"")</f>
        <v/>
      </c>
      <c r="BO24" s="129">
        <f>IFERROR(AB24/$AI24,"")</f>
        <v/>
      </c>
      <c r="BP24" s="129">
        <f>IFERROR(AC24/$AI24,"")</f>
        <v/>
      </c>
      <c r="BQ24" s="129">
        <f>IFERROR(AD24/$AI24,"")</f>
        <v/>
      </c>
      <c r="BR24" s="129">
        <f>IFERROR(AE24/$AI24,"")</f>
        <v/>
      </c>
      <c r="BS24" s="129">
        <f>IFERROR(AF24/$AI24,"")</f>
        <v/>
      </c>
      <c r="BT24" s="129">
        <f>IFERROR(AG24/$AI24,"")</f>
        <v/>
      </c>
      <c r="BU24" s="129">
        <f>IFERROR(AH24/$AI24,"")</f>
        <v/>
      </c>
      <c r="BV24" s="126">
        <f>SUM(AQ24:BD24)</f>
        <v/>
      </c>
      <c r="BW24" s="126">
        <f>SUM(BE24:BU24)</f>
        <v/>
      </c>
      <c r="BX24" s="126">
        <f>SUM(AQ24:AU24)</f>
        <v/>
      </c>
      <c r="BZ24" s="158" t="inlineStr">
        <is>
          <t>IMBRIQUES</t>
        </is>
      </c>
      <c r="CA24" s="209">
        <f>AVERAGE(BM2:BM1015)</f>
        <v/>
      </c>
      <c r="CF24" s="210" t="inlineStr">
        <is>
          <t>VERRE</t>
        </is>
      </c>
      <c r="CG24" s="210" t="e">
        <v>#DIV/0!</v>
      </c>
    </row>
    <row r="25" ht="15.75" customHeight="1" s="215">
      <c r="A25" s="2">
        <f>A24+1</f>
        <v/>
      </c>
      <c r="B25" s="127" t="n"/>
      <c r="C25" s="128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7">
        <f>SUM(D25:AG25,AH25)</f>
        <v/>
      </c>
      <c r="AJ25" s="126">
        <f>(SUM($D25:$Q25))/AI25</f>
        <v/>
      </c>
      <c r="AK25" s="126">
        <f>(SUM($D25:$H25))/AI25</f>
        <v/>
      </c>
      <c r="AL25" s="126">
        <f>(SUM($R25:$AH25))/AI25</f>
        <v/>
      </c>
      <c r="AM25" s="161" t="n"/>
      <c r="AN25" s="125">
        <f>YEAR(C25)</f>
        <v/>
      </c>
      <c r="AO25" s="125">
        <f>MONTH(C25)</f>
        <v/>
      </c>
      <c r="AP25" s="125">
        <f>WEEKNUM(C25,2)</f>
        <v/>
      </c>
      <c r="AQ25" s="129">
        <f>IFERROR(D25/$AI25,"")</f>
        <v/>
      </c>
      <c r="AR25" s="129">
        <f>IFERROR(E25/$AI25,"")</f>
        <v/>
      </c>
      <c r="AS25" s="129">
        <f>IFERROR(F25/$AI25,"")</f>
        <v/>
      </c>
      <c r="AT25" s="129">
        <f>IFERROR(H25/$AI25,"")</f>
        <v/>
      </c>
      <c r="AU25" s="129">
        <f>IFERROR(I25/$AI25,"")</f>
        <v/>
      </c>
      <c r="AV25" s="129">
        <f>IFERROR(J25/$AI25,"")</f>
        <v/>
      </c>
      <c r="AW25" s="129">
        <f>IFERROR(K25/$AI25,"")</f>
        <v/>
      </c>
      <c r="AX25" s="129">
        <f>IFERROR(L25/$AI25,"")</f>
        <v/>
      </c>
      <c r="AY25" s="129">
        <f>IFERROR(M25/$AI25,"")</f>
        <v/>
      </c>
      <c r="AZ25" s="129">
        <f>IFERROR(N25/$AI25,"")</f>
        <v/>
      </c>
      <c r="BA25" s="129">
        <f>IFERROR(O25/$AI25,"")</f>
        <v/>
      </c>
      <c r="BB25" s="129">
        <f>IFERROR(P25/$AI25,"")</f>
        <v/>
      </c>
      <c r="BC25" s="129">
        <f>IFERROR(AG25/$AI25,"")</f>
        <v/>
      </c>
      <c r="BD25" s="129">
        <f>IFERROR(AH25/$AI25,"")</f>
        <v/>
      </c>
      <c r="BE25" s="129">
        <f>IFERROR(R25/$AI25,"")</f>
        <v/>
      </c>
      <c r="BF25" s="129">
        <f>IFERROR(S25/$AI25,"")</f>
        <v/>
      </c>
      <c r="BG25" s="129">
        <f>IFERROR(T25/$AI25,"")</f>
        <v/>
      </c>
      <c r="BH25" s="129">
        <f>IFERROR(U25/$AI25,"")</f>
        <v/>
      </c>
      <c r="BI25" s="129">
        <f>IFERROR(V25/$AI25,"")</f>
        <v/>
      </c>
      <c r="BJ25" s="129">
        <f>IFERROR(W25/$AI25,"")</f>
        <v/>
      </c>
      <c r="BK25" s="129">
        <f>IFERROR(X25/$AI25,"")</f>
        <v/>
      </c>
      <c r="BL25" s="129">
        <f>IFERROR(Y25/$AI25,"")</f>
        <v/>
      </c>
      <c r="BM25" s="129">
        <f>IFERROR(Z25/$AI25,"")</f>
        <v/>
      </c>
      <c r="BN25" s="129">
        <f>IFERROR(AA25/$AI25,"")</f>
        <v/>
      </c>
      <c r="BO25" s="129">
        <f>IFERROR(AB25/$AI25,"")</f>
        <v/>
      </c>
      <c r="BP25" s="129">
        <f>IFERROR(AC25/$AI25,"")</f>
        <v/>
      </c>
      <c r="BQ25" s="129">
        <f>IFERROR(AD25/$AI25,"")</f>
        <v/>
      </c>
      <c r="BR25" s="129">
        <f>IFERROR(AE25/$AI25,"")</f>
        <v/>
      </c>
      <c r="BS25" s="129">
        <f>IFERROR(AF25/$AI25,"")</f>
        <v/>
      </c>
      <c r="BT25" s="129">
        <f>IFERROR(AG25/$AI25,"")</f>
        <v/>
      </c>
      <c r="BU25" s="129">
        <f>IFERROR(AH25/$AI25,"")</f>
        <v/>
      </c>
      <c r="BV25" s="126">
        <f>SUM(AQ25:BD25)</f>
        <v/>
      </c>
      <c r="BW25" s="126">
        <f>SUM(BE25:BU25)</f>
        <v/>
      </c>
      <c r="BX25" s="126">
        <f>SUM(AQ25:AU25)</f>
        <v/>
      </c>
      <c r="BZ25" s="158" t="inlineStr">
        <is>
          <t>PLASTIQUES NON EMBALLAGES</t>
        </is>
      </c>
      <c r="CA25" s="209">
        <f>AVERAGE(BN2:BN1015)</f>
        <v/>
      </c>
      <c r="CF25" s="210" t="inlineStr">
        <is>
          <t>DDS</t>
        </is>
      </c>
      <c r="CG25" s="210" t="e">
        <v>#DIV/0!</v>
      </c>
    </row>
    <row r="26" ht="15.75" customHeight="1" s="215">
      <c r="A26" s="2">
        <f>A25+1</f>
        <v/>
      </c>
      <c r="B26" s="127" t="n"/>
      <c r="C26" s="128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7">
        <f>SUM(D26:AG26,AH26)</f>
        <v/>
      </c>
      <c r="AJ26" s="126">
        <f>(SUM($D26:$Q26))/AI26</f>
        <v/>
      </c>
      <c r="AK26" s="126">
        <f>(SUM($D26:$H26))/AI26</f>
        <v/>
      </c>
      <c r="AL26" s="126">
        <f>(SUM($R26:$AH26))/AI26</f>
        <v/>
      </c>
      <c r="AM26" s="161" t="n"/>
      <c r="AN26" s="125">
        <f>YEAR(C26)</f>
        <v/>
      </c>
      <c r="AO26" s="125">
        <f>MONTH(C26)</f>
        <v/>
      </c>
      <c r="AP26" s="125">
        <f>WEEKNUM(C26,2)</f>
        <v/>
      </c>
      <c r="AQ26" s="129">
        <f>IFERROR(D26/$AI26,"")</f>
        <v/>
      </c>
      <c r="AR26" s="129">
        <f>IFERROR(E26/$AI26,"")</f>
        <v/>
      </c>
      <c r="AS26" s="129">
        <f>IFERROR(F26/$AI26,"")</f>
        <v/>
      </c>
      <c r="AT26" s="129">
        <f>IFERROR(H26/$AI26,"")</f>
        <v/>
      </c>
      <c r="AU26" s="129">
        <f>IFERROR(I26/$AI26,"")</f>
        <v/>
      </c>
      <c r="AV26" s="129">
        <f>IFERROR(J26/$AI26,"")</f>
        <v/>
      </c>
      <c r="AW26" s="129">
        <f>IFERROR(K26/$AI26,"")</f>
        <v/>
      </c>
      <c r="AX26" s="129">
        <f>IFERROR(L26/$AI26,"")</f>
        <v/>
      </c>
      <c r="AY26" s="129">
        <f>IFERROR(M26/$AI26,"")</f>
        <v/>
      </c>
      <c r="AZ26" s="129">
        <f>IFERROR(N26/$AI26,"")</f>
        <v/>
      </c>
      <c r="BA26" s="129">
        <f>IFERROR(O26/$AI26,"")</f>
        <v/>
      </c>
      <c r="BB26" s="129">
        <f>IFERROR(P26/$AI26,"")</f>
        <v/>
      </c>
      <c r="BC26" s="129">
        <f>IFERROR(AG26/$AI26,"")</f>
        <v/>
      </c>
      <c r="BD26" s="129">
        <f>IFERROR(AH26/$AI26,"")</f>
        <v/>
      </c>
      <c r="BE26" s="129">
        <f>IFERROR(R26/$AI26,"")</f>
        <v/>
      </c>
      <c r="BF26" s="129">
        <f>IFERROR(S26/$AI26,"")</f>
        <v/>
      </c>
      <c r="BG26" s="129">
        <f>IFERROR(T26/$AI26,"")</f>
        <v/>
      </c>
      <c r="BH26" s="129">
        <f>IFERROR(U26/$AI26,"")</f>
        <v/>
      </c>
      <c r="BI26" s="129">
        <f>IFERROR(V26/$AI26,"")</f>
        <v/>
      </c>
      <c r="BJ26" s="129">
        <f>IFERROR(W26/$AI26,"")</f>
        <v/>
      </c>
      <c r="BK26" s="129">
        <f>IFERROR(X26/$AI26,"")</f>
        <v/>
      </c>
      <c r="BL26" s="129">
        <f>IFERROR(Y26/$AI26,"")</f>
        <v/>
      </c>
      <c r="BM26" s="129">
        <f>IFERROR(Z26/$AI26,"")</f>
        <v/>
      </c>
      <c r="BN26" s="129">
        <f>IFERROR(AA26/$AI26,"")</f>
        <v/>
      </c>
      <c r="BO26" s="129">
        <f>IFERROR(AB26/$AI26,"")</f>
        <v/>
      </c>
      <c r="BP26" s="129">
        <f>IFERROR(AC26/$AI26,"")</f>
        <v/>
      </c>
      <c r="BQ26" s="129">
        <f>IFERROR(AD26/$AI26,"")</f>
        <v/>
      </c>
      <c r="BR26" s="129">
        <f>IFERROR(AE26/$AI26,"")</f>
        <v/>
      </c>
      <c r="BS26" s="129">
        <f>IFERROR(AF26/$AI26,"")</f>
        <v/>
      </c>
      <c r="BT26" s="129">
        <f>IFERROR(AG26/$AI26,"")</f>
        <v/>
      </c>
      <c r="BU26" s="129">
        <f>IFERROR(AH26/$AI26,"")</f>
        <v/>
      </c>
      <c r="BV26" s="126">
        <f>SUM(AQ26:BD26)</f>
        <v/>
      </c>
      <c r="BW26" s="126">
        <f>SUM(BE26:BU26)</f>
        <v/>
      </c>
      <c r="BX26" s="126">
        <f>SUM(AQ26:AU26)</f>
        <v/>
      </c>
      <c r="BZ26" s="158" t="inlineStr">
        <is>
          <t>FERRAILLES</t>
        </is>
      </c>
      <c r="CA26" s="209">
        <f>AVERAGE(BO2:BO1015)</f>
        <v/>
      </c>
      <c r="CF26" s="210" t="inlineStr">
        <is>
          <t>D3E</t>
        </is>
      </c>
      <c r="CG26" s="210" t="e">
        <v>#DIV/0!</v>
      </c>
    </row>
    <row r="27" ht="15.75" customHeight="1" s="215">
      <c r="A27" s="2">
        <f>A26+1</f>
        <v/>
      </c>
      <c r="B27" s="127" t="n"/>
      <c r="C27" s="128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7">
        <f>SUM(D27:AG27,AH27)</f>
        <v/>
      </c>
      <c r="AJ27" s="126">
        <f>(SUM($D27:$Q27))/AI27</f>
        <v/>
      </c>
      <c r="AK27" s="126">
        <f>(SUM($D27:$H27))/AI27</f>
        <v/>
      </c>
      <c r="AL27" s="126">
        <f>(SUM($R27:$AH27))/AI27</f>
        <v/>
      </c>
      <c r="AM27" s="161" t="n"/>
      <c r="AN27" s="125">
        <f>YEAR(C27)</f>
        <v/>
      </c>
      <c r="AO27" s="125">
        <f>MONTH(C27)</f>
        <v/>
      </c>
      <c r="AP27" s="125">
        <f>WEEKNUM(C27,2)</f>
        <v/>
      </c>
      <c r="AQ27" s="129">
        <f>IFERROR(D27/$AI27,"")</f>
        <v/>
      </c>
      <c r="AR27" s="129">
        <f>IFERROR(E27/$AI27,"")</f>
        <v/>
      </c>
      <c r="AS27" s="129">
        <f>IFERROR(F27/$AI27,"")</f>
        <v/>
      </c>
      <c r="AT27" s="129">
        <f>IFERROR(H27/$AI27,"")</f>
        <v/>
      </c>
      <c r="AU27" s="129">
        <f>IFERROR(I27/$AI27,"")</f>
        <v/>
      </c>
      <c r="AV27" s="129">
        <f>IFERROR(J27/$AI27,"")</f>
        <v/>
      </c>
      <c r="AW27" s="129">
        <f>IFERROR(K27/$AI27,"")</f>
        <v/>
      </c>
      <c r="AX27" s="129">
        <f>IFERROR(L27/$AI27,"")</f>
        <v/>
      </c>
      <c r="AY27" s="129">
        <f>IFERROR(M27/$AI27,"")</f>
        <v/>
      </c>
      <c r="AZ27" s="129">
        <f>IFERROR(N27/$AI27,"")</f>
        <v/>
      </c>
      <c r="BA27" s="129">
        <f>IFERROR(O27/$AI27,"")</f>
        <v/>
      </c>
      <c r="BB27" s="129">
        <f>IFERROR(P27/$AI27,"")</f>
        <v/>
      </c>
      <c r="BC27" s="129">
        <f>IFERROR(AG27/$AI27,"")</f>
        <v/>
      </c>
      <c r="BD27" s="129">
        <f>IFERROR(AH27/$AI27,"")</f>
        <v/>
      </c>
      <c r="BE27" s="129">
        <f>IFERROR(R27/$AI27,"")</f>
        <v/>
      </c>
      <c r="BF27" s="129">
        <f>IFERROR(S27/$AI27,"")</f>
        <v/>
      </c>
      <c r="BG27" s="129">
        <f>IFERROR(T27/$AI27,"")</f>
        <v/>
      </c>
      <c r="BH27" s="129">
        <f>IFERROR(U27/$AI27,"")</f>
        <v/>
      </c>
      <c r="BI27" s="129">
        <f>IFERROR(V27/$AI27,"")</f>
        <v/>
      </c>
      <c r="BJ27" s="129">
        <f>IFERROR(W27/$AI27,"")</f>
        <v/>
      </c>
      <c r="BK27" s="129">
        <f>IFERROR(X27/$AI27,"")</f>
        <v/>
      </c>
      <c r="BL27" s="129">
        <f>IFERROR(Y27/$AI27,"")</f>
        <v/>
      </c>
      <c r="BM27" s="129">
        <f>IFERROR(Z27/$AI27,"")</f>
        <v/>
      </c>
      <c r="BN27" s="129">
        <f>IFERROR(AA27/$AI27,"")</f>
        <v/>
      </c>
      <c r="BO27" s="129">
        <f>IFERROR(AB27/$AI27,"")</f>
        <v/>
      </c>
      <c r="BP27" s="129">
        <f>IFERROR(AC27/$AI27,"")</f>
        <v/>
      </c>
      <c r="BQ27" s="129">
        <f>IFERROR(AD27/$AI27,"")</f>
        <v/>
      </c>
      <c r="BR27" s="129">
        <f>IFERROR(AE27/$AI27,"")</f>
        <v/>
      </c>
      <c r="BS27" s="129">
        <f>IFERROR(AF27/$AI27,"")</f>
        <v/>
      </c>
      <c r="BT27" s="129">
        <f>IFERROR(AG27/$AI27,"")</f>
        <v/>
      </c>
      <c r="BU27" s="129">
        <f>IFERROR(AH27/$AI27,"")</f>
        <v/>
      </c>
      <c r="BV27" s="126">
        <f>SUM(AQ27:BD27)</f>
        <v/>
      </c>
      <c r="BW27" s="126">
        <f>SUM(BE27:BU27)</f>
        <v/>
      </c>
      <c r="BX27" s="126">
        <f>SUM(AQ27:AU27)</f>
        <v/>
      </c>
      <c r="BZ27" s="158" t="inlineStr">
        <is>
          <t>GRAVATS</t>
        </is>
      </c>
      <c r="CA27" s="209">
        <f>AVERAGE(BP2:BP1015)</f>
        <v/>
      </c>
      <c r="CF27" s="210" t="inlineStr">
        <is>
          <t>IMBRIQUES</t>
        </is>
      </c>
      <c r="CG27" s="210" t="e">
        <v>#DIV/0!</v>
      </c>
    </row>
    <row r="28" ht="15.75" customHeight="1" s="215">
      <c r="A28" s="2">
        <f>A27+1</f>
        <v/>
      </c>
      <c r="B28" s="127" t="n"/>
      <c r="C28" s="128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  <c r="AG28" s="125" t="n"/>
      <c r="AH28" s="125" t="n"/>
      <c r="AI28" s="127">
        <f>SUM(D28:AG28,AH28)</f>
        <v/>
      </c>
      <c r="AJ28" s="126">
        <f>(SUM($D28:$Q28))/AI28</f>
        <v/>
      </c>
      <c r="AK28" s="126">
        <f>(SUM($D28:$H28))/AI28</f>
        <v/>
      </c>
      <c r="AL28" s="126">
        <f>(SUM($R28:$AH28))/AI28</f>
        <v/>
      </c>
      <c r="AM28" s="161" t="n"/>
      <c r="AN28" s="125">
        <f>YEAR(C28)</f>
        <v/>
      </c>
      <c r="AO28" s="125">
        <f>MONTH(C28)</f>
        <v/>
      </c>
      <c r="AP28" s="125">
        <f>WEEKNUM(C28,2)</f>
        <v/>
      </c>
      <c r="AQ28" s="129">
        <f>IFERROR(D28/$AI28,"")</f>
        <v/>
      </c>
      <c r="AR28" s="129">
        <f>IFERROR(E28/$AI28,"")</f>
        <v/>
      </c>
      <c r="AS28" s="129">
        <f>IFERROR(F28/$AI28,"")</f>
        <v/>
      </c>
      <c r="AT28" s="129">
        <f>IFERROR(H28/$AI28,"")</f>
        <v/>
      </c>
      <c r="AU28" s="129">
        <f>IFERROR(I28/$AI28,"")</f>
        <v/>
      </c>
      <c r="AV28" s="129">
        <f>IFERROR(J28/$AI28,"")</f>
        <v/>
      </c>
      <c r="AW28" s="129">
        <f>IFERROR(K28/$AI28,"")</f>
        <v/>
      </c>
      <c r="AX28" s="129">
        <f>IFERROR(L28/$AI28,"")</f>
        <v/>
      </c>
      <c r="AY28" s="129">
        <f>IFERROR(M28/$AI28,"")</f>
        <v/>
      </c>
      <c r="AZ28" s="129">
        <f>IFERROR(N28/$AI28,"")</f>
        <v/>
      </c>
      <c r="BA28" s="129">
        <f>IFERROR(O28/$AI28,"")</f>
        <v/>
      </c>
      <c r="BB28" s="129">
        <f>IFERROR(P28/$AI28,"")</f>
        <v/>
      </c>
      <c r="BC28" s="129">
        <f>IFERROR(AG28/$AI28,"")</f>
        <v/>
      </c>
      <c r="BD28" s="129">
        <f>IFERROR(AH28/$AI28,"")</f>
        <v/>
      </c>
      <c r="BE28" s="129">
        <f>IFERROR(R28/$AI28,"")</f>
        <v/>
      </c>
      <c r="BF28" s="129">
        <f>IFERROR(S28/$AI28,"")</f>
        <v/>
      </c>
      <c r="BG28" s="129">
        <f>IFERROR(T28/$AI28,"")</f>
        <v/>
      </c>
      <c r="BH28" s="129">
        <f>IFERROR(U28/$AI28,"")</f>
        <v/>
      </c>
      <c r="BI28" s="129">
        <f>IFERROR(V28/$AI28,"")</f>
        <v/>
      </c>
      <c r="BJ28" s="129">
        <f>IFERROR(W28/$AI28,"")</f>
        <v/>
      </c>
      <c r="BK28" s="129">
        <f>IFERROR(X28/$AI28,"")</f>
        <v/>
      </c>
      <c r="BL28" s="129">
        <f>IFERROR(Y28/$AI28,"")</f>
        <v/>
      </c>
      <c r="BM28" s="129">
        <f>IFERROR(Z28/$AI28,"")</f>
        <v/>
      </c>
      <c r="BN28" s="129">
        <f>IFERROR(AA28/$AI28,"")</f>
        <v/>
      </c>
      <c r="BO28" s="129">
        <f>IFERROR(AB28/$AI28,"")</f>
        <v/>
      </c>
      <c r="BP28" s="129">
        <f>IFERROR(AC28/$AI28,"")</f>
        <v/>
      </c>
      <c r="BQ28" s="129">
        <f>IFERROR(AD28/$AI28,"")</f>
        <v/>
      </c>
      <c r="BR28" s="129">
        <f>IFERROR(AE28/$AI28,"")</f>
        <v/>
      </c>
      <c r="BS28" s="129">
        <f>IFERROR(AF28/$AI28,"")</f>
        <v/>
      </c>
      <c r="BT28" s="129">
        <f>IFERROR(AG28/$AI28,"")</f>
        <v/>
      </c>
      <c r="BU28" s="129">
        <f>IFERROR(AH28/$AI28,"")</f>
        <v/>
      </c>
      <c r="BV28" s="126">
        <f>SUM(AQ28:BD28)</f>
        <v/>
      </c>
      <c r="BW28" s="126">
        <f>SUM(BE28:BU28)</f>
        <v/>
      </c>
      <c r="BX28" s="126">
        <f>SUM(AQ28:AU28)</f>
        <v/>
      </c>
      <c r="BZ28" s="158" t="inlineStr">
        <is>
          <t>TEXTILE</t>
        </is>
      </c>
      <c r="CA28" s="209">
        <f>AVERAGE(BQ2:BQ1015)</f>
        <v/>
      </c>
      <c r="CF28" s="210" t="inlineStr">
        <is>
          <t>PLASTIQUES NON EMBALLAGES</t>
        </is>
      </c>
      <c r="CG28" s="210" t="e">
        <v>#DIV/0!</v>
      </c>
    </row>
    <row r="29" ht="15.75" customHeight="1" s="215">
      <c r="A29" s="2">
        <f>A28+1</f>
        <v/>
      </c>
      <c r="B29" s="127" t="n"/>
      <c r="C29" s="128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s="127">
        <f>SUM(D29:AG29,AH29)</f>
        <v/>
      </c>
      <c r="AJ29" s="126">
        <f>(SUM($D29:$Q29))/AI29</f>
        <v/>
      </c>
      <c r="AK29" s="126">
        <f>(SUM($D29:$H29))/AI29</f>
        <v/>
      </c>
      <c r="AL29" s="126">
        <f>(SUM($R29:$AH29))/AI29</f>
        <v/>
      </c>
      <c r="AM29" s="161" t="n"/>
      <c r="AN29" s="125">
        <f>YEAR(C29)</f>
        <v/>
      </c>
      <c r="AO29" s="125">
        <f>MONTH(C29)</f>
        <v/>
      </c>
      <c r="AP29" s="125">
        <f>WEEKNUM(C29,2)</f>
        <v/>
      </c>
      <c r="AQ29" s="129">
        <f>IFERROR(D29/$AI29,"")</f>
        <v/>
      </c>
      <c r="AR29" s="129">
        <f>IFERROR(E29/$AI29,"")</f>
        <v/>
      </c>
      <c r="AS29" s="129">
        <f>IFERROR(F29/$AI29,"")</f>
        <v/>
      </c>
      <c r="AT29" s="129">
        <f>IFERROR(H29/$AI29,"")</f>
        <v/>
      </c>
      <c r="AU29" s="129">
        <f>IFERROR(I29/$AI29,"")</f>
        <v/>
      </c>
      <c r="AV29" s="129">
        <f>IFERROR(J29/$AI29,"")</f>
        <v/>
      </c>
      <c r="AW29" s="129">
        <f>IFERROR(K29/$AI29,"")</f>
        <v/>
      </c>
      <c r="AX29" s="129">
        <f>IFERROR(L29/$AI29,"")</f>
        <v/>
      </c>
      <c r="AY29" s="129">
        <f>IFERROR(M29/$AI29,"")</f>
        <v/>
      </c>
      <c r="AZ29" s="129">
        <f>IFERROR(N29/$AI29,"")</f>
        <v/>
      </c>
      <c r="BA29" s="129">
        <f>IFERROR(O29/$AI29,"")</f>
        <v/>
      </c>
      <c r="BB29" s="129">
        <f>IFERROR(P29/$AI29,"")</f>
        <v/>
      </c>
      <c r="BC29" s="129">
        <f>IFERROR(AG29/$AI29,"")</f>
        <v/>
      </c>
      <c r="BD29" s="129">
        <f>IFERROR(AH29/$AI29,"")</f>
        <v/>
      </c>
      <c r="BE29" s="129">
        <f>IFERROR(R29/$AI29,"")</f>
        <v/>
      </c>
      <c r="BF29" s="129">
        <f>IFERROR(S29/$AI29,"")</f>
        <v/>
      </c>
      <c r="BG29" s="129">
        <f>IFERROR(T29/$AI29,"")</f>
        <v/>
      </c>
      <c r="BH29" s="129">
        <f>IFERROR(U29/$AI29,"")</f>
        <v/>
      </c>
      <c r="BI29" s="129">
        <f>IFERROR(V29/$AI29,"")</f>
        <v/>
      </c>
      <c r="BJ29" s="129">
        <f>IFERROR(W29/$AI29,"")</f>
        <v/>
      </c>
      <c r="BK29" s="129">
        <f>IFERROR(X29/$AI29,"")</f>
        <v/>
      </c>
      <c r="BL29" s="129">
        <f>IFERROR(Y29/$AI29,"")</f>
        <v/>
      </c>
      <c r="BM29" s="129">
        <f>IFERROR(Z29/$AI29,"")</f>
        <v/>
      </c>
      <c r="BN29" s="129">
        <f>IFERROR(AA29/$AI29,"")</f>
        <v/>
      </c>
      <c r="BO29" s="129">
        <f>IFERROR(AB29/$AI29,"")</f>
        <v/>
      </c>
      <c r="BP29" s="129">
        <f>IFERROR(AC29/$AI29,"")</f>
        <v/>
      </c>
      <c r="BQ29" s="129">
        <f>IFERROR(AD29/$AI29,"")</f>
        <v/>
      </c>
      <c r="BR29" s="129">
        <f>IFERROR(AE29/$AI29,"")</f>
        <v/>
      </c>
      <c r="BS29" s="129">
        <f>IFERROR(AF29/$AI29,"")</f>
        <v/>
      </c>
      <c r="BT29" s="129">
        <f>IFERROR(AG29/$AI29,"")</f>
        <v/>
      </c>
      <c r="BU29" s="129">
        <f>IFERROR(AH29/$AI29,"")</f>
        <v/>
      </c>
      <c r="BV29" s="126">
        <f>SUM(AQ29:BD29)</f>
        <v/>
      </c>
      <c r="BW29" s="126">
        <f>SUM(BE29:BU29)</f>
        <v/>
      </c>
      <c r="BX29" s="126">
        <f>SUM(AQ29:AU29)</f>
        <v/>
      </c>
      <c r="BZ29" s="158" t="inlineStr">
        <is>
          <t>EMBALLAGES NON VIDES / SOUILL2S</t>
        </is>
      </c>
      <c r="CA29" s="209">
        <f>AVERAGE(BR2:BR1015)</f>
        <v/>
      </c>
      <c r="CF29" s="210" t="inlineStr">
        <is>
          <t>FERRAILLES</t>
        </is>
      </c>
      <c r="CG29" s="210" t="e">
        <v>#DIV/0!</v>
      </c>
    </row>
    <row r="30" ht="15.75" customHeight="1" s="215">
      <c r="A30" s="2">
        <f>A29+1</f>
        <v/>
      </c>
      <c r="B30" s="127" t="n"/>
      <c r="C30" s="128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  <c r="AG30" s="125" t="n"/>
      <c r="AH30" s="125" t="n"/>
      <c r="AI30" s="127">
        <f>SUM(D30:AG30,AH30)</f>
        <v/>
      </c>
      <c r="AJ30" s="126">
        <f>(SUM($D30:$Q30))/AI30</f>
        <v/>
      </c>
      <c r="AK30" s="126">
        <f>(SUM($D30:$H30))/AI30</f>
        <v/>
      </c>
      <c r="AL30" s="126">
        <f>(SUM($R30:$AH30))/AI30</f>
        <v/>
      </c>
      <c r="AM30" s="161" t="n"/>
      <c r="AN30" s="125">
        <f>YEAR(C30)</f>
        <v/>
      </c>
      <c r="AO30" s="125">
        <f>MONTH(C30)</f>
        <v/>
      </c>
      <c r="AP30" s="125">
        <f>WEEKNUM(C30,2)</f>
        <v/>
      </c>
      <c r="AQ30" s="129">
        <f>IFERROR(D30/$AI30,"")</f>
        <v/>
      </c>
      <c r="AR30" s="129">
        <f>IFERROR(E30/$AI30,"")</f>
        <v/>
      </c>
      <c r="AS30" s="129">
        <f>IFERROR(F30/$AI30,"")</f>
        <v/>
      </c>
      <c r="AT30" s="129">
        <f>IFERROR(H30/$AI30,"")</f>
        <v/>
      </c>
      <c r="AU30" s="129">
        <f>IFERROR(I30/$AI30,"")</f>
        <v/>
      </c>
      <c r="AV30" s="129">
        <f>IFERROR(J30/$AI30,"")</f>
        <v/>
      </c>
      <c r="AW30" s="129">
        <f>IFERROR(K30/$AI30,"")</f>
        <v/>
      </c>
      <c r="AX30" s="129">
        <f>IFERROR(L30/$AI30,"")</f>
        <v/>
      </c>
      <c r="AY30" s="129">
        <f>IFERROR(M30/$AI30,"")</f>
        <v/>
      </c>
      <c r="AZ30" s="129">
        <f>IFERROR(N30/$AI30,"")</f>
        <v/>
      </c>
      <c r="BA30" s="129">
        <f>IFERROR(O30/$AI30,"")</f>
        <v/>
      </c>
      <c r="BB30" s="129">
        <f>IFERROR(P30/$AI30,"")</f>
        <v/>
      </c>
      <c r="BC30" s="129">
        <f>IFERROR(AG30/$AI30,"")</f>
        <v/>
      </c>
      <c r="BD30" s="129">
        <f>IFERROR(AH30/$AI30,"")</f>
        <v/>
      </c>
      <c r="BE30" s="129">
        <f>IFERROR(R30/$AI30,"")</f>
        <v/>
      </c>
      <c r="BF30" s="129">
        <f>IFERROR(S30/$AI30,"")</f>
        <v/>
      </c>
      <c r="BG30" s="129">
        <f>IFERROR(T30/$AI30,"")</f>
        <v/>
      </c>
      <c r="BH30" s="129">
        <f>IFERROR(U30/$AI30,"")</f>
        <v/>
      </c>
      <c r="BI30" s="129">
        <f>IFERROR(V30/$AI30,"")</f>
        <v/>
      </c>
      <c r="BJ30" s="129">
        <f>IFERROR(W30/$AI30,"")</f>
        <v/>
      </c>
      <c r="BK30" s="129">
        <f>IFERROR(X30/$AI30,"")</f>
        <v/>
      </c>
      <c r="BL30" s="129">
        <f>IFERROR(Y30/$AI30,"")</f>
        <v/>
      </c>
      <c r="BM30" s="129">
        <f>IFERROR(Z30/$AI30,"")</f>
        <v/>
      </c>
      <c r="BN30" s="129">
        <f>IFERROR(AA30/$AI30,"")</f>
        <v/>
      </c>
      <c r="BO30" s="129">
        <f>IFERROR(AB30/$AI30,"")</f>
        <v/>
      </c>
      <c r="BP30" s="129">
        <f>IFERROR(AC30/$AI30,"")</f>
        <v/>
      </c>
      <c r="BQ30" s="129">
        <f>IFERROR(AD30/$AI30,"")</f>
        <v/>
      </c>
      <c r="BR30" s="129">
        <f>IFERROR(AE30/$AI30,"")</f>
        <v/>
      </c>
      <c r="BS30" s="129">
        <f>IFERROR(AF30/$AI30,"")</f>
        <v/>
      </c>
      <c r="BT30" s="129">
        <f>IFERROR(AG30/$AI30,"")</f>
        <v/>
      </c>
      <c r="BU30" s="129">
        <f>IFERROR(AH30/$AI30,"")</f>
        <v/>
      </c>
      <c r="BV30" s="126">
        <f>SUM(AQ30:BD30)</f>
        <v/>
      </c>
      <c r="BW30" s="126">
        <f>SUM(BE30:BU30)</f>
        <v/>
      </c>
      <c r="BX30" s="126">
        <f>SUM(AQ30:AU30)</f>
        <v/>
      </c>
      <c r="BZ30" s="158" t="inlineStr">
        <is>
          <t>REFUS</t>
        </is>
      </c>
      <c r="CA30" s="209">
        <f>AVERAGE(BS2:BS1015)</f>
        <v/>
      </c>
      <c r="CF30" s="210" t="inlineStr">
        <is>
          <t>GRAVATS</t>
        </is>
      </c>
      <c r="CG30" s="210" t="e">
        <v>#DIV/0!</v>
      </c>
    </row>
    <row r="31" ht="15.75" customHeight="1" s="215">
      <c r="A31" s="2">
        <f>A30+1</f>
        <v/>
      </c>
      <c r="B31" s="127" t="n"/>
      <c r="C31" s="128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  <c r="AG31" s="125" t="n"/>
      <c r="AH31" s="125" t="n"/>
      <c r="AI31" s="127">
        <f>SUM(D31:AG31,AH31)</f>
        <v/>
      </c>
      <c r="AJ31" s="126">
        <f>(SUM($D31:$Q31))/AI31</f>
        <v/>
      </c>
      <c r="AK31" s="126">
        <f>(SUM($D31:$H31))/AI31</f>
        <v/>
      </c>
      <c r="AL31" s="126">
        <f>(SUM($R31:$AH31))/AI31</f>
        <v/>
      </c>
      <c r="AM31" s="161" t="n"/>
      <c r="AN31" s="125">
        <f>YEAR(C31)</f>
        <v/>
      </c>
      <c r="AO31" s="125">
        <f>MONTH(C31)</f>
        <v/>
      </c>
      <c r="AP31" s="125">
        <f>WEEKNUM(C31,2)</f>
        <v/>
      </c>
      <c r="AQ31" s="129">
        <f>IFERROR(D31/$AI31,"")</f>
        <v/>
      </c>
      <c r="AR31" s="129">
        <f>IFERROR(E31/$AI31,"")</f>
        <v/>
      </c>
      <c r="AS31" s="129">
        <f>IFERROR(F31/$AI31,"")</f>
        <v/>
      </c>
      <c r="AT31" s="129">
        <f>IFERROR(H31/$AI31,"")</f>
        <v/>
      </c>
      <c r="AU31" s="129">
        <f>IFERROR(I31/$AI31,"")</f>
        <v/>
      </c>
      <c r="AV31" s="129">
        <f>IFERROR(J31/$AI31,"")</f>
        <v/>
      </c>
      <c r="AW31" s="129">
        <f>IFERROR(K31/$AI31,"")</f>
        <v/>
      </c>
      <c r="AX31" s="129">
        <f>IFERROR(L31/$AI31,"")</f>
        <v/>
      </c>
      <c r="AY31" s="129">
        <f>IFERROR(M31/$AI31,"")</f>
        <v/>
      </c>
      <c r="AZ31" s="129">
        <f>IFERROR(N31/$AI31,"")</f>
        <v/>
      </c>
      <c r="BA31" s="129">
        <f>IFERROR(O31/$AI31,"")</f>
        <v/>
      </c>
      <c r="BB31" s="129">
        <f>IFERROR(P31/$AI31,"")</f>
        <v/>
      </c>
      <c r="BC31" s="129">
        <f>IFERROR(AG31/$AI31,"")</f>
        <v/>
      </c>
      <c r="BD31" s="129">
        <f>IFERROR(AH31/$AI31,"")</f>
        <v/>
      </c>
      <c r="BE31" s="129">
        <f>IFERROR(R31/$AI31,"")</f>
        <v/>
      </c>
      <c r="BF31" s="129">
        <f>IFERROR(S31/$AI31,"")</f>
        <v/>
      </c>
      <c r="BG31" s="129">
        <f>IFERROR(T31/$AI31,"")</f>
        <v/>
      </c>
      <c r="BH31" s="129">
        <f>IFERROR(U31/$AI31,"")</f>
        <v/>
      </c>
      <c r="BI31" s="129">
        <f>IFERROR(V31/$AI31,"")</f>
        <v/>
      </c>
      <c r="BJ31" s="129">
        <f>IFERROR(W31/$AI31,"")</f>
        <v/>
      </c>
      <c r="BK31" s="129">
        <f>IFERROR(X31/$AI31,"")</f>
        <v/>
      </c>
      <c r="BL31" s="129">
        <f>IFERROR(Y31/$AI31,"")</f>
        <v/>
      </c>
      <c r="BM31" s="129">
        <f>IFERROR(Z31/$AI31,"")</f>
        <v/>
      </c>
      <c r="BN31" s="129">
        <f>IFERROR(AA31/$AI31,"")</f>
        <v/>
      </c>
      <c r="BO31" s="129">
        <f>IFERROR(AB31/$AI31,"")</f>
        <v/>
      </c>
      <c r="BP31" s="129">
        <f>IFERROR(AC31/$AI31,"")</f>
        <v/>
      </c>
      <c r="BQ31" s="129">
        <f>IFERROR(AD31/$AI31,"")</f>
        <v/>
      </c>
      <c r="BR31" s="129">
        <f>IFERROR(AE31/$AI31,"")</f>
        <v/>
      </c>
      <c r="BS31" s="129">
        <f>IFERROR(AF31/$AI31,"")</f>
        <v/>
      </c>
      <c r="BT31" s="129">
        <f>IFERROR(AG31/$AI31,"")</f>
        <v/>
      </c>
      <c r="BU31" s="129">
        <f>IFERROR(AH31/$AI31,"")</f>
        <v/>
      </c>
      <c r="BV31" s="126">
        <f>SUM(AQ31:BD31)</f>
        <v/>
      </c>
      <c r="BW31" s="126">
        <f>SUM(BE31:BU31)</f>
        <v/>
      </c>
      <c r="BX31" s="126">
        <f>SUM(AQ31:AU31)</f>
        <v/>
      </c>
      <c r="BZ31" s="158" t="inlineStr">
        <is>
          <t>PAPIER MOUILLE</t>
        </is>
      </c>
      <c r="CA31" s="209">
        <f>AVERAGE(BT2:BT1015)</f>
        <v/>
      </c>
      <c r="CF31" s="210" t="inlineStr">
        <is>
          <t>TEXTILE</t>
        </is>
      </c>
      <c r="CG31" s="210" t="e">
        <v>#DIV/0!</v>
      </c>
    </row>
    <row r="32" ht="15.75" customHeight="1" s="215">
      <c r="A32" s="2">
        <f>A31+1</f>
        <v/>
      </c>
      <c r="B32" s="127" t="n"/>
      <c r="C32" s="128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  <c r="AG32" s="125" t="n"/>
      <c r="AH32" s="125" t="n"/>
      <c r="AI32" s="127">
        <f>SUM(D32:AG32,AH32)</f>
        <v/>
      </c>
      <c r="AJ32" s="126">
        <f>(SUM($D32:$Q32))/AI32</f>
        <v/>
      </c>
      <c r="AK32" s="126">
        <f>(SUM($D32:$H32))/AI32</f>
        <v/>
      </c>
      <c r="AL32" s="126">
        <f>(SUM($R32:$AH32))/AI32</f>
        <v/>
      </c>
      <c r="AM32" s="161" t="n"/>
      <c r="AN32" s="125">
        <f>YEAR(C32)</f>
        <v/>
      </c>
      <c r="AO32" s="125">
        <f>MONTH(C32)</f>
        <v/>
      </c>
      <c r="AP32" s="125">
        <f>WEEKNUM(C32,2)</f>
        <v/>
      </c>
      <c r="AQ32" s="129">
        <f>IFERROR(D32/$AI32,"")</f>
        <v/>
      </c>
      <c r="AR32" s="129">
        <f>IFERROR(E32/$AI32,"")</f>
        <v/>
      </c>
      <c r="AS32" s="129">
        <f>IFERROR(F32/$AI32,"")</f>
        <v/>
      </c>
      <c r="AT32" s="129">
        <f>IFERROR(H32/$AI32,"")</f>
        <v/>
      </c>
      <c r="AU32" s="129">
        <f>IFERROR(I32/$AI32,"")</f>
        <v/>
      </c>
      <c r="AV32" s="129">
        <f>IFERROR(J32/$AI32,"")</f>
        <v/>
      </c>
      <c r="AW32" s="129">
        <f>IFERROR(K32/$AI32,"")</f>
        <v/>
      </c>
      <c r="AX32" s="129">
        <f>IFERROR(L32/$AI32,"")</f>
        <v/>
      </c>
      <c r="AY32" s="129">
        <f>IFERROR(M32/$AI32,"")</f>
        <v/>
      </c>
      <c r="AZ32" s="129">
        <f>IFERROR(N32/$AI32,"")</f>
        <v/>
      </c>
      <c r="BA32" s="129">
        <f>IFERROR(O32/$AI32,"")</f>
        <v/>
      </c>
      <c r="BB32" s="129">
        <f>IFERROR(P32/$AI32,"")</f>
        <v/>
      </c>
      <c r="BC32" s="129">
        <f>IFERROR(AG32/$AI32,"")</f>
        <v/>
      </c>
      <c r="BD32" s="129">
        <f>IFERROR(AH32/$AI32,"")</f>
        <v/>
      </c>
      <c r="BE32" s="129">
        <f>IFERROR(R32/$AI32,"")</f>
        <v/>
      </c>
      <c r="BF32" s="129">
        <f>IFERROR(S32/$AI32,"")</f>
        <v/>
      </c>
      <c r="BG32" s="129">
        <f>IFERROR(T32/$AI32,"")</f>
        <v/>
      </c>
      <c r="BH32" s="129">
        <f>IFERROR(U32/$AI32,"")</f>
        <v/>
      </c>
      <c r="BI32" s="129">
        <f>IFERROR(V32/$AI32,"")</f>
        <v/>
      </c>
      <c r="BJ32" s="129">
        <f>IFERROR(W32/$AI32,"")</f>
        <v/>
      </c>
      <c r="BK32" s="129">
        <f>IFERROR(X32/$AI32,"")</f>
        <v/>
      </c>
      <c r="BL32" s="129">
        <f>IFERROR(Y32/$AI32,"")</f>
        <v/>
      </c>
      <c r="BM32" s="129">
        <f>IFERROR(Z32/$AI32,"")</f>
        <v/>
      </c>
      <c r="BN32" s="129">
        <f>IFERROR(AA32/$AI32,"")</f>
        <v/>
      </c>
      <c r="BO32" s="129">
        <f>IFERROR(AB32/$AI32,"")</f>
        <v/>
      </c>
      <c r="BP32" s="129">
        <f>IFERROR(AC32/$AI32,"")</f>
        <v/>
      </c>
      <c r="BQ32" s="129">
        <f>IFERROR(AD32/$AI32,"")</f>
        <v/>
      </c>
      <c r="BR32" s="129">
        <f>IFERROR(AE32/$AI32,"")</f>
        <v/>
      </c>
      <c r="BS32" s="129">
        <f>IFERROR(AF32/$AI32,"")</f>
        <v/>
      </c>
      <c r="BT32" s="129">
        <f>IFERROR(AG32/$AI32,"")</f>
        <v/>
      </c>
      <c r="BU32" s="129">
        <f>IFERROR(AH32/$AI32,"")</f>
        <v/>
      </c>
      <c r="BV32" s="126">
        <f>SUM(AQ32:BD32)</f>
        <v/>
      </c>
      <c r="BW32" s="126">
        <f>SUM(BE32:BU32)</f>
        <v/>
      </c>
      <c r="BX32" s="126">
        <f>SUM(AQ32:AU32)</f>
        <v/>
      </c>
      <c r="BZ32" s="158" t="inlineStr">
        <is>
          <t>FINES</t>
        </is>
      </c>
      <c r="CA32" s="209">
        <f>AVERAGE(BU2:BU1015)</f>
        <v/>
      </c>
      <c r="CF32" s="210" t="inlineStr">
        <is>
          <t>EMBALLAGES NON VIDES / SOUILL2S</t>
        </is>
      </c>
      <c r="CG32" s="210" t="e">
        <v>#DIV/0!</v>
      </c>
    </row>
    <row r="33" ht="15" customHeight="1" s="215">
      <c r="A33" s="2">
        <f>A32+1</f>
        <v/>
      </c>
      <c r="B33" s="127" t="n"/>
      <c r="C33" s="128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  <c r="AG33" s="125" t="n"/>
      <c r="AH33" s="125" t="n"/>
      <c r="AI33" s="127">
        <f>SUM(D33:AG33,AH33)</f>
        <v/>
      </c>
      <c r="AJ33" s="126">
        <f>(SUM($D33:$Q33))/AI33</f>
        <v/>
      </c>
      <c r="AK33" s="126">
        <f>(SUM($D33:$H33))/AI33</f>
        <v/>
      </c>
      <c r="AL33" s="126">
        <f>(SUM($R33:$AH33))/AI33</f>
        <v/>
      </c>
      <c r="AM33" s="161" t="n"/>
      <c r="AN33" s="125">
        <f>YEAR(C33)</f>
        <v/>
      </c>
      <c r="AO33" s="125">
        <f>MONTH(C33)</f>
        <v/>
      </c>
      <c r="AP33" s="125">
        <f>WEEKNUM(C33,2)</f>
        <v/>
      </c>
      <c r="AQ33" s="129">
        <f>IFERROR(D33/$AI33,"")</f>
        <v/>
      </c>
      <c r="AR33" s="129">
        <f>IFERROR(E33/$AI33,"")</f>
        <v/>
      </c>
      <c r="AS33" s="129">
        <f>IFERROR(F33/$AI33,"")</f>
        <v/>
      </c>
      <c r="AT33" s="129">
        <f>IFERROR(H33/$AI33,"")</f>
        <v/>
      </c>
      <c r="AU33" s="129">
        <f>IFERROR(I33/$AI33,"")</f>
        <v/>
      </c>
      <c r="AV33" s="129">
        <f>IFERROR(J33/$AI33,"")</f>
        <v/>
      </c>
      <c r="AW33" s="129">
        <f>IFERROR(K33/$AI33,"")</f>
        <v/>
      </c>
      <c r="AX33" s="129">
        <f>IFERROR(L33/$AI33,"")</f>
        <v/>
      </c>
      <c r="AY33" s="129">
        <f>IFERROR(M33/$AI33,"")</f>
        <v/>
      </c>
      <c r="AZ33" s="129">
        <f>IFERROR(N33/$AI33,"")</f>
        <v/>
      </c>
      <c r="BA33" s="129">
        <f>IFERROR(O33/$AI33,"")</f>
        <v/>
      </c>
      <c r="BB33" s="129">
        <f>IFERROR(P33/$AI33,"")</f>
        <v/>
      </c>
      <c r="BC33" s="129">
        <f>IFERROR(AG33/$AI33,"")</f>
        <v/>
      </c>
      <c r="BD33" s="129">
        <f>IFERROR(AH33/$AI33,"")</f>
        <v/>
      </c>
      <c r="BE33" s="129">
        <f>IFERROR(R33/$AI33,"")</f>
        <v/>
      </c>
      <c r="BF33" s="129">
        <f>IFERROR(S33/$AI33,"")</f>
        <v/>
      </c>
      <c r="BG33" s="129">
        <f>IFERROR(T33/$AI33,"")</f>
        <v/>
      </c>
      <c r="BH33" s="129">
        <f>IFERROR(U33/$AI33,"")</f>
        <v/>
      </c>
      <c r="BI33" s="129">
        <f>IFERROR(V33/$AI33,"")</f>
        <v/>
      </c>
      <c r="BJ33" s="129">
        <f>IFERROR(W33/$AI33,"")</f>
        <v/>
      </c>
      <c r="BK33" s="129">
        <f>IFERROR(X33/$AI33,"")</f>
        <v/>
      </c>
      <c r="BL33" s="129">
        <f>IFERROR(Y33/$AI33,"")</f>
        <v/>
      </c>
      <c r="BM33" s="129">
        <f>IFERROR(Z33/$AI33,"")</f>
        <v/>
      </c>
      <c r="BN33" s="129">
        <f>IFERROR(AA33/$AI33,"")</f>
        <v/>
      </c>
      <c r="BO33" s="129">
        <f>IFERROR(AB33/$AI33,"")</f>
        <v/>
      </c>
      <c r="BP33" s="129">
        <f>IFERROR(AC33/$AI33,"")</f>
        <v/>
      </c>
      <c r="BQ33" s="129">
        <f>IFERROR(AD33/$AI33,"")</f>
        <v/>
      </c>
      <c r="BR33" s="129">
        <f>IFERROR(AE33/$AI33,"")</f>
        <v/>
      </c>
      <c r="BS33" s="129">
        <f>IFERROR(AF33/$AI33,"")</f>
        <v/>
      </c>
      <c r="BT33" s="129">
        <f>IFERROR(AG33/$AI33,"")</f>
        <v/>
      </c>
      <c r="BU33" s="129">
        <f>IFERROR(AH33/$AI33,"")</f>
        <v/>
      </c>
      <c r="BV33" s="126">
        <f>SUM(AQ33:BD33)</f>
        <v/>
      </c>
      <c r="BW33" s="126">
        <f>SUM(BE33:BU33)</f>
        <v/>
      </c>
      <c r="BX33" s="126">
        <f>SUM(AQ33:AU33)</f>
        <v/>
      </c>
      <c r="CF33" s="210" t="inlineStr">
        <is>
          <t>REFUS</t>
        </is>
      </c>
      <c r="CG33" s="210" t="e">
        <v>#DIV/0!</v>
      </c>
    </row>
    <row r="34" ht="15" customHeight="1" s="215">
      <c r="A34" s="2">
        <f>A33+1</f>
        <v/>
      </c>
      <c r="B34" s="127" t="n"/>
      <c r="C34" s="128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  <c r="AG34" s="125" t="n"/>
      <c r="AH34" s="125" t="n"/>
      <c r="AI34" s="127">
        <f>SUM(D34:AG34,AH34)</f>
        <v/>
      </c>
      <c r="AJ34" s="126">
        <f>(SUM($D34:$Q34))/AI34</f>
        <v/>
      </c>
      <c r="AK34" s="126">
        <f>(SUM($D34:$H34))/AI34</f>
        <v/>
      </c>
      <c r="AL34" s="126">
        <f>(SUM($R34:$AH34))/AI34</f>
        <v/>
      </c>
      <c r="AM34" s="161" t="n"/>
      <c r="AN34" s="125">
        <f>YEAR(C34)</f>
        <v/>
      </c>
      <c r="AO34" s="125">
        <f>MONTH(C34)</f>
        <v/>
      </c>
      <c r="AP34" s="125">
        <f>WEEKNUM(C34,2)</f>
        <v/>
      </c>
      <c r="AQ34" s="129">
        <f>IFERROR(D34/$AI34,"")</f>
        <v/>
      </c>
      <c r="AR34" s="129">
        <f>IFERROR(E34/$AI34,"")</f>
        <v/>
      </c>
      <c r="AS34" s="129">
        <f>IFERROR(F34/$AI34,"")</f>
        <v/>
      </c>
      <c r="AT34" s="129">
        <f>IFERROR(H34/$AI34,"")</f>
        <v/>
      </c>
      <c r="AU34" s="129">
        <f>IFERROR(I34/$AI34,"")</f>
        <v/>
      </c>
      <c r="AV34" s="129">
        <f>IFERROR(J34/$AI34,"")</f>
        <v/>
      </c>
      <c r="AW34" s="129">
        <f>IFERROR(K34/$AI34,"")</f>
        <v/>
      </c>
      <c r="AX34" s="129">
        <f>IFERROR(L34/$AI34,"")</f>
        <v/>
      </c>
      <c r="AY34" s="129">
        <f>IFERROR(M34/$AI34,"")</f>
        <v/>
      </c>
      <c r="AZ34" s="129">
        <f>IFERROR(N34/$AI34,"")</f>
        <v/>
      </c>
      <c r="BA34" s="129">
        <f>IFERROR(O34/$AI34,"")</f>
        <v/>
      </c>
      <c r="BB34" s="129">
        <f>IFERROR(P34/$AI34,"")</f>
        <v/>
      </c>
      <c r="BC34" s="129">
        <f>IFERROR(AG34/$AI34,"")</f>
        <v/>
      </c>
      <c r="BD34" s="129">
        <f>IFERROR(AH34/$AI34,"")</f>
        <v/>
      </c>
      <c r="BE34" s="129">
        <f>IFERROR(R34/$AI34,"")</f>
        <v/>
      </c>
      <c r="BF34" s="129">
        <f>IFERROR(S34/$AI34,"")</f>
        <v/>
      </c>
      <c r="BG34" s="129">
        <f>IFERROR(T34/$AI34,"")</f>
        <v/>
      </c>
      <c r="BH34" s="129">
        <f>IFERROR(U34/$AI34,"")</f>
        <v/>
      </c>
      <c r="BI34" s="129">
        <f>IFERROR(V34/$AI34,"")</f>
        <v/>
      </c>
      <c r="BJ34" s="129">
        <f>IFERROR(W34/$AI34,"")</f>
        <v/>
      </c>
      <c r="BK34" s="129">
        <f>IFERROR(X34/$AI34,"")</f>
        <v/>
      </c>
      <c r="BL34" s="129">
        <f>IFERROR(Y34/$AI34,"")</f>
        <v/>
      </c>
      <c r="BM34" s="129">
        <f>IFERROR(Z34/$AI34,"")</f>
        <v/>
      </c>
      <c r="BN34" s="129">
        <f>IFERROR(AA34/$AI34,"")</f>
        <v/>
      </c>
      <c r="BO34" s="129">
        <f>IFERROR(AB34/$AI34,"")</f>
        <v/>
      </c>
      <c r="BP34" s="129">
        <f>IFERROR(AC34/$AI34,"")</f>
        <v/>
      </c>
      <c r="BQ34" s="129">
        <f>IFERROR(AD34/$AI34,"")</f>
        <v/>
      </c>
      <c r="BR34" s="129">
        <f>IFERROR(AE34/$AI34,"")</f>
        <v/>
      </c>
      <c r="BS34" s="129">
        <f>IFERROR(AF34/$AI34,"")</f>
        <v/>
      </c>
      <c r="BT34" s="129">
        <f>IFERROR(AG34/$AI34,"")</f>
        <v/>
      </c>
      <c r="BU34" s="129">
        <f>IFERROR(AH34/$AI34,"")</f>
        <v/>
      </c>
      <c r="BV34" s="126">
        <f>SUM(AQ34:BD34)</f>
        <v/>
      </c>
      <c r="BW34" s="126">
        <f>SUM(BE34:BU34)</f>
        <v/>
      </c>
      <c r="BX34" s="126">
        <f>SUM(AQ34:AU34)</f>
        <v/>
      </c>
      <c r="CF34" s="210" t="inlineStr">
        <is>
          <t>PAPIER MOUILLE</t>
        </is>
      </c>
      <c r="CG34" s="210" t="e">
        <v>#DIV/0!</v>
      </c>
    </row>
    <row r="35" ht="15" customHeight="1" s="215">
      <c r="A35" s="2">
        <f>A34+1</f>
        <v/>
      </c>
      <c r="B35" s="127" t="n"/>
      <c r="C35" s="128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  <c r="AG35" s="125" t="n"/>
      <c r="AH35" s="125" t="n"/>
      <c r="AI35" s="127">
        <f>SUM(D35:AG35,AH35)</f>
        <v/>
      </c>
      <c r="AJ35" s="126">
        <f>(SUM($D35:$Q35))/AI35</f>
        <v/>
      </c>
      <c r="AK35" s="126">
        <f>(SUM($D35:$H35))/AI35</f>
        <v/>
      </c>
      <c r="AL35" s="126">
        <f>(SUM($R35:$AH35))/AI35</f>
        <v/>
      </c>
      <c r="AM35" s="161" t="n"/>
      <c r="AN35" s="125">
        <f>YEAR(C35)</f>
        <v/>
      </c>
      <c r="AO35" s="125">
        <f>MONTH(C35)</f>
        <v/>
      </c>
      <c r="AP35" s="125">
        <f>WEEKNUM(C35,2)</f>
        <v/>
      </c>
      <c r="AQ35" s="129">
        <f>IFERROR(D35/$AI35,"")</f>
        <v/>
      </c>
      <c r="AR35" s="129">
        <f>IFERROR(E35/$AI35,"")</f>
        <v/>
      </c>
      <c r="AS35" s="129">
        <f>IFERROR(F35/$AI35,"")</f>
        <v/>
      </c>
      <c r="AT35" s="129">
        <f>IFERROR(H35/$AI35,"")</f>
        <v/>
      </c>
      <c r="AU35" s="129">
        <f>IFERROR(I35/$AI35,"")</f>
        <v/>
      </c>
      <c r="AV35" s="129">
        <f>IFERROR(J35/$AI35,"")</f>
        <v/>
      </c>
      <c r="AW35" s="129">
        <f>IFERROR(K35/$AI35,"")</f>
        <v/>
      </c>
      <c r="AX35" s="129">
        <f>IFERROR(L35/$AI35,"")</f>
        <v/>
      </c>
      <c r="AY35" s="129">
        <f>IFERROR(M35/$AI35,"")</f>
        <v/>
      </c>
      <c r="AZ35" s="129">
        <f>IFERROR(N35/$AI35,"")</f>
        <v/>
      </c>
      <c r="BA35" s="129">
        <f>IFERROR(O35/$AI35,"")</f>
        <v/>
      </c>
      <c r="BB35" s="129">
        <f>IFERROR(P35/$AI35,"")</f>
        <v/>
      </c>
      <c r="BC35" s="129">
        <f>IFERROR(AG35/$AI35,"")</f>
        <v/>
      </c>
      <c r="BD35" s="129">
        <f>IFERROR(AH35/$AI35,"")</f>
        <v/>
      </c>
      <c r="BE35" s="129">
        <f>IFERROR(R35/$AI35,"")</f>
        <v/>
      </c>
      <c r="BF35" s="129">
        <f>IFERROR(S35/$AI35,"")</f>
        <v/>
      </c>
      <c r="BG35" s="129">
        <f>IFERROR(T35/$AI35,"")</f>
        <v/>
      </c>
      <c r="BH35" s="129">
        <f>IFERROR(U35/$AI35,"")</f>
        <v/>
      </c>
      <c r="BI35" s="129">
        <f>IFERROR(V35/$AI35,"")</f>
        <v/>
      </c>
      <c r="BJ35" s="129">
        <f>IFERROR(W35/$AI35,"")</f>
        <v/>
      </c>
      <c r="BK35" s="129">
        <f>IFERROR(X35/$AI35,"")</f>
        <v/>
      </c>
      <c r="BL35" s="129">
        <f>IFERROR(Y35/$AI35,"")</f>
        <v/>
      </c>
      <c r="BM35" s="129">
        <f>IFERROR(Z35/$AI35,"")</f>
        <v/>
      </c>
      <c r="BN35" s="129">
        <f>IFERROR(AA35/$AI35,"")</f>
        <v/>
      </c>
      <c r="BO35" s="129">
        <f>IFERROR(AB35/$AI35,"")</f>
        <v/>
      </c>
      <c r="BP35" s="129">
        <f>IFERROR(AC35/$AI35,"")</f>
        <v/>
      </c>
      <c r="BQ35" s="129">
        <f>IFERROR(AD35/$AI35,"")</f>
        <v/>
      </c>
      <c r="BR35" s="129">
        <f>IFERROR(AE35/$AI35,"")</f>
        <v/>
      </c>
      <c r="BS35" s="129">
        <f>IFERROR(AF35/$AI35,"")</f>
        <v/>
      </c>
      <c r="BT35" s="129">
        <f>IFERROR(AG35/$AI35,"")</f>
        <v/>
      </c>
      <c r="BU35" s="129">
        <f>IFERROR(AH35/$AI35,"")</f>
        <v/>
      </c>
      <c r="BV35" s="126">
        <f>SUM(AQ35:BD35)</f>
        <v/>
      </c>
      <c r="BW35" s="126">
        <f>SUM(BE35:BU35)</f>
        <v/>
      </c>
      <c r="BX35" s="126">
        <f>SUM(AQ35:AU35)</f>
        <v/>
      </c>
      <c r="CF35" s="210" t="inlineStr">
        <is>
          <t>FINES</t>
        </is>
      </c>
      <c r="CG35" s="210" t="e">
        <v>#DIV/0!</v>
      </c>
    </row>
    <row r="36">
      <c r="A36" s="2">
        <f>A35+1</f>
        <v/>
      </c>
      <c r="B36" s="127" t="n"/>
      <c r="C36" s="128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s="127">
        <f>SUM(D36:AG36,AH36)</f>
        <v/>
      </c>
      <c r="AJ36" s="126">
        <f>(SUM($D36:$Q36))/AI36</f>
        <v/>
      </c>
      <c r="AK36" s="126">
        <f>(SUM($D36:$H36))/AI36</f>
        <v/>
      </c>
      <c r="AL36" s="126">
        <f>(SUM($R36:$AH36))/AI36</f>
        <v/>
      </c>
      <c r="AM36" s="161" t="n"/>
      <c r="AN36" s="125">
        <f>YEAR(C36)</f>
        <v/>
      </c>
      <c r="AO36" s="125">
        <f>MONTH(C36)</f>
        <v/>
      </c>
      <c r="AP36" s="125">
        <f>WEEKNUM(C36,2)</f>
        <v/>
      </c>
      <c r="AQ36" s="129">
        <f>IFERROR(D36/$AI36,"")</f>
        <v/>
      </c>
      <c r="AR36" s="129">
        <f>IFERROR(E36/$AI36,"")</f>
        <v/>
      </c>
      <c r="AS36" s="129">
        <f>IFERROR(F36/$AI36,"")</f>
        <v/>
      </c>
      <c r="AT36" s="129">
        <f>IFERROR(H36/$AI36,"")</f>
        <v/>
      </c>
      <c r="AU36" s="129">
        <f>IFERROR(I36/$AI36,"")</f>
        <v/>
      </c>
      <c r="AV36" s="129">
        <f>IFERROR(J36/$AI36,"")</f>
        <v/>
      </c>
      <c r="AW36" s="129">
        <f>IFERROR(K36/$AI36,"")</f>
        <v/>
      </c>
      <c r="AX36" s="129">
        <f>IFERROR(L36/$AI36,"")</f>
        <v/>
      </c>
      <c r="AY36" s="129">
        <f>IFERROR(M36/$AI36,"")</f>
        <v/>
      </c>
      <c r="AZ36" s="129">
        <f>IFERROR(N36/$AI36,"")</f>
        <v/>
      </c>
      <c r="BA36" s="129">
        <f>IFERROR(O36/$AI36,"")</f>
        <v/>
      </c>
      <c r="BB36" s="129">
        <f>IFERROR(P36/$AI36,"")</f>
        <v/>
      </c>
      <c r="BC36" s="129">
        <f>IFERROR(AG36/$AI36,"")</f>
        <v/>
      </c>
      <c r="BD36" s="129">
        <f>IFERROR(AH36/$AI36,"")</f>
        <v/>
      </c>
      <c r="BE36" s="129">
        <f>IFERROR(R36/$AI36,"")</f>
        <v/>
      </c>
      <c r="BF36" s="129">
        <f>IFERROR(S36/$AI36,"")</f>
        <v/>
      </c>
      <c r="BG36" s="129">
        <f>IFERROR(T36/$AI36,"")</f>
        <v/>
      </c>
      <c r="BH36" s="129">
        <f>IFERROR(U36/$AI36,"")</f>
        <v/>
      </c>
      <c r="BI36" s="129">
        <f>IFERROR(V36/$AI36,"")</f>
        <v/>
      </c>
      <c r="BJ36" s="129">
        <f>IFERROR(W36/$AI36,"")</f>
        <v/>
      </c>
      <c r="BK36" s="129">
        <f>IFERROR(X36/$AI36,"")</f>
        <v/>
      </c>
      <c r="BL36" s="129">
        <f>IFERROR(Y36/$AI36,"")</f>
        <v/>
      </c>
      <c r="BM36" s="129">
        <f>IFERROR(Z36/$AI36,"")</f>
        <v/>
      </c>
      <c r="BN36" s="129">
        <f>IFERROR(AA36/$AI36,"")</f>
        <v/>
      </c>
      <c r="BO36" s="129">
        <f>IFERROR(AB36/$AI36,"")</f>
        <v/>
      </c>
      <c r="BP36" s="129">
        <f>IFERROR(AC36/$AI36,"")</f>
        <v/>
      </c>
      <c r="BQ36" s="129">
        <f>IFERROR(AD36/$AI36,"")</f>
        <v/>
      </c>
      <c r="BR36" s="129">
        <f>IFERROR(AE36/$AI36,"")</f>
        <v/>
      </c>
      <c r="BS36" s="129">
        <f>IFERROR(AF36/$AI36,"")</f>
        <v/>
      </c>
      <c r="BT36" s="129">
        <f>IFERROR(AG36/$AI36,"")</f>
        <v/>
      </c>
      <c r="BU36" s="129">
        <f>IFERROR(AH36/$AI36,"")</f>
        <v/>
      </c>
      <c r="BV36" s="126">
        <f>SUM(AQ36:BD36)</f>
        <v/>
      </c>
      <c r="BW36" s="126">
        <f>SUM(BE36:BU36)</f>
        <v/>
      </c>
      <c r="BX36" s="126">
        <f>SUM(AQ36:AU36)</f>
        <v/>
      </c>
    </row>
    <row r="37">
      <c r="A37" s="2">
        <f>A36+1</f>
        <v/>
      </c>
      <c r="B37" s="127" t="n"/>
      <c r="C37" s="128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7">
        <f>SUM(D37:AG37,AH37)</f>
        <v/>
      </c>
      <c r="AJ37" s="126">
        <f>(SUM($D37:$Q37))/AI37</f>
        <v/>
      </c>
      <c r="AK37" s="126">
        <f>(SUM($D37:$H37))/AI37</f>
        <v/>
      </c>
      <c r="AL37" s="126">
        <f>(SUM($R37:$AH37))/AI37</f>
        <v/>
      </c>
      <c r="AM37" s="161" t="n"/>
      <c r="AN37" s="125">
        <f>YEAR(C37)</f>
        <v/>
      </c>
      <c r="AO37" s="125">
        <f>MONTH(C37)</f>
        <v/>
      </c>
      <c r="AP37" s="125">
        <f>WEEKNUM(C37,2)</f>
        <v/>
      </c>
      <c r="AQ37" s="129">
        <f>IFERROR(D37/$AI37,"")</f>
        <v/>
      </c>
      <c r="AR37" s="129">
        <f>IFERROR(E37/$AI37,"")</f>
        <v/>
      </c>
      <c r="AS37" s="129">
        <f>IFERROR(F37/$AI37,"")</f>
        <v/>
      </c>
      <c r="AT37" s="129">
        <f>IFERROR(H37/$AI37,"")</f>
        <v/>
      </c>
      <c r="AU37" s="129">
        <f>IFERROR(I37/$AI37,"")</f>
        <v/>
      </c>
      <c r="AV37" s="129">
        <f>IFERROR(J37/$AI37,"")</f>
        <v/>
      </c>
      <c r="AW37" s="129">
        <f>IFERROR(K37/$AI37,"")</f>
        <v/>
      </c>
      <c r="AX37" s="129">
        <f>IFERROR(L37/$AI37,"")</f>
        <v/>
      </c>
      <c r="AY37" s="129">
        <f>IFERROR(M37/$AI37,"")</f>
        <v/>
      </c>
      <c r="AZ37" s="129">
        <f>IFERROR(N37/$AI37,"")</f>
        <v/>
      </c>
      <c r="BA37" s="129">
        <f>IFERROR(O37/$AI37,"")</f>
        <v/>
      </c>
      <c r="BB37" s="129">
        <f>IFERROR(P37/$AI37,"")</f>
        <v/>
      </c>
      <c r="BC37" s="129">
        <f>IFERROR(AG37/$AI37,"")</f>
        <v/>
      </c>
      <c r="BD37" s="129">
        <f>IFERROR(AH37/$AI37,"")</f>
        <v/>
      </c>
      <c r="BE37" s="129">
        <f>IFERROR(R37/$AI37,"")</f>
        <v/>
      </c>
      <c r="BF37" s="129">
        <f>IFERROR(S37/$AI37,"")</f>
        <v/>
      </c>
      <c r="BG37" s="129">
        <f>IFERROR(T37/$AI37,"")</f>
        <v/>
      </c>
      <c r="BH37" s="129">
        <f>IFERROR(U37/$AI37,"")</f>
        <v/>
      </c>
      <c r="BI37" s="129">
        <f>IFERROR(V37/$AI37,"")</f>
        <v/>
      </c>
      <c r="BJ37" s="129">
        <f>IFERROR(W37/$AI37,"")</f>
        <v/>
      </c>
      <c r="BK37" s="129">
        <f>IFERROR(X37/$AI37,"")</f>
        <v/>
      </c>
      <c r="BL37" s="129">
        <f>IFERROR(Y37/$AI37,"")</f>
        <v/>
      </c>
      <c r="BM37" s="129">
        <f>IFERROR(Z37/$AI37,"")</f>
        <v/>
      </c>
      <c r="BN37" s="129">
        <f>IFERROR(AA37/$AI37,"")</f>
        <v/>
      </c>
      <c r="BO37" s="129">
        <f>IFERROR(AB37/$AI37,"")</f>
        <v/>
      </c>
      <c r="BP37" s="129">
        <f>IFERROR(AC37/$AI37,"")</f>
        <v/>
      </c>
      <c r="BQ37" s="129">
        <f>IFERROR(AD37/$AI37,"")</f>
        <v/>
      </c>
      <c r="BR37" s="129">
        <f>IFERROR(AE37/$AI37,"")</f>
        <v/>
      </c>
      <c r="BS37" s="129">
        <f>IFERROR(AF37/$AI37,"")</f>
        <v/>
      </c>
      <c r="BT37" s="129">
        <f>IFERROR(AG37/$AI37,"")</f>
        <v/>
      </c>
      <c r="BU37" s="129">
        <f>IFERROR(AH37/$AI37,"")</f>
        <v/>
      </c>
      <c r="BV37" s="126">
        <f>SUM(AQ37:BD37)</f>
        <v/>
      </c>
      <c r="BW37" s="126">
        <f>SUM(BE37:BU37)</f>
        <v/>
      </c>
      <c r="BX37" s="126">
        <f>SUM(AQ37:AU37)</f>
        <v/>
      </c>
    </row>
    <row r="38">
      <c r="A38" s="2">
        <f>A37+1</f>
        <v/>
      </c>
      <c r="B38" s="127" t="n"/>
      <c r="C38" s="128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7">
        <f>SUM(D38:AG38,AH38)</f>
        <v/>
      </c>
      <c r="AJ38" s="126">
        <f>(SUM($D38:$Q38))/AI38</f>
        <v/>
      </c>
      <c r="AK38" s="126">
        <f>(SUM($D38:$H38))/AI38</f>
        <v/>
      </c>
      <c r="AL38" s="126">
        <f>(SUM($R38:$AH38))/AI38</f>
        <v/>
      </c>
      <c r="AM38" s="161" t="n"/>
      <c r="AN38" s="125">
        <f>YEAR(C38)</f>
        <v/>
      </c>
      <c r="AO38" s="125">
        <f>MONTH(C38)</f>
        <v/>
      </c>
      <c r="AP38" s="125">
        <f>WEEKNUM(C38,2)</f>
        <v/>
      </c>
      <c r="AQ38" s="129">
        <f>IFERROR(D38/$AI38,"")</f>
        <v/>
      </c>
      <c r="AR38" s="129">
        <f>IFERROR(E38/$AI38,"")</f>
        <v/>
      </c>
      <c r="AS38" s="129">
        <f>IFERROR(F38/$AI38,"")</f>
        <v/>
      </c>
      <c r="AT38" s="129">
        <f>IFERROR(H38/$AI38,"")</f>
        <v/>
      </c>
      <c r="AU38" s="129">
        <f>IFERROR(I38/$AI38,"")</f>
        <v/>
      </c>
      <c r="AV38" s="129">
        <f>IFERROR(J38/$AI38,"")</f>
        <v/>
      </c>
      <c r="AW38" s="129">
        <f>IFERROR(K38/$AI38,"")</f>
        <v/>
      </c>
      <c r="AX38" s="129">
        <f>IFERROR(L38/$AI38,"")</f>
        <v/>
      </c>
      <c r="AY38" s="129">
        <f>IFERROR(M38/$AI38,"")</f>
        <v/>
      </c>
      <c r="AZ38" s="129">
        <f>IFERROR(N38/$AI38,"")</f>
        <v/>
      </c>
      <c r="BA38" s="129">
        <f>IFERROR(O38/$AI38,"")</f>
        <v/>
      </c>
      <c r="BB38" s="129">
        <f>IFERROR(P38/$AI38,"")</f>
        <v/>
      </c>
      <c r="BC38" s="129">
        <f>IFERROR(AG38/$AI38,"")</f>
        <v/>
      </c>
      <c r="BD38" s="129">
        <f>IFERROR(AH38/$AI38,"")</f>
        <v/>
      </c>
      <c r="BE38" s="129">
        <f>IFERROR(R38/$AI38,"")</f>
        <v/>
      </c>
      <c r="BF38" s="129">
        <f>IFERROR(S38/$AI38,"")</f>
        <v/>
      </c>
      <c r="BG38" s="129">
        <f>IFERROR(T38/$AI38,"")</f>
        <v/>
      </c>
      <c r="BH38" s="129">
        <f>IFERROR(U38/$AI38,"")</f>
        <v/>
      </c>
      <c r="BI38" s="129">
        <f>IFERROR(V38/$AI38,"")</f>
        <v/>
      </c>
      <c r="BJ38" s="129">
        <f>IFERROR(W38/$AI38,"")</f>
        <v/>
      </c>
      <c r="BK38" s="129">
        <f>IFERROR(X38/$AI38,"")</f>
        <v/>
      </c>
      <c r="BL38" s="129">
        <f>IFERROR(Y38/$AI38,"")</f>
        <v/>
      </c>
      <c r="BM38" s="129">
        <f>IFERROR(Z38/$AI38,"")</f>
        <v/>
      </c>
      <c r="BN38" s="129">
        <f>IFERROR(AA38/$AI38,"")</f>
        <v/>
      </c>
      <c r="BO38" s="129">
        <f>IFERROR(AB38/$AI38,"")</f>
        <v/>
      </c>
      <c r="BP38" s="129">
        <f>IFERROR(AC38/$AI38,"")</f>
        <v/>
      </c>
      <c r="BQ38" s="129">
        <f>IFERROR(AD38/$AI38,"")</f>
        <v/>
      </c>
      <c r="BR38" s="129">
        <f>IFERROR(AE38/$AI38,"")</f>
        <v/>
      </c>
      <c r="BS38" s="129">
        <f>IFERROR(AF38/$AI38,"")</f>
        <v/>
      </c>
      <c r="BT38" s="129">
        <f>IFERROR(AG38/$AI38,"")</f>
        <v/>
      </c>
      <c r="BU38" s="129">
        <f>IFERROR(AH38/$AI38,"")</f>
        <v/>
      </c>
      <c r="BV38" s="126">
        <f>SUM(AQ38:BD38)</f>
        <v/>
      </c>
      <c r="BW38" s="126">
        <f>SUM(BE38:BU38)</f>
        <v/>
      </c>
      <c r="BX38" s="126">
        <f>SUM(AQ38:AU38)</f>
        <v/>
      </c>
    </row>
    <row r="39">
      <c r="A39" s="2">
        <f>A38+1</f>
        <v/>
      </c>
      <c r="B39" s="127" t="n"/>
      <c r="C39" s="128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7">
        <f>SUM(D39:AG39,AH39)</f>
        <v/>
      </c>
      <c r="AJ39" s="126">
        <f>(SUM($D39:$Q39))/AI39</f>
        <v/>
      </c>
      <c r="AK39" s="126">
        <f>(SUM($D39:$H39))/AI39</f>
        <v/>
      </c>
      <c r="AL39" s="126">
        <f>(SUM($R39:$AH39))/AI39</f>
        <v/>
      </c>
      <c r="AM39" s="161" t="n"/>
      <c r="AN39" s="125">
        <f>YEAR(C39)</f>
        <v/>
      </c>
      <c r="AO39" s="125">
        <f>MONTH(C39)</f>
        <v/>
      </c>
      <c r="AP39" s="125">
        <f>WEEKNUM(C39,2)</f>
        <v/>
      </c>
      <c r="AQ39" s="129">
        <f>IFERROR(D39/$AI39,"")</f>
        <v/>
      </c>
      <c r="AR39" s="129">
        <f>IFERROR(E39/$AI39,"")</f>
        <v/>
      </c>
      <c r="AS39" s="129">
        <f>IFERROR(F39/$AI39,"")</f>
        <v/>
      </c>
      <c r="AT39" s="129">
        <f>IFERROR(H39/$AI39,"")</f>
        <v/>
      </c>
      <c r="AU39" s="129">
        <f>IFERROR(I39/$AI39,"")</f>
        <v/>
      </c>
      <c r="AV39" s="129">
        <f>IFERROR(J39/$AI39,"")</f>
        <v/>
      </c>
      <c r="AW39" s="129">
        <f>IFERROR(K39/$AI39,"")</f>
        <v/>
      </c>
      <c r="AX39" s="129">
        <f>IFERROR(L39/$AI39,"")</f>
        <v/>
      </c>
      <c r="AY39" s="129">
        <f>IFERROR(M39/$AI39,"")</f>
        <v/>
      </c>
      <c r="AZ39" s="129">
        <f>IFERROR(N39/$AI39,"")</f>
        <v/>
      </c>
      <c r="BA39" s="129">
        <f>IFERROR(O39/$AI39,"")</f>
        <v/>
      </c>
      <c r="BB39" s="129">
        <f>IFERROR(P39/$AI39,"")</f>
        <v/>
      </c>
      <c r="BC39" s="129">
        <f>IFERROR(AG39/$AI39,"")</f>
        <v/>
      </c>
      <c r="BD39" s="129">
        <f>IFERROR(AH39/$AI39,"")</f>
        <v/>
      </c>
      <c r="BE39" s="129">
        <f>IFERROR(R39/$AI39,"")</f>
        <v/>
      </c>
      <c r="BF39" s="129">
        <f>IFERROR(S39/$AI39,"")</f>
        <v/>
      </c>
      <c r="BG39" s="129">
        <f>IFERROR(T39/$AI39,"")</f>
        <v/>
      </c>
      <c r="BH39" s="129">
        <f>IFERROR(U39/$AI39,"")</f>
        <v/>
      </c>
      <c r="BI39" s="129">
        <f>IFERROR(V39/$AI39,"")</f>
        <v/>
      </c>
      <c r="BJ39" s="129">
        <f>IFERROR(W39/$AI39,"")</f>
        <v/>
      </c>
      <c r="BK39" s="129">
        <f>IFERROR(X39/$AI39,"")</f>
        <v/>
      </c>
      <c r="BL39" s="129">
        <f>IFERROR(Y39/$AI39,"")</f>
        <v/>
      </c>
      <c r="BM39" s="129">
        <f>IFERROR(Z39/$AI39,"")</f>
        <v/>
      </c>
      <c r="BN39" s="129">
        <f>IFERROR(AA39/$AI39,"")</f>
        <v/>
      </c>
      <c r="BO39" s="129">
        <f>IFERROR(AB39/$AI39,"")</f>
        <v/>
      </c>
      <c r="BP39" s="129">
        <f>IFERROR(AC39/$AI39,"")</f>
        <v/>
      </c>
      <c r="BQ39" s="129">
        <f>IFERROR(AD39/$AI39,"")</f>
        <v/>
      </c>
      <c r="BR39" s="129">
        <f>IFERROR(AE39/$AI39,"")</f>
        <v/>
      </c>
      <c r="BS39" s="129">
        <f>IFERROR(AF39/$AI39,"")</f>
        <v/>
      </c>
      <c r="BT39" s="129">
        <f>IFERROR(AG39/$AI39,"")</f>
        <v/>
      </c>
      <c r="BU39" s="129">
        <f>IFERROR(AH39/$AI39,"")</f>
        <v/>
      </c>
      <c r="BV39" s="126">
        <f>SUM(AQ39:BD39)</f>
        <v/>
      </c>
      <c r="BW39" s="126">
        <f>SUM(BE39:BU39)</f>
        <v/>
      </c>
      <c r="BX39" s="126">
        <f>SUM(AQ39:AU39)</f>
        <v/>
      </c>
    </row>
    <row r="40">
      <c r="A40" s="2">
        <f>A39+1</f>
        <v/>
      </c>
      <c r="B40" s="127" t="n"/>
      <c r="C40" s="128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7">
        <f>SUM(D40:AG40,AH40)</f>
        <v/>
      </c>
      <c r="AJ40" s="126">
        <f>(SUM($D40:$Q40))/AI40</f>
        <v/>
      </c>
      <c r="AK40" s="126">
        <f>(SUM($D40:$H40))/AI40</f>
        <v/>
      </c>
      <c r="AL40" s="126">
        <f>(SUM($R40:$AH40))/AI40</f>
        <v/>
      </c>
      <c r="AM40" s="161" t="n"/>
      <c r="AN40" s="125">
        <f>YEAR(C40)</f>
        <v/>
      </c>
      <c r="AO40" s="125">
        <f>MONTH(C40)</f>
        <v/>
      </c>
      <c r="AP40" s="125">
        <f>WEEKNUM(C40,2)</f>
        <v/>
      </c>
      <c r="AQ40" s="129">
        <f>IFERROR(D40/$AI40,"")</f>
        <v/>
      </c>
      <c r="AR40" s="129">
        <f>IFERROR(E40/$AI40,"")</f>
        <v/>
      </c>
      <c r="AS40" s="129">
        <f>IFERROR(F40/$AI40,"")</f>
        <v/>
      </c>
      <c r="AT40" s="129">
        <f>IFERROR(H40/$AI40,"")</f>
        <v/>
      </c>
      <c r="AU40" s="129">
        <f>IFERROR(I40/$AI40,"")</f>
        <v/>
      </c>
      <c r="AV40" s="129">
        <f>IFERROR(J40/$AI40,"")</f>
        <v/>
      </c>
      <c r="AW40" s="129">
        <f>IFERROR(K40/$AI40,"")</f>
        <v/>
      </c>
      <c r="AX40" s="129">
        <f>IFERROR(L40/$AI40,"")</f>
        <v/>
      </c>
      <c r="AY40" s="129">
        <f>IFERROR(M40/$AI40,"")</f>
        <v/>
      </c>
      <c r="AZ40" s="129">
        <f>IFERROR(N40/$AI40,"")</f>
        <v/>
      </c>
      <c r="BA40" s="129">
        <f>IFERROR(O40/$AI40,"")</f>
        <v/>
      </c>
      <c r="BB40" s="129">
        <f>IFERROR(P40/$AI40,"")</f>
        <v/>
      </c>
      <c r="BC40" s="129">
        <f>IFERROR(AG40/$AI40,"")</f>
        <v/>
      </c>
      <c r="BD40" s="129">
        <f>IFERROR(AH40/$AI40,"")</f>
        <v/>
      </c>
      <c r="BE40" s="129">
        <f>IFERROR(R40/$AI40,"")</f>
        <v/>
      </c>
      <c r="BF40" s="129">
        <f>IFERROR(S40/$AI40,"")</f>
        <v/>
      </c>
      <c r="BG40" s="129">
        <f>IFERROR(T40/$AI40,"")</f>
        <v/>
      </c>
      <c r="BH40" s="129">
        <f>IFERROR(U40/$AI40,"")</f>
        <v/>
      </c>
      <c r="BI40" s="129">
        <f>IFERROR(V40/$AI40,"")</f>
        <v/>
      </c>
      <c r="BJ40" s="129">
        <f>IFERROR(W40/$AI40,"")</f>
        <v/>
      </c>
      <c r="BK40" s="129">
        <f>IFERROR(X40/$AI40,"")</f>
        <v/>
      </c>
      <c r="BL40" s="129">
        <f>IFERROR(Y40/$AI40,"")</f>
        <v/>
      </c>
      <c r="BM40" s="129">
        <f>IFERROR(Z40/$AI40,"")</f>
        <v/>
      </c>
      <c r="BN40" s="129">
        <f>IFERROR(AA40/$AI40,"")</f>
        <v/>
      </c>
      <c r="BO40" s="129">
        <f>IFERROR(AB40/$AI40,"")</f>
        <v/>
      </c>
      <c r="BP40" s="129">
        <f>IFERROR(AC40/$AI40,"")</f>
        <v/>
      </c>
      <c r="BQ40" s="129">
        <f>IFERROR(AD40/$AI40,"")</f>
        <v/>
      </c>
      <c r="BR40" s="129">
        <f>IFERROR(AE40/$AI40,"")</f>
        <v/>
      </c>
      <c r="BS40" s="129">
        <f>IFERROR(AF40/$AI40,"")</f>
        <v/>
      </c>
      <c r="BT40" s="129">
        <f>IFERROR(AG40/$AI40,"")</f>
        <v/>
      </c>
      <c r="BU40" s="129">
        <f>IFERROR(AH40/$AI40,"")</f>
        <v/>
      </c>
      <c r="BV40" s="126">
        <f>SUM(AQ40:BD40)</f>
        <v/>
      </c>
      <c r="BW40" s="126">
        <f>SUM(BE40:BU40)</f>
        <v/>
      </c>
      <c r="BX40" s="126">
        <f>SUM(AQ40:AU40)</f>
        <v/>
      </c>
    </row>
    <row r="41">
      <c r="A41" s="2">
        <f>A40+1</f>
        <v/>
      </c>
      <c r="B41" s="127" t="n"/>
      <c r="C41" s="128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7">
        <f>SUM(D41:AG41,AH41)</f>
        <v/>
      </c>
      <c r="AJ41" s="126">
        <f>(SUM($D41:$Q41))/AI41</f>
        <v/>
      </c>
      <c r="AK41" s="126">
        <f>(SUM($D41:$H41))/AI41</f>
        <v/>
      </c>
      <c r="AL41" s="126">
        <f>(SUM($R41:$AH41))/AI41</f>
        <v/>
      </c>
      <c r="AM41" s="161" t="n"/>
      <c r="AN41" s="125">
        <f>YEAR(C41)</f>
        <v/>
      </c>
      <c r="AO41" s="125">
        <f>MONTH(C41)</f>
        <v/>
      </c>
      <c r="AP41" s="125">
        <f>WEEKNUM(C41,2)</f>
        <v/>
      </c>
      <c r="AQ41" s="129">
        <f>IFERROR(D41/$AI41,"")</f>
        <v/>
      </c>
      <c r="AR41" s="129">
        <f>IFERROR(E41/$AI41,"")</f>
        <v/>
      </c>
      <c r="AS41" s="129">
        <f>IFERROR(F41/$AI41,"")</f>
        <v/>
      </c>
      <c r="AT41" s="129">
        <f>IFERROR(H41/$AI41,"")</f>
        <v/>
      </c>
      <c r="AU41" s="129">
        <f>IFERROR(I41/$AI41,"")</f>
        <v/>
      </c>
      <c r="AV41" s="129">
        <f>IFERROR(J41/$AI41,"")</f>
        <v/>
      </c>
      <c r="AW41" s="129">
        <f>IFERROR(K41/$AI41,"")</f>
        <v/>
      </c>
      <c r="AX41" s="129">
        <f>IFERROR(L41/$AI41,"")</f>
        <v/>
      </c>
      <c r="AY41" s="129">
        <f>IFERROR(M41/$AI41,"")</f>
        <v/>
      </c>
      <c r="AZ41" s="129">
        <f>IFERROR(N41/$AI41,"")</f>
        <v/>
      </c>
      <c r="BA41" s="129">
        <f>IFERROR(O41/$AI41,"")</f>
        <v/>
      </c>
      <c r="BB41" s="129">
        <f>IFERROR(P41/$AI41,"")</f>
        <v/>
      </c>
      <c r="BC41" s="129">
        <f>IFERROR(AG41/$AI41,"")</f>
        <v/>
      </c>
      <c r="BD41" s="129">
        <f>IFERROR(AH41/$AI41,"")</f>
        <v/>
      </c>
      <c r="BE41" s="129">
        <f>IFERROR(R41/$AI41,"")</f>
        <v/>
      </c>
      <c r="BF41" s="129">
        <f>IFERROR(S41/$AI41,"")</f>
        <v/>
      </c>
      <c r="BG41" s="129">
        <f>IFERROR(T41/$AI41,"")</f>
        <v/>
      </c>
      <c r="BH41" s="129">
        <f>IFERROR(U41/$AI41,"")</f>
        <v/>
      </c>
      <c r="BI41" s="129">
        <f>IFERROR(V41/$AI41,"")</f>
        <v/>
      </c>
      <c r="BJ41" s="129">
        <f>IFERROR(W41/$AI41,"")</f>
        <v/>
      </c>
      <c r="BK41" s="129">
        <f>IFERROR(X41/$AI41,"")</f>
        <v/>
      </c>
      <c r="BL41" s="129">
        <f>IFERROR(Y41/$AI41,"")</f>
        <v/>
      </c>
      <c r="BM41" s="129">
        <f>IFERROR(Z41/$AI41,"")</f>
        <v/>
      </c>
      <c r="BN41" s="129">
        <f>IFERROR(AA41/$AI41,"")</f>
        <v/>
      </c>
      <c r="BO41" s="129">
        <f>IFERROR(AB41/$AI41,"")</f>
        <v/>
      </c>
      <c r="BP41" s="129">
        <f>IFERROR(AC41/$AI41,"")</f>
        <v/>
      </c>
      <c r="BQ41" s="129">
        <f>IFERROR(AD41/$AI41,"")</f>
        <v/>
      </c>
      <c r="BR41" s="129">
        <f>IFERROR(AE41/$AI41,"")</f>
        <v/>
      </c>
      <c r="BS41" s="129">
        <f>IFERROR(AF41/$AI41,"")</f>
        <v/>
      </c>
      <c r="BT41" s="129">
        <f>IFERROR(AG41/$AI41,"")</f>
        <v/>
      </c>
      <c r="BU41" s="129">
        <f>IFERROR(AH41/$AI41,"")</f>
        <v/>
      </c>
      <c r="BV41" s="126">
        <f>SUM(AQ41:BD41)</f>
        <v/>
      </c>
      <c r="BW41" s="126">
        <f>SUM(BE41:BU41)</f>
        <v/>
      </c>
      <c r="BX41" s="126">
        <f>SUM(AQ41:AU41)</f>
        <v/>
      </c>
    </row>
    <row r="42">
      <c r="A42" s="2">
        <f>A41+1</f>
        <v/>
      </c>
      <c r="B42" s="127" t="n"/>
      <c r="C42" s="128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7">
        <f>SUM(D42:AG42,AH42)</f>
        <v/>
      </c>
      <c r="AJ42" s="126">
        <f>(SUM($D42:$Q42))/AI42</f>
        <v/>
      </c>
      <c r="AK42" s="126">
        <f>(SUM($D42:$H42))/AI42</f>
        <v/>
      </c>
      <c r="AL42" s="126">
        <f>(SUM($R42:$AH42))/AI42</f>
        <v/>
      </c>
      <c r="AM42" s="161" t="n"/>
      <c r="AN42" s="125">
        <f>YEAR(C42)</f>
        <v/>
      </c>
      <c r="AO42" s="125">
        <f>MONTH(C42)</f>
        <v/>
      </c>
      <c r="AP42" s="125">
        <f>WEEKNUM(C42,2)</f>
        <v/>
      </c>
      <c r="AQ42" s="129">
        <f>IFERROR(D42/$AI42,"")</f>
        <v/>
      </c>
      <c r="AR42" s="129">
        <f>IFERROR(E42/$AI42,"")</f>
        <v/>
      </c>
      <c r="AS42" s="129">
        <f>IFERROR(F42/$AI42,"")</f>
        <v/>
      </c>
      <c r="AT42" s="129">
        <f>IFERROR(H42/$AI42,"")</f>
        <v/>
      </c>
      <c r="AU42" s="129">
        <f>IFERROR(I42/$AI42,"")</f>
        <v/>
      </c>
      <c r="AV42" s="129">
        <f>IFERROR(J42/$AI42,"")</f>
        <v/>
      </c>
      <c r="AW42" s="129">
        <f>IFERROR(K42/$AI42,"")</f>
        <v/>
      </c>
      <c r="AX42" s="129">
        <f>IFERROR(L42/$AI42,"")</f>
        <v/>
      </c>
      <c r="AY42" s="129">
        <f>IFERROR(M42/$AI42,"")</f>
        <v/>
      </c>
      <c r="AZ42" s="129">
        <f>IFERROR(N42/$AI42,"")</f>
        <v/>
      </c>
      <c r="BA42" s="129">
        <f>IFERROR(O42/$AI42,"")</f>
        <v/>
      </c>
      <c r="BB42" s="129">
        <f>IFERROR(P42/$AI42,"")</f>
        <v/>
      </c>
      <c r="BC42" s="129">
        <f>IFERROR(AG42/$AI42,"")</f>
        <v/>
      </c>
      <c r="BD42" s="129">
        <f>IFERROR(AH42/$AI42,"")</f>
        <v/>
      </c>
      <c r="BE42" s="129">
        <f>IFERROR(R42/$AI42,"")</f>
        <v/>
      </c>
      <c r="BF42" s="129">
        <f>IFERROR(S42/$AI42,"")</f>
        <v/>
      </c>
      <c r="BG42" s="129">
        <f>IFERROR(T42/$AI42,"")</f>
        <v/>
      </c>
      <c r="BH42" s="129">
        <f>IFERROR(U42/$AI42,"")</f>
        <v/>
      </c>
      <c r="BI42" s="129">
        <f>IFERROR(V42/$AI42,"")</f>
        <v/>
      </c>
      <c r="BJ42" s="129">
        <f>IFERROR(W42/$AI42,"")</f>
        <v/>
      </c>
      <c r="BK42" s="129">
        <f>IFERROR(X42/$AI42,"")</f>
        <v/>
      </c>
      <c r="BL42" s="129">
        <f>IFERROR(Y42/$AI42,"")</f>
        <v/>
      </c>
      <c r="BM42" s="129">
        <f>IFERROR(Z42/$AI42,"")</f>
        <v/>
      </c>
      <c r="BN42" s="129">
        <f>IFERROR(AA42/$AI42,"")</f>
        <v/>
      </c>
      <c r="BO42" s="129">
        <f>IFERROR(AB42/$AI42,"")</f>
        <v/>
      </c>
      <c r="BP42" s="129">
        <f>IFERROR(AC42/$AI42,"")</f>
        <v/>
      </c>
      <c r="BQ42" s="129">
        <f>IFERROR(AD42/$AI42,"")</f>
        <v/>
      </c>
      <c r="BR42" s="129">
        <f>IFERROR(AE42/$AI42,"")</f>
        <v/>
      </c>
      <c r="BS42" s="129">
        <f>IFERROR(AF42/$AI42,"")</f>
        <v/>
      </c>
      <c r="BT42" s="129">
        <f>IFERROR(AG42/$AI42,"")</f>
        <v/>
      </c>
      <c r="BU42" s="129">
        <f>IFERROR(AH42/$AI42,"")</f>
        <v/>
      </c>
      <c r="BV42" s="126">
        <f>SUM(AQ42:BD42)</f>
        <v/>
      </c>
      <c r="BW42" s="126">
        <f>SUM(BE42:BU42)</f>
        <v/>
      </c>
      <c r="BX42" s="126">
        <f>SUM(AQ42:AU42)</f>
        <v/>
      </c>
    </row>
    <row r="43">
      <c r="A43" s="2">
        <f>A42+1</f>
        <v/>
      </c>
      <c r="B43" s="127" t="n"/>
      <c r="C43" s="128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7">
        <f>SUM(D43:AG43,AH43)</f>
        <v/>
      </c>
      <c r="AJ43" s="126">
        <f>(SUM($D43:$Q43))/AI43</f>
        <v/>
      </c>
      <c r="AK43" s="126">
        <f>(SUM($D43:$H43))/AI43</f>
        <v/>
      </c>
      <c r="AL43" s="126">
        <f>(SUM($R43:$AH43))/AI43</f>
        <v/>
      </c>
      <c r="AM43" s="161" t="n"/>
      <c r="AN43" s="125">
        <f>YEAR(C43)</f>
        <v/>
      </c>
      <c r="AO43" s="125">
        <f>MONTH(C43)</f>
        <v/>
      </c>
      <c r="AP43" s="125">
        <f>WEEKNUM(C43,2)</f>
        <v/>
      </c>
      <c r="AQ43" s="129">
        <f>IFERROR(D43/$AI43,"")</f>
        <v/>
      </c>
      <c r="AR43" s="129">
        <f>IFERROR(E43/$AI43,"")</f>
        <v/>
      </c>
      <c r="AS43" s="129">
        <f>IFERROR(F43/$AI43,"")</f>
        <v/>
      </c>
      <c r="AT43" s="129">
        <f>IFERROR(H43/$AI43,"")</f>
        <v/>
      </c>
      <c r="AU43" s="129">
        <f>IFERROR(I43/$AI43,"")</f>
        <v/>
      </c>
      <c r="AV43" s="129">
        <f>IFERROR(J43/$AI43,"")</f>
        <v/>
      </c>
      <c r="AW43" s="129">
        <f>IFERROR(K43/$AI43,"")</f>
        <v/>
      </c>
      <c r="AX43" s="129">
        <f>IFERROR(L43/$AI43,"")</f>
        <v/>
      </c>
      <c r="AY43" s="129">
        <f>IFERROR(M43/$AI43,"")</f>
        <v/>
      </c>
      <c r="AZ43" s="129">
        <f>IFERROR(N43/$AI43,"")</f>
        <v/>
      </c>
      <c r="BA43" s="129">
        <f>IFERROR(O43/$AI43,"")</f>
        <v/>
      </c>
      <c r="BB43" s="129">
        <f>IFERROR(P43/$AI43,"")</f>
        <v/>
      </c>
      <c r="BC43" s="129">
        <f>IFERROR(AG43/$AI43,"")</f>
        <v/>
      </c>
      <c r="BD43" s="129">
        <f>IFERROR(AH43/$AI43,"")</f>
        <v/>
      </c>
      <c r="BE43" s="129">
        <f>IFERROR(R43/$AI43,"")</f>
        <v/>
      </c>
      <c r="BF43" s="129">
        <f>IFERROR(S43/$AI43,"")</f>
        <v/>
      </c>
      <c r="BG43" s="129">
        <f>IFERROR(T43/$AI43,"")</f>
        <v/>
      </c>
      <c r="BH43" s="129">
        <f>IFERROR(U43/$AI43,"")</f>
        <v/>
      </c>
      <c r="BI43" s="129">
        <f>IFERROR(V43/$AI43,"")</f>
        <v/>
      </c>
      <c r="BJ43" s="129">
        <f>IFERROR(W43/$AI43,"")</f>
        <v/>
      </c>
      <c r="BK43" s="129">
        <f>IFERROR(X43/$AI43,"")</f>
        <v/>
      </c>
      <c r="BL43" s="129">
        <f>IFERROR(Y43/$AI43,"")</f>
        <v/>
      </c>
      <c r="BM43" s="129">
        <f>IFERROR(Z43/$AI43,"")</f>
        <v/>
      </c>
      <c r="BN43" s="129">
        <f>IFERROR(AA43/$AI43,"")</f>
        <v/>
      </c>
      <c r="BO43" s="129">
        <f>IFERROR(AB43/$AI43,"")</f>
        <v/>
      </c>
      <c r="BP43" s="129">
        <f>IFERROR(AC43/$AI43,"")</f>
        <v/>
      </c>
      <c r="BQ43" s="129">
        <f>IFERROR(AD43/$AI43,"")</f>
        <v/>
      </c>
      <c r="BR43" s="129">
        <f>IFERROR(AE43/$AI43,"")</f>
        <v/>
      </c>
      <c r="BS43" s="129">
        <f>IFERROR(AF43/$AI43,"")</f>
        <v/>
      </c>
      <c r="BT43" s="129">
        <f>IFERROR(AG43/$AI43,"")</f>
        <v/>
      </c>
      <c r="BU43" s="129">
        <f>IFERROR(AH43/$AI43,"")</f>
        <v/>
      </c>
      <c r="BV43" s="126">
        <f>SUM(AQ43:BD43)</f>
        <v/>
      </c>
      <c r="BW43" s="126">
        <f>SUM(BE43:BU43)</f>
        <v/>
      </c>
      <c r="BX43" s="126">
        <f>SUM(AQ43:AU43)</f>
        <v/>
      </c>
    </row>
    <row r="44">
      <c r="A44" s="2">
        <f>A43+1</f>
        <v/>
      </c>
      <c r="B44" s="127" t="n"/>
      <c r="C44" s="128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7">
        <f>SUM(D44:AG44,AH44)</f>
        <v/>
      </c>
      <c r="AJ44" s="126">
        <f>(SUM($D44:$Q44))/AI44</f>
        <v/>
      </c>
      <c r="AK44" s="126">
        <f>(SUM($D44:$H44))/AI44</f>
        <v/>
      </c>
      <c r="AL44" s="126">
        <f>(SUM($R44:$AH44))/AI44</f>
        <v/>
      </c>
      <c r="AM44" s="161" t="n"/>
      <c r="AN44" s="125">
        <f>YEAR(C44)</f>
        <v/>
      </c>
      <c r="AO44" s="125">
        <f>MONTH(C44)</f>
        <v/>
      </c>
      <c r="AP44" s="125">
        <f>WEEKNUM(C44,2)</f>
        <v/>
      </c>
      <c r="AQ44" s="129">
        <f>IFERROR(D44/$AI44,"")</f>
        <v/>
      </c>
      <c r="AR44" s="129">
        <f>IFERROR(E44/$AI44,"")</f>
        <v/>
      </c>
      <c r="AS44" s="129">
        <f>IFERROR(F44/$AI44,"")</f>
        <v/>
      </c>
      <c r="AT44" s="129">
        <f>IFERROR(H44/$AI44,"")</f>
        <v/>
      </c>
      <c r="AU44" s="129">
        <f>IFERROR(I44/$AI44,"")</f>
        <v/>
      </c>
      <c r="AV44" s="129">
        <f>IFERROR(J44/$AI44,"")</f>
        <v/>
      </c>
      <c r="AW44" s="129">
        <f>IFERROR(K44/$AI44,"")</f>
        <v/>
      </c>
      <c r="AX44" s="129">
        <f>IFERROR(L44/$AI44,"")</f>
        <v/>
      </c>
      <c r="AY44" s="129">
        <f>IFERROR(M44/$AI44,"")</f>
        <v/>
      </c>
      <c r="AZ44" s="129">
        <f>IFERROR(N44/$AI44,"")</f>
        <v/>
      </c>
      <c r="BA44" s="129">
        <f>IFERROR(O44/$AI44,"")</f>
        <v/>
      </c>
      <c r="BB44" s="129">
        <f>IFERROR(P44/$AI44,"")</f>
        <v/>
      </c>
      <c r="BC44" s="129">
        <f>IFERROR(AG44/$AI44,"")</f>
        <v/>
      </c>
      <c r="BD44" s="129">
        <f>IFERROR(AH44/$AI44,"")</f>
        <v/>
      </c>
      <c r="BE44" s="129">
        <f>IFERROR(R44/$AI44,"")</f>
        <v/>
      </c>
      <c r="BF44" s="129">
        <f>IFERROR(S44/$AI44,"")</f>
        <v/>
      </c>
      <c r="BG44" s="129">
        <f>IFERROR(T44/$AI44,"")</f>
        <v/>
      </c>
      <c r="BH44" s="129">
        <f>IFERROR(U44/$AI44,"")</f>
        <v/>
      </c>
      <c r="BI44" s="129">
        <f>IFERROR(V44/$AI44,"")</f>
        <v/>
      </c>
      <c r="BJ44" s="129">
        <f>IFERROR(W44/$AI44,"")</f>
        <v/>
      </c>
      <c r="BK44" s="129">
        <f>IFERROR(X44/$AI44,"")</f>
        <v/>
      </c>
      <c r="BL44" s="129">
        <f>IFERROR(Y44/$AI44,"")</f>
        <v/>
      </c>
      <c r="BM44" s="129">
        <f>IFERROR(Z44/$AI44,"")</f>
        <v/>
      </c>
      <c r="BN44" s="129">
        <f>IFERROR(AA44/$AI44,"")</f>
        <v/>
      </c>
      <c r="BO44" s="129">
        <f>IFERROR(AB44/$AI44,"")</f>
        <v/>
      </c>
      <c r="BP44" s="129">
        <f>IFERROR(AC44/$AI44,"")</f>
        <v/>
      </c>
      <c r="BQ44" s="129">
        <f>IFERROR(AD44/$AI44,"")</f>
        <v/>
      </c>
      <c r="BR44" s="129">
        <f>IFERROR(AE44/$AI44,"")</f>
        <v/>
      </c>
      <c r="BS44" s="129">
        <f>IFERROR(AF44/$AI44,"")</f>
        <v/>
      </c>
      <c r="BT44" s="129">
        <f>IFERROR(AG44/$AI44,"")</f>
        <v/>
      </c>
      <c r="BU44" s="129">
        <f>IFERROR(AH44/$AI44,"")</f>
        <v/>
      </c>
      <c r="BV44" s="126">
        <f>SUM(AQ44:BD44)</f>
        <v/>
      </c>
      <c r="BW44" s="126">
        <f>SUM(BE44:BU44)</f>
        <v/>
      </c>
      <c r="BX44" s="126">
        <f>SUM(AQ44:AU44)</f>
        <v/>
      </c>
    </row>
    <row r="45">
      <c r="A45" s="2">
        <f>A44+1</f>
        <v/>
      </c>
      <c r="B45" s="127" t="n"/>
      <c r="C45" s="128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7">
        <f>SUM(D45:AG45,AH45)</f>
        <v/>
      </c>
      <c r="AJ45" s="126">
        <f>(SUM($D45:$Q45))/AI45</f>
        <v/>
      </c>
      <c r="AK45" s="126">
        <f>(SUM($D45:$H45))/AI45</f>
        <v/>
      </c>
      <c r="AL45" s="126">
        <f>(SUM($R45:$AH45))/AI45</f>
        <v/>
      </c>
      <c r="AM45" s="161" t="n"/>
      <c r="AN45" s="125">
        <f>YEAR(C45)</f>
        <v/>
      </c>
      <c r="AO45" s="125">
        <f>MONTH(C45)</f>
        <v/>
      </c>
      <c r="AP45" s="125">
        <f>WEEKNUM(C45,2)</f>
        <v/>
      </c>
      <c r="AQ45" s="129">
        <f>IFERROR(D45/$AI45,"")</f>
        <v/>
      </c>
      <c r="AR45" s="129">
        <f>IFERROR(E45/$AI45,"")</f>
        <v/>
      </c>
      <c r="AS45" s="129">
        <f>IFERROR(F45/$AI45,"")</f>
        <v/>
      </c>
      <c r="AT45" s="129">
        <f>IFERROR(H45/$AI45,"")</f>
        <v/>
      </c>
      <c r="AU45" s="129">
        <f>IFERROR(I45/$AI45,"")</f>
        <v/>
      </c>
      <c r="AV45" s="129">
        <f>IFERROR(J45/$AI45,"")</f>
        <v/>
      </c>
      <c r="AW45" s="129">
        <f>IFERROR(K45/$AI45,"")</f>
        <v/>
      </c>
      <c r="AX45" s="129">
        <f>IFERROR(L45/$AI45,"")</f>
        <v/>
      </c>
      <c r="AY45" s="129">
        <f>IFERROR(M45/$AI45,"")</f>
        <v/>
      </c>
      <c r="AZ45" s="129">
        <f>IFERROR(N45/$AI45,"")</f>
        <v/>
      </c>
      <c r="BA45" s="129">
        <f>IFERROR(O45/$AI45,"")</f>
        <v/>
      </c>
      <c r="BB45" s="129">
        <f>IFERROR(P45/$AI45,"")</f>
        <v/>
      </c>
      <c r="BC45" s="129">
        <f>IFERROR(AG45/$AI45,"")</f>
        <v/>
      </c>
      <c r="BD45" s="129">
        <f>IFERROR(AH45/$AI45,"")</f>
        <v/>
      </c>
      <c r="BE45" s="129">
        <f>IFERROR(R45/$AI45,"")</f>
        <v/>
      </c>
      <c r="BF45" s="129">
        <f>IFERROR(S45/$AI45,"")</f>
        <v/>
      </c>
      <c r="BG45" s="129">
        <f>IFERROR(T45/$AI45,"")</f>
        <v/>
      </c>
      <c r="BH45" s="129">
        <f>IFERROR(U45/$AI45,"")</f>
        <v/>
      </c>
      <c r="BI45" s="129">
        <f>IFERROR(V45/$AI45,"")</f>
        <v/>
      </c>
      <c r="BJ45" s="129">
        <f>IFERROR(W45/$AI45,"")</f>
        <v/>
      </c>
      <c r="BK45" s="129">
        <f>IFERROR(X45/$AI45,"")</f>
        <v/>
      </c>
      <c r="BL45" s="129">
        <f>IFERROR(Y45/$AI45,"")</f>
        <v/>
      </c>
      <c r="BM45" s="129">
        <f>IFERROR(Z45/$AI45,"")</f>
        <v/>
      </c>
      <c r="BN45" s="129">
        <f>IFERROR(AA45/$AI45,"")</f>
        <v/>
      </c>
      <c r="BO45" s="129">
        <f>IFERROR(AB45/$AI45,"")</f>
        <v/>
      </c>
      <c r="BP45" s="129">
        <f>IFERROR(AC45/$AI45,"")</f>
        <v/>
      </c>
      <c r="BQ45" s="129">
        <f>IFERROR(AD45/$AI45,"")</f>
        <v/>
      </c>
      <c r="BR45" s="129">
        <f>IFERROR(AE45/$AI45,"")</f>
        <v/>
      </c>
      <c r="BS45" s="129">
        <f>IFERROR(AF45/$AI45,"")</f>
        <v/>
      </c>
      <c r="BT45" s="129">
        <f>IFERROR(AG45/$AI45,"")</f>
        <v/>
      </c>
      <c r="BU45" s="129">
        <f>IFERROR(AH45/$AI45,"")</f>
        <v/>
      </c>
      <c r="BV45" s="126">
        <f>SUM(AQ45:BD45)</f>
        <v/>
      </c>
      <c r="BW45" s="126">
        <f>SUM(BE45:BU45)</f>
        <v/>
      </c>
      <c r="BX45" s="126">
        <f>SUM(AQ45:AU45)</f>
        <v/>
      </c>
    </row>
    <row r="46">
      <c r="A46" s="2">
        <f>A45+1</f>
        <v/>
      </c>
      <c r="B46" s="127" t="n"/>
      <c r="C46" s="128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7">
        <f>SUM(D46:AG46,AH46)</f>
        <v/>
      </c>
      <c r="AJ46" s="126">
        <f>(SUM($D46:$Q46))/AI46</f>
        <v/>
      </c>
      <c r="AK46" s="126">
        <f>(SUM($D46:$H46))/AI46</f>
        <v/>
      </c>
      <c r="AL46" s="126">
        <f>(SUM($R46:$AH46))/AI46</f>
        <v/>
      </c>
      <c r="AM46" s="161" t="n"/>
      <c r="AN46" s="125">
        <f>YEAR(C46)</f>
        <v/>
      </c>
      <c r="AO46" s="125">
        <f>MONTH(C46)</f>
        <v/>
      </c>
      <c r="AP46" s="125">
        <f>WEEKNUM(C46,2)</f>
        <v/>
      </c>
      <c r="AQ46" s="129">
        <f>IFERROR(D46/$AI46,"")</f>
        <v/>
      </c>
      <c r="AR46" s="129">
        <f>IFERROR(E46/$AI46,"")</f>
        <v/>
      </c>
      <c r="AS46" s="129">
        <f>IFERROR(F46/$AI46,"")</f>
        <v/>
      </c>
      <c r="AT46" s="129">
        <f>IFERROR(H46/$AI46,"")</f>
        <v/>
      </c>
      <c r="AU46" s="129">
        <f>IFERROR(I46/$AI46,"")</f>
        <v/>
      </c>
      <c r="AV46" s="129">
        <f>IFERROR(J46/$AI46,"")</f>
        <v/>
      </c>
      <c r="AW46" s="129">
        <f>IFERROR(K46/$AI46,"")</f>
        <v/>
      </c>
      <c r="AX46" s="129">
        <f>IFERROR(L46/$AI46,"")</f>
        <v/>
      </c>
      <c r="AY46" s="129">
        <f>IFERROR(M46/$AI46,"")</f>
        <v/>
      </c>
      <c r="AZ46" s="129">
        <f>IFERROR(N46/$AI46,"")</f>
        <v/>
      </c>
      <c r="BA46" s="129">
        <f>IFERROR(O46/$AI46,"")</f>
        <v/>
      </c>
      <c r="BB46" s="129">
        <f>IFERROR(P46/$AI46,"")</f>
        <v/>
      </c>
      <c r="BC46" s="129">
        <f>IFERROR(AG46/$AI46,"")</f>
        <v/>
      </c>
      <c r="BD46" s="129">
        <f>IFERROR(AH46/$AI46,"")</f>
        <v/>
      </c>
      <c r="BE46" s="129">
        <f>IFERROR(R46/$AI46,"")</f>
        <v/>
      </c>
      <c r="BF46" s="129">
        <f>IFERROR(S46/$AI46,"")</f>
        <v/>
      </c>
      <c r="BG46" s="129">
        <f>IFERROR(T46/$AI46,"")</f>
        <v/>
      </c>
      <c r="BH46" s="129">
        <f>IFERROR(U46/$AI46,"")</f>
        <v/>
      </c>
      <c r="BI46" s="129">
        <f>IFERROR(V46/$AI46,"")</f>
        <v/>
      </c>
      <c r="BJ46" s="129">
        <f>IFERROR(W46/$AI46,"")</f>
        <v/>
      </c>
      <c r="BK46" s="129">
        <f>IFERROR(X46/$AI46,"")</f>
        <v/>
      </c>
      <c r="BL46" s="129">
        <f>IFERROR(Y46/$AI46,"")</f>
        <v/>
      </c>
      <c r="BM46" s="129">
        <f>IFERROR(Z46/$AI46,"")</f>
        <v/>
      </c>
      <c r="BN46" s="129">
        <f>IFERROR(AA46/$AI46,"")</f>
        <v/>
      </c>
      <c r="BO46" s="129">
        <f>IFERROR(AB46/$AI46,"")</f>
        <v/>
      </c>
      <c r="BP46" s="129">
        <f>IFERROR(AC46/$AI46,"")</f>
        <v/>
      </c>
      <c r="BQ46" s="129">
        <f>IFERROR(AD46/$AI46,"")</f>
        <v/>
      </c>
      <c r="BR46" s="129">
        <f>IFERROR(AE46/$AI46,"")</f>
        <v/>
      </c>
      <c r="BS46" s="129">
        <f>IFERROR(AF46/$AI46,"")</f>
        <v/>
      </c>
      <c r="BT46" s="129">
        <f>IFERROR(AG46/$AI46,"")</f>
        <v/>
      </c>
      <c r="BU46" s="129">
        <f>IFERROR(AH46/$AI46,"")</f>
        <v/>
      </c>
      <c r="BV46" s="126">
        <f>SUM(AQ46:BD46)</f>
        <v/>
      </c>
      <c r="BW46" s="126">
        <f>SUM(BE46:BU46)</f>
        <v/>
      </c>
      <c r="BX46" s="126">
        <f>SUM(AQ46:AU46)</f>
        <v/>
      </c>
    </row>
    <row r="47">
      <c r="A47" s="2">
        <f>A46+1</f>
        <v/>
      </c>
      <c r="B47" s="127" t="n"/>
      <c r="C47" s="128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7">
        <f>SUM(D47:AG47,AH47)</f>
        <v/>
      </c>
      <c r="AJ47" s="126">
        <f>(SUM($D47:$Q47))/AI47</f>
        <v/>
      </c>
      <c r="AK47" s="126">
        <f>(SUM($D47:$H47))/AI47</f>
        <v/>
      </c>
      <c r="AL47" s="126">
        <f>(SUM($R47:$AH47))/AI47</f>
        <v/>
      </c>
      <c r="AM47" s="161" t="n"/>
      <c r="AN47" s="125">
        <f>YEAR(C47)</f>
        <v/>
      </c>
      <c r="AO47" s="125">
        <f>MONTH(C47)</f>
        <v/>
      </c>
      <c r="AP47" s="125">
        <f>WEEKNUM(C47,2)</f>
        <v/>
      </c>
      <c r="AQ47" s="129">
        <f>IFERROR(D47/$AI47,"")</f>
        <v/>
      </c>
      <c r="AR47" s="129">
        <f>IFERROR(E47/$AI47,"")</f>
        <v/>
      </c>
      <c r="AS47" s="129">
        <f>IFERROR(F47/$AI47,"")</f>
        <v/>
      </c>
      <c r="AT47" s="129">
        <f>IFERROR(H47/$AI47,"")</f>
        <v/>
      </c>
      <c r="AU47" s="129">
        <f>IFERROR(I47/$AI47,"")</f>
        <v/>
      </c>
      <c r="AV47" s="129">
        <f>IFERROR(J47/$AI47,"")</f>
        <v/>
      </c>
      <c r="AW47" s="129">
        <f>IFERROR(K47/$AI47,"")</f>
        <v/>
      </c>
      <c r="AX47" s="129">
        <f>IFERROR(L47/$AI47,"")</f>
        <v/>
      </c>
      <c r="AY47" s="129">
        <f>IFERROR(M47/$AI47,"")</f>
        <v/>
      </c>
      <c r="AZ47" s="129">
        <f>IFERROR(N47/$AI47,"")</f>
        <v/>
      </c>
      <c r="BA47" s="129">
        <f>IFERROR(O47/$AI47,"")</f>
        <v/>
      </c>
      <c r="BB47" s="129">
        <f>IFERROR(P47/$AI47,"")</f>
        <v/>
      </c>
      <c r="BC47" s="129">
        <f>IFERROR(AG47/$AI47,"")</f>
        <v/>
      </c>
      <c r="BD47" s="129">
        <f>IFERROR(AH47/$AI47,"")</f>
        <v/>
      </c>
      <c r="BE47" s="129">
        <f>IFERROR(R47/$AI47,"")</f>
        <v/>
      </c>
      <c r="BF47" s="129">
        <f>IFERROR(S47/$AI47,"")</f>
        <v/>
      </c>
      <c r="BG47" s="129">
        <f>IFERROR(T47/$AI47,"")</f>
        <v/>
      </c>
      <c r="BH47" s="129">
        <f>IFERROR(U47/$AI47,"")</f>
        <v/>
      </c>
      <c r="BI47" s="129">
        <f>IFERROR(V47/$AI47,"")</f>
        <v/>
      </c>
      <c r="BJ47" s="129">
        <f>IFERROR(W47/$AI47,"")</f>
        <v/>
      </c>
      <c r="BK47" s="129">
        <f>IFERROR(X47/$AI47,"")</f>
        <v/>
      </c>
      <c r="BL47" s="129">
        <f>IFERROR(Y47/$AI47,"")</f>
        <v/>
      </c>
      <c r="BM47" s="129">
        <f>IFERROR(Z47/$AI47,"")</f>
        <v/>
      </c>
      <c r="BN47" s="129">
        <f>IFERROR(AA47/$AI47,"")</f>
        <v/>
      </c>
      <c r="BO47" s="129">
        <f>IFERROR(AB47/$AI47,"")</f>
        <v/>
      </c>
      <c r="BP47" s="129">
        <f>IFERROR(AC47/$AI47,"")</f>
        <v/>
      </c>
      <c r="BQ47" s="129">
        <f>IFERROR(AD47/$AI47,"")</f>
        <v/>
      </c>
      <c r="BR47" s="129">
        <f>IFERROR(AE47/$AI47,"")</f>
        <v/>
      </c>
      <c r="BS47" s="129">
        <f>IFERROR(AF47/$AI47,"")</f>
        <v/>
      </c>
      <c r="BT47" s="129">
        <f>IFERROR(AG47/$AI47,"")</f>
        <v/>
      </c>
      <c r="BU47" s="129">
        <f>IFERROR(AH47/$AI47,"")</f>
        <v/>
      </c>
      <c r="BV47" s="126">
        <f>SUM(AQ47:BD47)</f>
        <v/>
      </c>
      <c r="BW47" s="126">
        <f>SUM(BE47:BU47)</f>
        <v/>
      </c>
      <c r="BX47" s="126">
        <f>SUM(AQ47:AU47)</f>
        <v/>
      </c>
    </row>
    <row r="48">
      <c r="A48" s="2">
        <f>A47+1</f>
        <v/>
      </c>
      <c r="B48" s="127" t="n"/>
      <c r="C48" s="128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7">
        <f>SUM(D48:AG48,AH48)</f>
        <v/>
      </c>
      <c r="AJ48" s="126">
        <f>(SUM($D48:$Q48))/AI48</f>
        <v/>
      </c>
      <c r="AK48" s="126">
        <f>(SUM($D48:$H48))/AI48</f>
        <v/>
      </c>
      <c r="AL48" s="126">
        <f>(SUM($R48:$AH48))/AI48</f>
        <v/>
      </c>
      <c r="AM48" s="161" t="n"/>
      <c r="AN48" s="125">
        <f>YEAR(C48)</f>
        <v/>
      </c>
      <c r="AO48" s="125">
        <f>MONTH(C48)</f>
        <v/>
      </c>
      <c r="AP48" s="125">
        <f>WEEKNUM(C48,2)</f>
        <v/>
      </c>
      <c r="AQ48" s="129">
        <f>IFERROR(D48/$AI48,"")</f>
        <v/>
      </c>
      <c r="AR48" s="129">
        <f>IFERROR(E48/$AI48,"")</f>
        <v/>
      </c>
      <c r="AS48" s="129">
        <f>IFERROR(F48/$AI48,"")</f>
        <v/>
      </c>
      <c r="AT48" s="129">
        <f>IFERROR(H48/$AI48,"")</f>
        <v/>
      </c>
      <c r="AU48" s="129">
        <f>IFERROR(I48/$AI48,"")</f>
        <v/>
      </c>
      <c r="AV48" s="129">
        <f>IFERROR(J48/$AI48,"")</f>
        <v/>
      </c>
      <c r="AW48" s="129">
        <f>IFERROR(K48/$AI48,"")</f>
        <v/>
      </c>
      <c r="AX48" s="129">
        <f>IFERROR(L48/$AI48,"")</f>
        <v/>
      </c>
      <c r="AY48" s="129">
        <f>IFERROR(M48/$AI48,"")</f>
        <v/>
      </c>
      <c r="AZ48" s="129">
        <f>IFERROR(N48/$AI48,"")</f>
        <v/>
      </c>
      <c r="BA48" s="129">
        <f>IFERROR(O48/$AI48,"")</f>
        <v/>
      </c>
      <c r="BB48" s="129">
        <f>IFERROR(P48/$AI48,"")</f>
        <v/>
      </c>
      <c r="BC48" s="129">
        <f>IFERROR(AG48/$AI48,"")</f>
        <v/>
      </c>
      <c r="BD48" s="129">
        <f>IFERROR(AH48/$AI48,"")</f>
        <v/>
      </c>
      <c r="BE48" s="129">
        <f>IFERROR(R48/$AI48,"")</f>
        <v/>
      </c>
      <c r="BF48" s="129">
        <f>IFERROR(S48/$AI48,"")</f>
        <v/>
      </c>
      <c r="BG48" s="129">
        <f>IFERROR(T48/$AI48,"")</f>
        <v/>
      </c>
      <c r="BH48" s="129">
        <f>IFERROR(U48/$AI48,"")</f>
        <v/>
      </c>
      <c r="BI48" s="129">
        <f>IFERROR(V48/$AI48,"")</f>
        <v/>
      </c>
      <c r="BJ48" s="129">
        <f>IFERROR(W48/$AI48,"")</f>
        <v/>
      </c>
      <c r="BK48" s="129">
        <f>IFERROR(X48/$AI48,"")</f>
        <v/>
      </c>
      <c r="BL48" s="129">
        <f>IFERROR(Y48/$AI48,"")</f>
        <v/>
      </c>
      <c r="BM48" s="129">
        <f>IFERROR(Z48/$AI48,"")</f>
        <v/>
      </c>
      <c r="BN48" s="129">
        <f>IFERROR(AA48/$AI48,"")</f>
        <v/>
      </c>
      <c r="BO48" s="129">
        <f>IFERROR(AB48/$AI48,"")</f>
        <v/>
      </c>
      <c r="BP48" s="129">
        <f>IFERROR(AC48/$AI48,"")</f>
        <v/>
      </c>
      <c r="BQ48" s="129">
        <f>IFERROR(AD48/$AI48,"")</f>
        <v/>
      </c>
      <c r="BR48" s="129">
        <f>IFERROR(AE48/$AI48,"")</f>
        <v/>
      </c>
      <c r="BS48" s="129">
        <f>IFERROR(AF48/$AI48,"")</f>
        <v/>
      </c>
      <c r="BT48" s="129">
        <f>IFERROR(AG48/$AI48,"")</f>
        <v/>
      </c>
      <c r="BU48" s="129">
        <f>IFERROR(AH48/$AI48,"")</f>
        <v/>
      </c>
      <c r="BV48" s="126">
        <f>SUM(AQ48:BD48)</f>
        <v/>
      </c>
      <c r="BW48" s="126">
        <f>SUM(BE48:BU48)</f>
        <v/>
      </c>
      <c r="BX48" s="126">
        <f>SUM(AQ48:AU48)</f>
        <v/>
      </c>
    </row>
    <row r="49">
      <c r="A49" s="2">
        <f>A48+1</f>
        <v/>
      </c>
      <c r="B49" s="127" t="n"/>
      <c r="C49" s="128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7">
        <f>SUM(D49:AG49,AH49)</f>
        <v/>
      </c>
      <c r="AJ49" s="126">
        <f>(SUM($D49:$Q49))/AI49</f>
        <v/>
      </c>
      <c r="AK49" s="126">
        <f>(SUM($D49:$H49))/AI49</f>
        <v/>
      </c>
      <c r="AL49" s="126">
        <f>(SUM($R49:$AH49))/AI49</f>
        <v/>
      </c>
      <c r="AM49" s="161" t="n"/>
      <c r="AN49" s="125">
        <f>YEAR(C49)</f>
        <v/>
      </c>
      <c r="AO49" s="125">
        <f>MONTH(C49)</f>
        <v/>
      </c>
      <c r="AP49" s="125">
        <f>WEEKNUM(C49,2)</f>
        <v/>
      </c>
      <c r="AQ49" s="129">
        <f>IFERROR(D49/$AI49,"")</f>
        <v/>
      </c>
      <c r="AR49" s="129">
        <f>IFERROR(E49/$AI49,"")</f>
        <v/>
      </c>
      <c r="AS49" s="129">
        <f>IFERROR(F49/$AI49,"")</f>
        <v/>
      </c>
      <c r="AT49" s="129">
        <f>IFERROR(H49/$AI49,"")</f>
        <v/>
      </c>
      <c r="AU49" s="129">
        <f>IFERROR(I49/$AI49,"")</f>
        <v/>
      </c>
      <c r="AV49" s="129">
        <f>IFERROR(J49/$AI49,"")</f>
        <v/>
      </c>
      <c r="AW49" s="129">
        <f>IFERROR(K49/$AI49,"")</f>
        <v/>
      </c>
      <c r="AX49" s="129">
        <f>IFERROR(L49/$AI49,"")</f>
        <v/>
      </c>
      <c r="AY49" s="129">
        <f>IFERROR(M49/$AI49,"")</f>
        <v/>
      </c>
      <c r="AZ49" s="129">
        <f>IFERROR(N49/$AI49,"")</f>
        <v/>
      </c>
      <c r="BA49" s="129">
        <f>IFERROR(O49/$AI49,"")</f>
        <v/>
      </c>
      <c r="BB49" s="129">
        <f>IFERROR(P49/$AI49,"")</f>
        <v/>
      </c>
      <c r="BC49" s="129">
        <f>IFERROR(AG49/$AI49,"")</f>
        <v/>
      </c>
      <c r="BD49" s="129">
        <f>IFERROR(AH49/$AI49,"")</f>
        <v/>
      </c>
      <c r="BE49" s="129">
        <f>IFERROR(R49/$AI49,"")</f>
        <v/>
      </c>
      <c r="BF49" s="129">
        <f>IFERROR(S49/$AI49,"")</f>
        <v/>
      </c>
      <c r="BG49" s="129">
        <f>IFERROR(T49/$AI49,"")</f>
        <v/>
      </c>
      <c r="BH49" s="129">
        <f>IFERROR(U49/$AI49,"")</f>
        <v/>
      </c>
      <c r="BI49" s="129">
        <f>IFERROR(V49/$AI49,"")</f>
        <v/>
      </c>
      <c r="BJ49" s="129">
        <f>IFERROR(W49/$AI49,"")</f>
        <v/>
      </c>
      <c r="BK49" s="129">
        <f>IFERROR(X49/$AI49,"")</f>
        <v/>
      </c>
      <c r="BL49" s="129">
        <f>IFERROR(Y49/$AI49,"")</f>
        <v/>
      </c>
      <c r="BM49" s="129">
        <f>IFERROR(Z49/$AI49,"")</f>
        <v/>
      </c>
      <c r="BN49" s="129">
        <f>IFERROR(AA49/$AI49,"")</f>
        <v/>
      </c>
      <c r="BO49" s="129">
        <f>IFERROR(AB49/$AI49,"")</f>
        <v/>
      </c>
      <c r="BP49" s="129">
        <f>IFERROR(AC49/$AI49,"")</f>
        <v/>
      </c>
      <c r="BQ49" s="129">
        <f>IFERROR(AD49/$AI49,"")</f>
        <v/>
      </c>
      <c r="BR49" s="129">
        <f>IFERROR(AE49/$AI49,"")</f>
        <v/>
      </c>
      <c r="BS49" s="129">
        <f>IFERROR(AF49/$AI49,"")</f>
        <v/>
      </c>
      <c r="BT49" s="129">
        <f>IFERROR(AG49/$AI49,"")</f>
        <v/>
      </c>
      <c r="BU49" s="129">
        <f>IFERROR(AH49/$AI49,"")</f>
        <v/>
      </c>
      <c r="BV49" s="126">
        <f>SUM(AQ49:BD49)</f>
        <v/>
      </c>
      <c r="BW49" s="126">
        <f>SUM(BE49:BU49)</f>
        <v/>
      </c>
      <c r="BX49" s="126">
        <f>SUM(AQ49:AU49)</f>
        <v/>
      </c>
    </row>
    <row r="50">
      <c r="A50" s="2">
        <f>A49+1</f>
        <v/>
      </c>
      <c r="B50" s="127" t="n"/>
      <c r="C50" s="128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7">
        <f>SUM(D50:AG50,AH50)</f>
        <v/>
      </c>
      <c r="AJ50" s="126">
        <f>(SUM($D50:$Q50))/AI50</f>
        <v/>
      </c>
      <c r="AK50" s="126">
        <f>(SUM($D50:$H50))/AI50</f>
        <v/>
      </c>
      <c r="AL50" s="126">
        <f>(SUM($R50:$AH50))/AI50</f>
        <v/>
      </c>
      <c r="AM50" s="161" t="n"/>
      <c r="AN50" s="125">
        <f>YEAR(C50)</f>
        <v/>
      </c>
      <c r="AO50" s="125">
        <f>MONTH(C50)</f>
        <v/>
      </c>
      <c r="AP50" s="125">
        <f>WEEKNUM(C50,2)</f>
        <v/>
      </c>
      <c r="AQ50" s="129">
        <f>IFERROR(D50/$AI50,"")</f>
        <v/>
      </c>
      <c r="AR50" s="129">
        <f>IFERROR(E50/$AI50,"")</f>
        <v/>
      </c>
      <c r="AS50" s="129">
        <f>IFERROR(F50/$AI50,"")</f>
        <v/>
      </c>
      <c r="AT50" s="129">
        <f>IFERROR(H50/$AI50,"")</f>
        <v/>
      </c>
      <c r="AU50" s="129">
        <f>IFERROR(I50/$AI50,"")</f>
        <v/>
      </c>
      <c r="AV50" s="129">
        <f>IFERROR(J50/$AI50,"")</f>
        <v/>
      </c>
      <c r="AW50" s="129">
        <f>IFERROR(K50/$AI50,"")</f>
        <v/>
      </c>
      <c r="AX50" s="129">
        <f>IFERROR(L50/$AI50,"")</f>
        <v/>
      </c>
      <c r="AY50" s="129">
        <f>IFERROR(M50/$AI50,"")</f>
        <v/>
      </c>
      <c r="AZ50" s="129">
        <f>IFERROR(N50/$AI50,"")</f>
        <v/>
      </c>
      <c r="BA50" s="129">
        <f>IFERROR(O50/$AI50,"")</f>
        <v/>
      </c>
      <c r="BB50" s="129">
        <f>IFERROR(P50/$AI50,"")</f>
        <v/>
      </c>
      <c r="BC50" s="129">
        <f>IFERROR(AG50/$AI50,"")</f>
        <v/>
      </c>
      <c r="BD50" s="129">
        <f>IFERROR(AH50/$AI50,"")</f>
        <v/>
      </c>
      <c r="BE50" s="129">
        <f>IFERROR(R50/$AI50,"")</f>
        <v/>
      </c>
      <c r="BF50" s="129">
        <f>IFERROR(S50/$AI50,"")</f>
        <v/>
      </c>
      <c r="BG50" s="129">
        <f>IFERROR(T50/$AI50,"")</f>
        <v/>
      </c>
      <c r="BH50" s="129">
        <f>IFERROR(U50/$AI50,"")</f>
        <v/>
      </c>
      <c r="BI50" s="129">
        <f>IFERROR(V50/$AI50,"")</f>
        <v/>
      </c>
      <c r="BJ50" s="129">
        <f>IFERROR(W50/$AI50,"")</f>
        <v/>
      </c>
      <c r="BK50" s="129">
        <f>IFERROR(X50/$AI50,"")</f>
        <v/>
      </c>
      <c r="BL50" s="129">
        <f>IFERROR(Y50/$AI50,"")</f>
        <v/>
      </c>
      <c r="BM50" s="129">
        <f>IFERROR(Z50/$AI50,"")</f>
        <v/>
      </c>
      <c r="BN50" s="129">
        <f>IFERROR(AA50/$AI50,"")</f>
        <v/>
      </c>
      <c r="BO50" s="129">
        <f>IFERROR(AB50/$AI50,"")</f>
        <v/>
      </c>
      <c r="BP50" s="129">
        <f>IFERROR(AC50/$AI50,"")</f>
        <v/>
      </c>
      <c r="BQ50" s="129">
        <f>IFERROR(AD50/$AI50,"")</f>
        <v/>
      </c>
      <c r="BR50" s="129">
        <f>IFERROR(AE50/$AI50,"")</f>
        <v/>
      </c>
      <c r="BS50" s="129">
        <f>IFERROR(AF50/$AI50,"")</f>
        <v/>
      </c>
      <c r="BT50" s="129">
        <f>IFERROR(AG50/$AI50,"")</f>
        <v/>
      </c>
      <c r="BU50" s="129">
        <f>IFERROR(AH50/$AI50,"")</f>
        <v/>
      </c>
      <c r="BV50" s="126">
        <f>SUM(AQ50:BD50)</f>
        <v/>
      </c>
      <c r="BW50" s="126">
        <f>SUM(BE50:BU50)</f>
        <v/>
      </c>
      <c r="BX50" s="126">
        <f>SUM(AQ50:AU50)</f>
        <v/>
      </c>
    </row>
    <row r="51">
      <c r="B51" s="127" t="n"/>
      <c r="C51" s="128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7">
        <f>SUM(D51:AG51,AH51)</f>
        <v/>
      </c>
      <c r="AJ51" s="126">
        <f>(SUM($D51:$Q51))/AI51</f>
        <v/>
      </c>
      <c r="AK51" s="126">
        <f>(SUM($D51:$H51))/AI51</f>
        <v/>
      </c>
      <c r="AL51" s="126">
        <f>(SUM($R51:$AH51))/AI51</f>
        <v/>
      </c>
      <c r="AM51" s="161" t="n"/>
      <c r="AN51" s="125">
        <f>YEAR(C51)</f>
        <v/>
      </c>
      <c r="AO51" s="125">
        <f>MONTH(C51)</f>
        <v/>
      </c>
      <c r="AP51" s="125">
        <f>WEEKNUM(C51,2)</f>
        <v/>
      </c>
      <c r="AQ51" s="129">
        <f>IFERROR(D51/$AI51,"")</f>
        <v/>
      </c>
      <c r="AR51" s="129">
        <f>IFERROR(E51/$AI51,"")</f>
        <v/>
      </c>
      <c r="AS51" s="129">
        <f>IFERROR(F51/$AI51,"")</f>
        <v/>
      </c>
      <c r="AT51" s="129">
        <f>IFERROR(H51/$AI51,"")</f>
        <v/>
      </c>
      <c r="AU51" s="129">
        <f>IFERROR(I51/$AI51,"")</f>
        <v/>
      </c>
      <c r="AV51" s="129">
        <f>IFERROR(J51/$AI51,"")</f>
        <v/>
      </c>
      <c r="AW51" s="129">
        <f>IFERROR(K51/$AI51,"")</f>
        <v/>
      </c>
      <c r="AX51" s="129">
        <f>IFERROR(L51/$AI51,"")</f>
        <v/>
      </c>
      <c r="AY51" s="129">
        <f>IFERROR(M51/$AI51,"")</f>
        <v/>
      </c>
      <c r="AZ51" s="129">
        <f>IFERROR(N51/$AI51,"")</f>
        <v/>
      </c>
      <c r="BA51" s="129">
        <f>IFERROR(O51/$AI51,"")</f>
        <v/>
      </c>
      <c r="BB51" s="129">
        <f>IFERROR(P51/$AI51,"")</f>
        <v/>
      </c>
      <c r="BC51" s="129">
        <f>IFERROR(AG51/$AI51,"")</f>
        <v/>
      </c>
      <c r="BD51" s="129">
        <f>IFERROR(AH51/$AI51,"")</f>
        <v/>
      </c>
      <c r="BE51" s="129">
        <f>IFERROR(R51/$AI51,"")</f>
        <v/>
      </c>
      <c r="BF51" s="129">
        <f>IFERROR(S51/$AI51,"")</f>
        <v/>
      </c>
      <c r="BG51" s="129">
        <f>IFERROR(T51/$AI51,"")</f>
        <v/>
      </c>
      <c r="BH51" s="129">
        <f>IFERROR(U51/$AI51,"")</f>
        <v/>
      </c>
      <c r="BI51" s="129">
        <f>IFERROR(V51/$AI51,"")</f>
        <v/>
      </c>
      <c r="BJ51" s="129">
        <f>IFERROR(W51/$AI51,"")</f>
        <v/>
      </c>
      <c r="BK51" s="129">
        <f>IFERROR(X51/$AI51,"")</f>
        <v/>
      </c>
      <c r="BL51" s="129">
        <f>IFERROR(Y51/$AI51,"")</f>
        <v/>
      </c>
      <c r="BM51" s="129">
        <f>IFERROR(Z51/$AI51,"")</f>
        <v/>
      </c>
      <c r="BN51" s="129">
        <f>IFERROR(AA51/$AI51,"")</f>
        <v/>
      </c>
      <c r="BO51" s="129">
        <f>IFERROR(AB51/$AI51,"")</f>
        <v/>
      </c>
      <c r="BP51" s="129">
        <f>IFERROR(AC51/$AI51,"")</f>
        <v/>
      </c>
      <c r="BQ51" s="129">
        <f>IFERROR(AD51/$AI51,"")</f>
        <v/>
      </c>
      <c r="BR51" s="129">
        <f>IFERROR(AE51/$AI51,"")</f>
        <v/>
      </c>
      <c r="BS51" s="129">
        <f>IFERROR(AF51/$AI51,"")</f>
        <v/>
      </c>
      <c r="BT51" s="129">
        <f>IFERROR(AG51/$AI51,"")</f>
        <v/>
      </c>
      <c r="BU51" s="129">
        <f>IFERROR(AH51/$AI51,"")</f>
        <v/>
      </c>
      <c r="BV51" s="126">
        <f>SUM(AQ51:BD51)</f>
        <v/>
      </c>
      <c r="BW51" s="126">
        <f>SUM(BE51:BU51)</f>
        <v/>
      </c>
      <c r="BX51" s="126">
        <f>SUM(AQ51:AU51)</f>
        <v/>
      </c>
    </row>
    <row r="52">
      <c r="B52" s="127" t="n"/>
      <c r="C52" s="128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7">
        <f>SUM(D52:AG52,AH52)</f>
        <v/>
      </c>
      <c r="AJ52" s="126">
        <f>(SUM($D52:$Q52))/AI52</f>
        <v/>
      </c>
      <c r="AK52" s="126">
        <f>(SUM($D52:$H52))/AI52</f>
        <v/>
      </c>
      <c r="AL52" s="126">
        <f>(SUM($R52:$AH52))/AI52</f>
        <v/>
      </c>
      <c r="AM52" s="161" t="n"/>
      <c r="AN52" s="125">
        <f>YEAR(C52)</f>
        <v/>
      </c>
      <c r="AO52" s="125">
        <f>MONTH(C52)</f>
        <v/>
      </c>
      <c r="AP52" s="125">
        <f>WEEKNUM(C52,2)</f>
        <v/>
      </c>
      <c r="AQ52" s="129">
        <f>IFERROR(D52/$AI52,"")</f>
        <v/>
      </c>
      <c r="AR52" s="129">
        <f>IFERROR(E52/$AI52,"")</f>
        <v/>
      </c>
      <c r="AS52" s="129">
        <f>IFERROR(F52/$AI52,"")</f>
        <v/>
      </c>
      <c r="AT52" s="129">
        <f>IFERROR(H52/$AI52,"")</f>
        <v/>
      </c>
      <c r="AU52" s="129">
        <f>IFERROR(I52/$AI52,"")</f>
        <v/>
      </c>
      <c r="AV52" s="129">
        <f>IFERROR(J52/$AI52,"")</f>
        <v/>
      </c>
      <c r="AW52" s="129">
        <f>IFERROR(K52/$AI52,"")</f>
        <v/>
      </c>
      <c r="AX52" s="129">
        <f>IFERROR(L52/$AI52,"")</f>
        <v/>
      </c>
      <c r="AY52" s="129">
        <f>IFERROR(M52/$AI52,"")</f>
        <v/>
      </c>
      <c r="AZ52" s="129">
        <f>IFERROR(N52/$AI52,"")</f>
        <v/>
      </c>
      <c r="BA52" s="129">
        <f>IFERROR(O52/$AI52,"")</f>
        <v/>
      </c>
      <c r="BB52" s="129">
        <f>IFERROR(P52/$AI52,"")</f>
        <v/>
      </c>
      <c r="BC52" s="129">
        <f>IFERROR(AG52/$AI52,"")</f>
        <v/>
      </c>
      <c r="BD52" s="129">
        <f>IFERROR(AH52/$AI52,"")</f>
        <v/>
      </c>
      <c r="BE52" s="129">
        <f>IFERROR(R52/$AI52,"")</f>
        <v/>
      </c>
      <c r="BF52" s="129">
        <f>IFERROR(S52/$AI52,"")</f>
        <v/>
      </c>
      <c r="BG52" s="129">
        <f>IFERROR(T52/$AI52,"")</f>
        <v/>
      </c>
      <c r="BH52" s="129">
        <f>IFERROR(U52/$AI52,"")</f>
        <v/>
      </c>
      <c r="BI52" s="129">
        <f>IFERROR(V52/$AI52,"")</f>
        <v/>
      </c>
      <c r="BJ52" s="129">
        <f>IFERROR(W52/$AI52,"")</f>
        <v/>
      </c>
      <c r="BK52" s="129">
        <f>IFERROR(X52/$AI52,"")</f>
        <v/>
      </c>
      <c r="BL52" s="129">
        <f>IFERROR(Y52/$AI52,"")</f>
        <v/>
      </c>
      <c r="BM52" s="129">
        <f>IFERROR(Z52/$AI52,"")</f>
        <v/>
      </c>
      <c r="BN52" s="129">
        <f>IFERROR(AA52/$AI52,"")</f>
        <v/>
      </c>
      <c r="BO52" s="129">
        <f>IFERROR(AB52/$AI52,"")</f>
        <v/>
      </c>
      <c r="BP52" s="129">
        <f>IFERROR(AC52/$AI52,"")</f>
        <v/>
      </c>
      <c r="BQ52" s="129">
        <f>IFERROR(AD52/$AI52,"")</f>
        <v/>
      </c>
      <c r="BR52" s="129">
        <f>IFERROR(AE52/$AI52,"")</f>
        <v/>
      </c>
      <c r="BS52" s="129">
        <f>IFERROR(AF52/$AI52,"")</f>
        <v/>
      </c>
      <c r="BT52" s="129">
        <f>IFERROR(AG52/$AI52,"")</f>
        <v/>
      </c>
      <c r="BU52" s="129">
        <f>IFERROR(AH52/$AI52,"")</f>
        <v/>
      </c>
      <c r="BV52" s="126">
        <f>SUM(AQ52:BD52)</f>
        <v/>
      </c>
      <c r="BW52" s="126">
        <f>SUM(BE52:BU52)</f>
        <v/>
      </c>
      <c r="BX52" s="126">
        <f>SUM(AQ52:AU52)</f>
        <v/>
      </c>
    </row>
    <row r="53">
      <c r="B53" s="127" t="n"/>
      <c r="C53" s="128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  <c r="AG53" s="125" t="n"/>
      <c r="AH53" s="125" t="n"/>
      <c r="AI53" s="127">
        <f>SUM(D53:AG53,AH53)</f>
        <v/>
      </c>
      <c r="AJ53" s="126">
        <f>(SUM($D53:$Q53))/AI53</f>
        <v/>
      </c>
      <c r="AK53" s="126">
        <f>(SUM($D53:$H53))/AI53</f>
        <v/>
      </c>
      <c r="AL53" s="126">
        <f>(SUM($R53:$AH53))/AI53</f>
        <v/>
      </c>
      <c r="AM53" s="161" t="n"/>
      <c r="AN53" s="125">
        <f>YEAR(C53)</f>
        <v/>
      </c>
      <c r="AO53" s="125">
        <f>MONTH(C53)</f>
        <v/>
      </c>
      <c r="AP53" s="125">
        <f>WEEKNUM(C53,2)</f>
        <v/>
      </c>
      <c r="AQ53" s="129">
        <f>IFERROR(D53/$AI53,"")</f>
        <v/>
      </c>
      <c r="AR53" s="129">
        <f>IFERROR(E53/$AI53,"")</f>
        <v/>
      </c>
      <c r="AS53" s="129">
        <f>IFERROR(F53/$AI53,"")</f>
        <v/>
      </c>
      <c r="AT53" s="129">
        <f>IFERROR(H53/$AI53,"")</f>
        <v/>
      </c>
      <c r="AU53" s="129">
        <f>IFERROR(I53/$AI53,"")</f>
        <v/>
      </c>
      <c r="AV53" s="129">
        <f>IFERROR(J53/$AI53,"")</f>
        <v/>
      </c>
      <c r="AW53" s="129">
        <f>IFERROR(K53/$AI53,"")</f>
        <v/>
      </c>
      <c r="AX53" s="129">
        <f>IFERROR(L53/$AI53,"")</f>
        <v/>
      </c>
      <c r="AY53" s="129">
        <f>IFERROR(M53/$AI53,"")</f>
        <v/>
      </c>
      <c r="AZ53" s="129">
        <f>IFERROR(N53/$AI53,"")</f>
        <v/>
      </c>
      <c r="BA53" s="129">
        <f>IFERROR(O53/$AI53,"")</f>
        <v/>
      </c>
      <c r="BB53" s="129">
        <f>IFERROR(P53/$AI53,"")</f>
        <v/>
      </c>
      <c r="BC53" s="129">
        <f>IFERROR(AG53/$AI53,"")</f>
        <v/>
      </c>
      <c r="BD53" s="129">
        <f>IFERROR(AH53/$AI53,"")</f>
        <v/>
      </c>
      <c r="BE53" s="129">
        <f>IFERROR(R53/$AI53,"")</f>
        <v/>
      </c>
      <c r="BF53" s="129">
        <f>IFERROR(S53/$AI53,"")</f>
        <v/>
      </c>
      <c r="BG53" s="129">
        <f>IFERROR(T53/$AI53,"")</f>
        <v/>
      </c>
      <c r="BH53" s="129">
        <f>IFERROR(U53/$AI53,"")</f>
        <v/>
      </c>
      <c r="BI53" s="129">
        <f>IFERROR(V53/$AI53,"")</f>
        <v/>
      </c>
      <c r="BJ53" s="129">
        <f>IFERROR(W53/$AI53,"")</f>
        <v/>
      </c>
      <c r="BK53" s="129">
        <f>IFERROR(X53/$AI53,"")</f>
        <v/>
      </c>
      <c r="BL53" s="129">
        <f>IFERROR(Y53/$AI53,"")</f>
        <v/>
      </c>
      <c r="BM53" s="129">
        <f>IFERROR(Z53/$AI53,"")</f>
        <v/>
      </c>
      <c r="BN53" s="129">
        <f>IFERROR(AA53/$AI53,"")</f>
        <v/>
      </c>
      <c r="BO53" s="129">
        <f>IFERROR(AB53/$AI53,"")</f>
        <v/>
      </c>
      <c r="BP53" s="129">
        <f>IFERROR(AC53/$AI53,"")</f>
        <v/>
      </c>
      <c r="BQ53" s="129">
        <f>IFERROR(AD53/$AI53,"")</f>
        <v/>
      </c>
      <c r="BR53" s="129">
        <f>IFERROR(AE53/$AI53,"")</f>
        <v/>
      </c>
      <c r="BS53" s="129">
        <f>IFERROR(AF53/$AI53,"")</f>
        <v/>
      </c>
      <c r="BT53" s="129">
        <f>IFERROR(AG53/$AI53,"")</f>
        <v/>
      </c>
      <c r="BU53" s="129">
        <f>IFERROR(AH53/$AI53,"")</f>
        <v/>
      </c>
      <c r="BV53" s="126">
        <f>SUM(AQ53:BD53)</f>
        <v/>
      </c>
      <c r="BW53" s="126">
        <f>SUM(BE53:BU53)</f>
        <v/>
      </c>
      <c r="BX53" s="126">
        <f>SUM(AQ53:AU53)</f>
        <v/>
      </c>
    </row>
    <row r="54">
      <c r="B54" s="127" t="n"/>
      <c r="C54" s="128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  <c r="AG54" s="125" t="n"/>
      <c r="AH54" s="125" t="n"/>
      <c r="AI54" s="127">
        <f>SUM(D54:AG54,AH54)</f>
        <v/>
      </c>
      <c r="AJ54" s="126">
        <f>(SUM($D54:$Q54))/AI54</f>
        <v/>
      </c>
      <c r="AK54" s="126">
        <f>(SUM($D54:$H54))/AI54</f>
        <v/>
      </c>
      <c r="AL54" s="126">
        <f>(SUM($R54:$AH54))/AI54</f>
        <v/>
      </c>
      <c r="AM54" s="161" t="n"/>
      <c r="AN54" s="125">
        <f>YEAR(C54)</f>
        <v/>
      </c>
      <c r="AO54" s="125">
        <f>MONTH(C54)</f>
        <v/>
      </c>
      <c r="AP54" s="125">
        <f>WEEKNUM(C54,2)</f>
        <v/>
      </c>
      <c r="AQ54" s="129">
        <f>IFERROR(D54/$AI54,"")</f>
        <v/>
      </c>
      <c r="AR54" s="129">
        <f>IFERROR(E54/$AI54,"")</f>
        <v/>
      </c>
      <c r="AS54" s="129">
        <f>IFERROR(F54/$AI54,"")</f>
        <v/>
      </c>
      <c r="AT54" s="129">
        <f>IFERROR(H54/$AI54,"")</f>
        <v/>
      </c>
      <c r="AU54" s="129">
        <f>IFERROR(I54/$AI54,"")</f>
        <v/>
      </c>
      <c r="AV54" s="129">
        <f>IFERROR(J54/$AI54,"")</f>
        <v/>
      </c>
      <c r="AW54" s="129">
        <f>IFERROR(K54/$AI54,"")</f>
        <v/>
      </c>
      <c r="AX54" s="129">
        <f>IFERROR(L54/$AI54,"")</f>
        <v/>
      </c>
      <c r="AY54" s="129">
        <f>IFERROR(M54/$AI54,"")</f>
        <v/>
      </c>
      <c r="AZ54" s="129">
        <f>IFERROR(N54/$AI54,"")</f>
        <v/>
      </c>
      <c r="BA54" s="129">
        <f>IFERROR(O54/$AI54,"")</f>
        <v/>
      </c>
      <c r="BB54" s="129">
        <f>IFERROR(P54/$AI54,"")</f>
        <v/>
      </c>
      <c r="BC54" s="129">
        <f>IFERROR(AG54/$AI54,"")</f>
        <v/>
      </c>
      <c r="BD54" s="129">
        <f>IFERROR(AH54/$AI54,"")</f>
        <v/>
      </c>
      <c r="BE54" s="129">
        <f>IFERROR(R54/$AI54,"")</f>
        <v/>
      </c>
      <c r="BF54" s="129">
        <f>IFERROR(S54/$AI54,"")</f>
        <v/>
      </c>
      <c r="BG54" s="129">
        <f>IFERROR(T54/$AI54,"")</f>
        <v/>
      </c>
      <c r="BH54" s="129">
        <f>IFERROR(U54/$AI54,"")</f>
        <v/>
      </c>
      <c r="BI54" s="129">
        <f>IFERROR(V54/$AI54,"")</f>
        <v/>
      </c>
      <c r="BJ54" s="129">
        <f>IFERROR(W54/$AI54,"")</f>
        <v/>
      </c>
      <c r="BK54" s="129">
        <f>IFERROR(X54/$AI54,"")</f>
        <v/>
      </c>
      <c r="BL54" s="129">
        <f>IFERROR(Y54/$AI54,"")</f>
        <v/>
      </c>
      <c r="BM54" s="129">
        <f>IFERROR(Z54/$AI54,"")</f>
        <v/>
      </c>
      <c r="BN54" s="129">
        <f>IFERROR(AA54/$AI54,"")</f>
        <v/>
      </c>
      <c r="BO54" s="129">
        <f>IFERROR(AB54/$AI54,"")</f>
        <v/>
      </c>
      <c r="BP54" s="129">
        <f>IFERROR(AC54/$AI54,"")</f>
        <v/>
      </c>
      <c r="BQ54" s="129">
        <f>IFERROR(AD54/$AI54,"")</f>
        <v/>
      </c>
      <c r="BR54" s="129">
        <f>IFERROR(AE54/$AI54,"")</f>
        <v/>
      </c>
      <c r="BS54" s="129">
        <f>IFERROR(AF54/$AI54,"")</f>
        <v/>
      </c>
      <c r="BT54" s="129">
        <f>IFERROR(AG54/$AI54,"")</f>
        <v/>
      </c>
      <c r="BU54" s="129">
        <f>IFERROR(AH54/$AI54,"")</f>
        <v/>
      </c>
      <c r="BV54" s="126">
        <f>SUM(AQ54:BD54)</f>
        <v/>
      </c>
      <c r="BW54" s="126">
        <f>SUM(BE54:BU54)</f>
        <v/>
      </c>
      <c r="BX54" s="126">
        <f>SUM(AQ54:AU54)</f>
        <v/>
      </c>
    </row>
    <row r="55">
      <c r="B55" s="127" t="n"/>
      <c r="C55" s="128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  <c r="AG55" s="125" t="n"/>
      <c r="AH55" s="125" t="n"/>
      <c r="AI55" s="127">
        <f>SUM(D55:AG55,AH55)</f>
        <v/>
      </c>
      <c r="AJ55" s="126">
        <f>(SUM($D55:$Q55))/AI55</f>
        <v/>
      </c>
      <c r="AK55" s="126">
        <f>(SUM($D55:$H55))/AI55</f>
        <v/>
      </c>
      <c r="AL55" s="126">
        <f>(SUM($R55:$AH55))/AI55</f>
        <v/>
      </c>
      <c r="AM55" s="161" t="n"/>
      <c r="AN55" s="125">
        <f>YEAR(C55)</f>
        <v/>
      </c>
      <c r="AO55" s="125">
        <f>MONTH(C55)</f>
        <v/>
      </c>
      <c r="AP55" s="125">
        <f>WEEKNUM(C55,2)</f>
        <v/>
      </c>
      <c r="AQ55" s="129">
        <f>IFERROR(D55/$AI55,"")</f>
        <v/>
      </c>
      <c r="AR55" s="129">
        <f>IFERROR(E55/$AI55,"")</f>
        <v/>
      </c>
      <c r="AS55" s="129">
        <f>IFERROR(F55/$AI55,"")</f>
        <v/>
      </c>
      <c r="AT55" s="129">
        <f>IFERROR(H55/$AI55,"")</f>
        <v/>
      </c>
      <c r="AU55" s="129">
        <f>IFERROR(I55/$AI55,"")</f>
        <v/>
      </c>
      <c r="AV55" s="129">
        <f>IFERROR(J55/$AI55,"")</f>
        <v/>
      </c>
      <c r="AW55" s="129">
        <f>IFERROR(K55/$AI55,"")</f>
        <v/>
      </c>
      <c r="AX55" s="129">
        <f>IFERROR(L55/$AI55,"")</f>
        <v/>
      </c>
      <c r="AY55" s="129">
        <f>IFERROR(M55/$AI55,"")</f>
        <v/>
      </c>
      <c r="AZ55" s="129">
        <f>IFERROR(N55/$AI55,"")</f>
        <v/>
      </c>
      <c r="BA55" s="129">
        <f>IFERROR(O55/$AI55,"")</f>
        <v/>
      </c>
      <c r="BB55" s="129">
        <f>IFERROR(P55/$AI55,"")</f>
        <v/>
      </c>
      <c r="BC55" s="129">
        <f>IFERROR(AG55/$AI55,"")</f>
        <v/>
      </c>
      <c r="BD55" s="129">
        <f>IFERROR(AH55/$AI55,"")</f>
        <v/>
      </c>
      <c r="BE55" s="129">
        <f>IFERROR(R55/$AI55,"")</f>
        <v/>
      </c>
      <c r="BF55" s="129">
        <f>IFERROR(S55/$AI55,"")</f>
        <v/>
      </c>
      <c r="BG55" s="129">
        <f>IFERROR(T55/$AI55,"")</f>
        <v/>
      </c>
      <c r="BH55" s="129">
        <f>IFERROR(U55/$AI55,"")</f>
        <v/>
      </c>
      <c r="BI55" s="129">
        <f>IFERROR(V55/$AI55,"")</f>
        <v/>
      </c>
      <c r="BJ55" s="129">
        <f>IFERROR(W55/$AI55,"")</f>
        <v/>
      </c>
      <c r="BK55" s="129">
        <f>IFERROR(X55/$AI55,"")</f>
        <v/>
      </c>
      <c r="BL55" s="129">
        <f>IFERROR(Y55/$AI55,"")</f>
        <v/>
      </c>
      <c r="BM55" s="129">
        <f>IFERROR(Z55/$AI55,"")</f>
        <v/>
      </c>
      <c r="BN55" s="129">
        <f>IFERROR(AA55/$AI55,"")</f>
        <v/>
      </c>
      <c r="BO55" s="129">
        <f>IFERROR(AB55/$AI55,"")</f>
        <v/>
      </c>
      <c r="BP55" s="129">
        <f>IFERROR(AC55/$AI55,"")</f>
        <v/>
      </c>
      <c r="BQ55" s="129">
        <f>IFERROR(AD55/$AI55,"")</f>
        <v/>
      </c>
      <c r="BR55" s="129">
        <f>IFERROR(AE55/$AI55,"")</f>
        <v/>
      </c>
      <c r="BS55" s="129">
        <f>IFERROR(AF55/$AI55,"")</f>
        <v/>
      </c>
      <c r="BT55" s="129">
        <f>IFERROR(AG55/$AI55,"")</f>
        <v/>
      </c>
      <c r="BU55" s="129">
        <f>IFERROR(AH55/$AI55,"")</f>
        <v/>
      </c>
      <c r="BV55" s="126">
        <f>SUM(AQ55:BD55)</f>
        <v/>
      </c>
      <c r="BW55" s="126">
        <f>SUM(BE55:BU55)</f>
        <v/>
      </c>
      <c r="BX55" s="126">
        <f>SUM(AQ55:AU55)</f>
        <v/>
      </c>
    </row>
    <row r="56">
      <c r="B56" s="127" t="n"/>
      <c r="C56" s="128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  <c r="AG56" s="125" t="n"/>
      <c r="AH56" s="125" t="n"/>
      <c r="AI56" s="127">
        <f>SUM(D56:AG56,AH56)</f>
        <v/>
      </c>
      <c r="AJ56" s="126">
        <f>(SUM($D56:$Q56))/AI56</f>
        <v/>
      </c>
      <c r="AK56" s="126">
        <f>(SUM($D56:$H56))/AI56</f>
        <v/>
      </c>
      <c r="AL56" s="126">
        <f>(SUM($R56:$AH56))/AI56</f>
        <v/>
      </c>
      <c r="AM56" s="161" t="n"/>
      <c r="AN56" s="125">
        <f>YEAR(C56)</f>
        <v/>
      </c>
      <c r="AO56" s="125">
        <f>MONTH(C56)</f>
        <v/>
      </c>
      <c r="AP56" s="125">
        <f>WEEKNUM(C56,2)</f>
        <v/>
      </c>
      <c r="AQ56" s="129">
        <f>IFERROR(D56/$AI56,"")</f>
        <v/>
      </c>
      <c r="AR56" s="129">
        <f>IFERROR(E56/$AI56,"")</f>
        <v/>
      </c>
      <c r="AS56" s="129">
        <f>IFERROR(F56/$AI56,"")</f>
        <v/>
      </c>
      <c r="AT56" s="129">
        <f>IFERROR(H56/$AI56,"")</f>
        <v/>
      </c>
      <c r="AU56" s="129">
        <f>IFERROR(I56/$AI56,"")</f>
        <v/>
      </c>
      <c r="AV56" s="129">
        <f>IFERROR(J56/$AI56,"")</f>
        <v/>
      </c>
      <c r="AW56" s="129">
        <f>IFERROR(K56/$AI56,"")</f>
        <v/>
      </c>
      <c r="AX56" s="129">
        <f>IFERROR(L56/$AI56,"")</f>
        <v/>
      </c>
      <c r="AY56" s="129">
        <f>IFERROR(M56/$AI56,"")</f>
        <v/>
      </c>
      <c r="AZ56" s="129">
        <f>IFERROR(N56/$AI56,"")</f>
        <v/>
      </c>
      <c r="BA56" s="129">
        <f>IFERROR(O56/$AI56,"")</f>
        <v/>
      </c>
      <c r="BB56" s="129">
        <f>IFERROR(P56/$AI56,"")</f>
        <v/>
      </c>
      <c r="BC56" s="129">
        <f>IFERROR(AG56/$AI56,"")</f>
        <v/>
      </c>
      <c r="BD56" s="129">
        <f>IFERROR(AH56/$AI56,"")</f>
        <v/>
      </c>
      <c r="BE56" s="129">
        <f>IFERROR(R56/$AI56,"")</f>
        <v/>
      </c>
      <c r="BF56" s="129">
        <f>IFERROR(S56/$AI56,"")</f>
        <v/>
      </c>
      <c r="BG56" s="129">
        <f>IFERROR(T56/$AI56,"")</f>
        <v/>
      </c>
      <c r="BH56" s="129">
        <f>IFERROR(U56/$AI56,"")</f>
        <v/>
      </c>
      <c r="BI56" s="129">
        <f>IFERROR(V56/$AI56,"")</f>
        <v/>
      </c>
      <c r="BJ56" s="129">
        <f>IFERROR(W56/$AI56,"")</f>
        <v/>
      </c>
      <c r="BK56" s="129">
        <f>IFERROR(X56/$AI56,"")</f>
        <v/>
      </c>
      <c r="BL56" s="129">
        <f>IFERROR(Y56/$AI56,"")</f>
        <v/>
      </c>
      <c r="BM56" s="129">
        <f>IFERROR(Z56/$AI56,"")</f>
        <v/>
      </c>
      <c r="BN56" s="129">
        <f>IFERROR(AA56/$AI56,"")</f>
        <v/>
      </c>
      <c r="BO56" s="129">
        <f>IFERROR(AB56/$AI56,"")</f>
        <v/>
      </c>
      <c r="BP56" s="129">
        <f>IFERROR(AC56/$AI56,"")</f>
        <v/>
      </c>
      <c r="BQ56" s="129">
        <f>IFERROR(AD56/$AI56,"")</f>
        <v/>
      </c>
      <c r="BR56" s="129">
        <f>IFERROR(AE56/$AI56,"")</f>
        <v/>
      </c>
      <c r="BS56" s="129">
        <f>IFERROR(AF56/$AI56,"")</f>
        <v/>
      </c>
      <c r="BT56" s="129">
        <f>IFERROR(AG56/$AI56,"")</f>
        <v/>
      </c>
      <c r="BU56" s="129">
        <f>IFERROR(AH56/$AI56,"")</f>
        <v/>
      </c>
      <c r="BV56" s="126">
        <f>SUM(AQ56:BD56)</f>
        <v/>
      </c>
      <c r="BW56" s="126">
        <f>SUM(BE56:BU56)</f>
        <v/>
      </c>
      <c r="BX56" s="126">
        <f>SUM(AQ56:AU56)</f>
        <v/>
      </c>
    </row>
    <row r="57">
      <c r="B57" s="127" t="n"/>
      <c r="C57" s="128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  <c r="AG57" s="125" t="n"/>
      <c r="AH57" s="125" t="n"/>
      <c r="AI57" s="127">
        <f>SUM(D57:AG57,AH57)</f>
        <v/>
      </c>
      <c r="AJ57" s="126">
        <f>(SUM($D57:$Q57))/AI57</f>
        <v/>
      </c>
      <c r="AK57" s="126">
        <f>(SUM($D57:$H57))/AI57</f>
        <v/>
      </c>
      <c r="AL57" s="126">
        <f>(SUM($R57:$AH57))/AI57</f>
        <v/>
      </c>
      <c r="AM57" s="161" t="n"/>
      <c r="AN57" s="125">
        <f>YEAR(C57)</f>
        <v/>
      </c>
      <c r="AO57" s="125">
        <f>MONTH(C57)</f>
        <v/>
      </c>
      <c r="AP57" s="125">
        <f>WEEKNUM(C57,2)</f>
        <v/>
      </c>
      <c r="AQ57" s="129">
        <f>IFERROR(D57/$AI57,"")</f>
        <v/>
      </c>
      <c r="AR57" s="129">
        <f>IFERROR(E57/$AI57,"")</f>
        <v/>
      </c>
      <c r="AS57" s="129">
        <f>IFERROR(F57/$AI57,"")</f>
        <v/>
      </c>
      <c r="AT57" s="129">
        <f>IFERROR(H57/$AI57,"")</f>
        <v/>
      </c>
      <c r="AU57" s="129">
        <f>IFERROR(I57/$AI57,"")</f>
        <v/>
      </c>
      <c r="AV57" s="129">
        <f>IFERROR(J57/$AI57,"")</f>
        <v/>
      </c>
      <c r="AW57" s="129">
        <f>IFERROR(K57/$AI57,"")</f>
        <v/>
      </c>
      <c r="AX57" s="129">
        <f>IFERROR(L57/$AI57,"")</f>
        <v/>
      </c>
      <c r="AY57" s="129">
        <f>IFERROR(M57/$AI57,"")</f>
        <v/>
      </c>
      <c r="AZ57" s="129">
        <f>IFERROR(N57/$AI57,"")</f>
        <v/>
      </c>
      <c r="BA57" s="129">
        <f>IFERROR(O57/$AI57,"")</f>
        <v/>
      </c>
      <c r="BB57" s="129">
        <f>IFERROR(P57/$AI57,"")</f>
        <v/>
      </c>
      <c r="BC57" s="129">
        <f>IFERROR(AG57/$AI57,"")</f>
        <v/>
      </c>
      <c r="BD57" s="129">
        <f>IFERROR(AH57/$AI57,"")</f>
        <v/>
      </c>
      <c r="BE57" s="129">
        <f>IFERROR(R57/$AI57,"")</f>
        <v/>
      </c>
      <c r="BF57" s="129">
        <f>IFERROR(S57/$AI57,"")</f>
        <v/>
      </c>
      <c r="BG57" s="129">
        <f>IFERROR(T57/$AI57,"")</f>
        <v/>
      </c>
      <c r="BH57" s="129">
        <f>IFERROR(U57/$AI57,"")</f>
        <v/>
      </c>
      <c r="BI57" s="129">
        <f>IFERROR(V57/$AI57,"")</f>
        <v/>
      </c>
      <c r="BJ57" s="129">
        <f>IFERROR(W57/$AI57,"")</f>
        <v/>
      </c>
      <c r="BK57" s="129">
        <f>IFERROR(X57/$AI57,"")</f>
        <v/>
      </c>
      <c r="BL57" s="129">
        <f>IFERROR(Y57/$AI57,"")</f>
        <v/>
      </c>
      <c r="BM57" s="129">
        <f>IFERROR(Z57/$AI57,"")</f>
        <v/>
      </c>
      <c r="BN57" s="129">
        <f>IFERROR(AA57/$AI57,"")</f>
        <v/>
      </c>
      <c r="BO57" s="129">
        <f>IFERROR(AB57/$AI57,"")</f>
        <v/>
      </c>
      <c r="BP57" s="129">
        <f>IFERROR(AC57/$AI57,"")</f>
        <v/>
      </c>
      <c r="BQ57" s="129">
        <f>IFERROR(AD57/$AI57,"")</f>
        <v/>
      </c>
      <c r="BR57" s="129">
        <f>IFERROR(AE57/$AI57,"")</f>
        <v/>
      </c>
      <c r="BS57" s="129">
        <f>IFERROR(AF57/$AI57,"")</f>
        <v/>
      </c>
      <c r="BT57" s="129">
        <f>IFERROR(AG57/$AI57,"")</f>
        <v/>
      </c>
      <c r="BU57" s="129">
        <f>IFERROR(AH57/$AI57,"")</f>
        <v/>
      </c>
      <c r="BV57" s="126">
        <f>SUM(AQ57:BD57)</f>
        <v/>
      </c>
      <c r="BW57" s="126">
        <f>SUM(BE57:BU57)</f>
        <v/>
      </c>
      <c r="BX57" s="126">
        <f>SUM(AQ57:AU57)</f>
        <v/>
      </c>
    </row>
    <row r="58">
      <c r="B58" s="130" t="n"/>
      <c r="C58" s="128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  <c r="AG58" s="125" t="n"/>
      <c r="AH58" s="125" t="n"/>
      <c r="AI58" s="127">
        <f>SUM(D58:AG58,AH58)</f>
        <v/>
      </c>
      <c r="AJ58" s="126">
        <f>(SUM($D58:$Q58))/AI58</f>
        <v/>
      </c>
      <c r="AK58" s="126">
        <f>(SUM($D58:$H58))/AI58</f>
        <v/>
      </c>
      <c r="AL58" s="126">
        <f>(SUM($R58:$AH58))/AI58</f>
        <v/>
      </c>
      <c r="AM58" s="161" t="n"/>
      <c r="AN58" s="125">
        <f>YEAR(C58)</f>
        <v/>
      </c>
      <c r="AO58" s="125">
        <f>MONTH(C58)</f>
        <v/>
      </c>
      <c r="AP58" s="125">
        <f>WEEKNUM(C58,2)</f>
        <v/>
      </c>
      <c r="AQ58" s="129">
        <f>IFERROR(D58/$AI58,"")</f>
        <v/>
      </c>
      <c r="AR58" s="129">
        <f>IFERROR(E58/$AI58,"")</f>
        <v/>
      </c>
      <c r="AS58" s="129">
        <f>IFERROR(F58/$AI58,"")</f>
        <v/>
      </c>
      <c r="AT58" s="129">
        <f>IFERROR(H58/$AI58,"")</f>
        <v/>
      </c>
      <c r="AU58" s="129">
        <f>IFERROR(I58/$AI58,"")</f>
        <v/>
      </c>
      <c r="AV58" s="129">
        <f>IFERROR(J58/$AI58,"")</f>
        <v/>
      </c>
      <c r="AW58" s="129">
        <f>IFERROR(K58/$AI58,"")</f>
        <v/>
      </c>
      <c r="AX58" s="129">
        <f>IFERROR(L58/$AI58,"")</f>
        <v/>
      </c>
      <c r="AY58" s="129">
        <f>IFERROR(M58/$AI58,"")</f>
        <v/>
      </c>
      <c r="AZ58" s="129">
        <f>IFERROR(N58/$AI58,"")</f>
        <v/>
      </c>
      <c r="BA58" s="129">
        <f>IFERROR(O58/$AI58,"")</f>
        <v/>
      </c>
      <c r="BB58" s="129">
        <f>IFERROR(P58/$AI58,"")</f>
        <v/>
      </c>
      <c r="BC58" s="129">
        <f>IFERROR(AG58/$AI58,"")</f>
        <v/>
      </c>
      <c r="BD58" s="129">
        <f>IFERROR(AH58/$AI58,"")</f>
        <v/>
      </c>
      <c r="BE58" s="129">
        <f>IFERROR(R58/$AI58,"")</f>
        <v/>
      </c>
      <c r="BF58" s="129">
        <f>IFERROR(S58/$AI58,"")</f>
        <v/>
      </c>
      <c r="BG58" s="129">
        <f>IFERROR(T58/$AI58,"")</f>
        <v/>
      </c>
      <c r="BH58" s="129">
        <f>IFERROR(U58/$AI58,"")</f>
        <v/>
      </c>
      <c r="BI58" s="129">
        <f>IFERROR(V58/$AI58,"")</f>
        <v/>
      </c>
      <c r="BJ58" s="129">
        <f>IFERROR(W58/$AI58,"")</f>
        <v/>
      </c>
      <c r="BK58" s="129">
        <f>IFERROR(X58/$AI58,"")</f>
        <v/>
      </c>
      <c r="BL58" s="129">
        <f>IFERROR(Y58/$AI58,"")</f>
        <v/>
      </c>
      <c r="BM58" s="129">
        <f>IFERROR(Z58/$AI58,"")</f>
        <v/>
      </c>
      <c r="BN58" s="129">
        <f>IFERROR(AA58/$AI58,"")</f>
        <v/>
      </c>
      <c r="BO58" s="129">
        <f>IFERROR(AB58/$AI58,"")</f>
        <v/>
      </c>
      <c r="BP58" s="129">
        <f>IFERROR(AC58/$AI58,"")</f>
        <v/>
      </c>
      <c r="BQ58" s="129">
        <f>IFERROR(AD58/$AI58,"")</f>
        <v/>
      </c>
      <c r="BR58" s="129">
        <f>IFERROR(AE58/$AI58,"")</f>
        <v/>
      </c>
      <c r="BS58" s="129">
        <f>IFERROR(AF58/$AI58,"")</f>
        <v/>
      </c>
      <c r="BT58" s="129">
        <f>IFERROR(AG58/$AI58,"")</f>
        <v/>
      </c>
      <c r="BU58" s="129">
        <f>IFERROR(AH58/$AI58,"")</f>
        <v/>
      </c>
      <c r="BV58" s="126">
        <f>SUM(AQ58:BD58)</f>
        <v/>
      </c>
      <c r="BW58" s="126">
        <f>SUM(BE58:BU58)</f>
        <v/>
      </c>
      <c r="BX58" s="126">
        <f>SUM(AQ58:AU58)</f>
        <v/>
      </c>
    </row>
    <row r="59">
      <c r="B59" s="127" t="n"/>
      <c r="C59" s="128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  <c r="AG59" s="125" t="n"/>
      <c r="AH59" s="125" t="n"/>
      <c r="AI59" s="127">
        <f>SUM(D59:AG59,AH59)</f>
        <v/>
      </c>
      <c r="AJ59" s="126">
        <f>(SUM($D59:$Q59))/AI59</f>
        <v/>
      </c>
      <c r="AK59" s="126">
        <f>(SUM($D59:$H59))/AI59</f>
        <v/>
      </c>
      <c r="AL59" s="126">
        <f>(SUM($R59:$AH59))/AI59</f>
        <v/>
      </c>
      <c r="AM59" s="161" t="n"/>
      <c r="AN59" s="125">
        <f>YEAR(C59)</f>
        <v/>
      </c>
      <c r="AO59" s="125">
        <f>MONTH(C59)</f>
        <v/>
      </c>
      <c r="AP59" s="125">
        <f>WEEKNUM(C59,2)</f>
        <v/>
      </c>
      <c r="AQ59" s="129">
        <f>IFERROR(D59/$AI59,"")</f>
        <v/>
      </c>
      <c r="AR59" s="129">
        <f>IFERROR(E59/$AI59,"")</f>
        <v/>
      </c>
      <c r="AS59" s="129">
        <f>IFERROR(F59/$AI59,"")</f>
        <v/>
      </c>
      <c r="AT59" s="129">
        <f>IFERROR(H59/$AI59,"")</f>
        <v/>
      </c>
      <c r="AU59" s="129">
        <f>IFERROR(I59/$AI59,"")</f>
        <v/>
      </c>
      <c r="AV59" s="129">
        <f>IFERROR(J59/$AI59,"")</f>
        <v/>
      </c>
      <c r="AW59" s="129">
        <f>IFERROR(K59/$AI59,"")</f>
        <v/>
      </c>
      <c r="AX59" s="129">
        <f>IFERROR(L59/$AI59,"")</f>
        <v/>
      </c>
      <c r="AY59" s="129">
        <f>IFERROR(M59/$AI59,"")</f>
        <v/>
      </c>
      <c r="AZ59" s="129">
        <f>IFERROR(N59/$AI59,"")</f>
        <v/>
      </c>
      <c r="BA59" s="129">
        <f>IFERROR(O59/$AI59,"")</f>
        <v/>
      </c>
      <c r="BB59" s="129">
        <f>IFERROR(P59/$AI59,"")</f>
        <v/>
      </c>
      <c r="BC59" s="129">
        <f>IFERROR(AG59/$AI59,"")</f>
        <v/>
      </c>
      <c r="BD59" s="129">
        <f>IFERROR(AH59/$AI59,"")</f>
        <v/>
      </c>
      <c r="BE59" s="129">
        <f>IFERROR(R59/$AI59,"")</f>
        <v/>
      </c>
      <c r="BF59" s="129">
        <f>IFERROR(S59/$AI59,"")</f>
        <v/>
      </c>
      <c r="BG59" s="129">
        <f>IFERROR(T59/$AI59,"")</f>
        <v/>
      </c>
      <c r="BH59" s="129">
        <f>IFERROR(U59/$AI59,"")</f>
        <v/>
      </c>
      <c r="BI59" s="129">
        <f>IFERROR(V59/$AI59,"")</f>
        <v/>
      </c>
      <c r="BJ59" s="129">
        <f>IFERROR(W59/$AI59,"")</f>
        <v/>
      </c>
      <c r="BK59" s="129">
        <f>IFERROR(X59/$AI59,"")</f>
        <v/>
      </c>
      <c r="BL59" s="129">
        <f>IFERROR(Y59/$AI59,"")</f>
        <v/>
      </c>
      <c r="BM59" s="129">
        <f>IFERROR(Z59/$AI59,"")</f>
        <v/>
      </c>
      <c r="BN59" s="129">
        <f>IFERROR(AA59/$AI59,"")</f>
        <v/>
      </c>
      <c r="BO59" s="129">
        <f>IFERROR(AB59/$AI59,"")</f>
        <v/>
      </c>
      <c r="BP59" s="129">
        <f>IFERROR(AC59/$AI59,"")</f>
        <v/>
      </c>
      <c r="BQ59" s="129">
        <f>IFERROR(AD59/$AI59,"")</f>
        <v/>
      </c>
      <c r="BR59" s="129">
        <f>IFERROR(AE59/$AI59,"")</f>
        <v/>
      </c>
      <c r="BS59" s="129">
        <f>IFERROR(AF59/$AI59,"")</f>
        <v/>
      </c>
      <c r="BT59" s="129">
        <f>IFERROR(AG59/$AI59,"")</f>
        <v/>
      </c>
      <c r="BU59" s="129">
        <f>IFERROR(AH59/$AI59,"")</f>
        <v/>
      </c>
      <c r="BV59" s="126">
        <f>SUM(AQ59:BD59)</f>
        <v/>
      </c>
      <c r="BW59" s="126">
        <f>SUM(BE59:BU59)</f>
        <v/>
      </c>
      <c r="BX59" s="126">
        <f>SUM(AQ59:AU59)</f>
        <v/>
      </c>
    </row>
    <row r="60" ht="13.5" customHeight="1" s="215">
      <c r="B60" s="127" t="n"/>
      <c r="C60" s="128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  <c r="AG60" s="125" t="n"/>
      <c r="AH60" s="125" t="n"/>
      <c r="AI60" s="127">
        <f>SUM(D60:AG60,AH60)</f>
        <v/>
      </c>
      <c r="AJ60" s="126">
        <f>(SUM($D60:$Q60))/AI60</f>
        <v/>
      </c>
      <c r="AK60" s="126">
        <f>(SUM($D60:$H60))/AI60</f>
        <v/>
      </c>
      <c r="AL60" s="126">
        <f>(SUM($R60:$AH60))/AI60</f>
        <v/>
      </c>
      <c r="AM60" s="161" t="n"/>
      <c r="AN60" s="125">
        <f>YEAR(C60)</f>
        <v/>
      </c>
      <c r="AO60" s="125">
        <f>MONTH(C60)</f>
        <v/>
      </c>
      <c r="AP60" s="125">
        <f>WEEKNUM(C60,2)</f>
        <v/>
      </c>
      <c r="AQ60" s="129">
        <f>IFERROR(D60/$AI60,"")</f>
        <v/>
      </c>
      <c r="AR60" s="129">
        <f>IFERROR(E60/$AI60,"")</f>
        <v/>
      </c>
      <c r="AS60" s="129">
        <f>IFERROR(F60/$AI60,"")</f>
        <v/>
      </c>
      <c r="AT60" s="129">
        <f>IFERROR(H60/$AI60,"")</f>
        <v/>
      </c>
      <c r="AU60" s="129">
        <f>IFERROR(I60/$AI60,"")</f>
        <v/>
      </c>
      <c r="AV60" s="129">
        <f>IFERROR(J60/$AI60,"")</f>
        <v/>
      </c>
      <c r="AW60" s="129">
        <f>IFERROR(K60/$AI60,"")</f>
        <v/>
      </c>
      <c r="AX60" s="129">
        <f>IFERROR(L60/$AI60,"")</f>
        <v/>
      </c>
      <c r="AY60" s="129">
        <f>IFERROR(M60/$AI60,"")</f>
        <v/>
      </c>
      <c r="AZ60" s="129">
        <f>IFERROR(N60/$AI60,"")</f>
        <v/>
      </c>
      <c r="BA60" s="129">
        <f>IFERROR(O60/$AI60,"")</f>
        <v/>
      </c>
      <c r="BB60" s="129">
        <f>IFERROR(P60/$AI60,"")</f>
        <v/>
      </c>
      <c r="BC60" s="129">
        <f>IFERROR(AG60/$AI60,"")</f>
        <v/>
      </c>
      <c r="BD60" s="129">
        <f>IFERROR(AH60/$AI60,"")</f>
        <v/>
      </c>
      <c r="BE60" s="129">
        <f>IFERROR(R60/$AI60,"")</f>
        <v/>
      </c>
      <c r="BF60" s="129">
        <f>IFERROR(S60/$AI60,"")</f>
        <v/>
      </c>
      <c r="BG60" s="129">
        <f>IFERROR(T60/$AI60,"")</f>
        <v/>
      </c>
      <c r="BH60" s="129">
        <f>IFERROR(U60/$AI60,"")</f>
        <v/>
      </c>
      <c r="BI60" s="129">
        <f>IFERROR(V60/$AI60,"")</f>
        <v/>
      </c>
      <c r="BJ60" s="129">
        <f>IFERROR(W60/$AI60,"")</f>
        <v/>
      </c>
      <c r="BK60" s="129">
        <f>IFERROR(X60/$AI60,"")</f>
        <v/>
      </c>
      <c r="BL60" s="129">
        <f>IFERROR(Y60/$AI60,"")</f>
        <v/>
      </c>
      <c r="BM60" s="129">
        <f>IFERROR(Z60/$AI60,"")</f>
        <v/>
      </c>
      <c r="BN60" s="129">
        <f>IFERROR(AA60/$AI60,"")</f>
        <v/>
      </c>
      <c r="BO60" s="129">
        <f>IFERROR(AB60/$AI60,"")</f>
        <v/>
      </c>
      <c r="BP60" s="129">
        <f>IFERROR(AC60/$AI60,"")</f>
        <v/>
      </c>
      <c r="BQ60" s="129">
        <f>IFERROR(AD60/$AI60,"")</f>
        <v/>
      </c>
      <c r="BR60" s="129">
        <f>IFERROR(AE60/$AI60,"")</f>
        <v/>
      </c>
      <c r="BS60" s="129">
        <f>IFERROR(AF60/$AI60,"")</f>
        <v/>
      </c>
      <c r="BT60" s="129">
        <f>IFERROR(AG60/$AI60,"")</f>
        <v/>
      </c>
      <c r="BU60" s="129">
        <f>IFERROR(AH60/$AI60,"")</f>
        <v/>
      </c>
      <c r="BV60" s="126">
        <f>SUM(AQ60:BD60)</f>
        <v/>
      </c>
      <c r="BW60" s="126">
        <f>SUM(BE60:BU60)</f>
        <v/>
      </c>
      <c r="BX60" s="126">
        <f>SUM(AQ60:AU60)</f>
        <v/>
      </c>
    </row>
    <row r="61" ht="13.5" customHeight="1" s="215">
      <c r="B61" s="127" t="n"/>
      <c r="C61" s="128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  <c r="AG61" s="125" t="n"/>
      <c r="AH61" s="125" t="n"/>
      <c r="AI61" s="127">
        <f>SUM(D61:AG61,AH61)</f>
        <v/>
      </c>
      <c r="AJ61" s="126">
        <f>(SUM($D61:$Q61))/AI61</f>
        <v/>
      </c>
      <c r="AK61" s="126">
        <f>(SUM($D61:$H61))/AI61</f>
        <v/>
      </c>
      <c r="AL61" s="126">
        <f>(SUM($R61:$AH61))/AI61</f>
        <v/>
      </c>
      <c r="AM61" s="161" t="n"/>
      <c r="AN61" s="125">
        <f>YEAR(C61)</f>
        <v/>
      </c>
      <c r="AO61" s="125">
        <f>MONTH(C61)</f>
        <v/>
      </c>
      <c r="AP61" s="125">
        <f>WEEKNUM(C61,2)</f>
        <v/>
      </c>
      <c r="AQ61" s="129">
        <f>IFERROR(D61/$AI61,"")</f>
        <v/>
      </c>
      <c r="AR61" s="129">
        <f>IFERROR(E61/$AI61,"")</f>
        <v/>
      </c>
      <c r="AS61" s="129">
        <f>IFERROR(F61/$AI61,"")</f>
        <v/>
      </c>
      <c r="AT61" s="129">
        <f>IFERROR(H61/$AI61,"")</f>
        <v/>
      </c>
      <c r="AU61" s="129">
        <f>IFERROR(I61/$AI61,"")</f>
        <v/>
      </c>
      <c r="AV61" s="129">
        <f>IFERROR(J61/$AI61,"")</f>
        <v/>
      </c>
      <c r="AW61" s="129">
        <f>IFERROR(K61/$AI61,"")</f>
        <v/>
      </c>
      <c r="AX61" s="129">
        <f>IFERROR(L61/$AI61,"")</f>
        <v/>
      </c>
      <c r="AY61" s="129">
        <f>IFERROR(M61/$AI61,"")</f>
        <v/>
      </c>
      <c r="AZ61" s="129">
        <f>IFERROR(N61/$AI61,"")</f>
        <v/>
      </c>
      <c r="BA61" s="129">
        <f>IFERROR(O61/$AI61,"")</f>
        <v/>
      </c>
      <c r="BB61" s="129">
        <f>IFERROR(P61/$AI61,"")</f>
        <v/>
      </c>
      <c r="BC61" s="129">
        <f>IFERROR(AG61/$AI61,"")</f>
        <v/>
      </c>
      <c r="BD61" s="129">
        <f>IFERROR(AH61/$AI61,"")</f>
        <v/>
      </c>
      <c r="BE61" s="129">
        <f>IFERROR(R61/$AI61,"")</f>
        <v/>
      </c>
      <c r="BF61" s="129">
        <f>IFERROR(S61/$AI61,"")</f>
        <v/>
      </c>
      <c r="BG61" s="129">
        <f>IFERROR(T61/$AI61,"")</f>
        <v/>
      </c>
      <c r="BH61" s="129">
        <f>IFERROR(U61/$AI61,"")</f>
        <v/>
      </c>
      <c r="BI61" s="129">
        <f>IFERROR(V61/$AI61,"")</f>
        <v/>
      </c>
      <c r="BJ61" s="129">
        <f>IFERROR(W61/$AI61,"")</f>
        <v/>
      </c>
      <c r="BK61" s="129">
        <f>IFERROR(X61/$AI61,"")</f>
        <v/>
      </c>
      <c r="BL61" s="129">
        <f>IFERROR(Y61/$AI61,"")</f>
        <v/>
      </c>
      <c r="BM61" s="129">
        <f>IFERROR(Z61/$AI61,"")</f>
        <v/>
      </c>
      <c r="BN61" s="129">
        <f>IFERROR(AA61/$AI61,"")</f>
        <v/>
      </c>
      <c r="BO61" s="129">
        <f>IFERROR(AB61/$AI61,"")</f>
        <v/>
      </c>
      <c r="BP61" s="129">
        <f>IFERROR(AC61/$AI61,"")</f>
        <v/>
      </c>
      <c r="BQ61" s="129">
        <f>IFERROR(AD61/$AI61,"")</f>
        <v/>
      </c>
      <c r="BR61" s="129">
        <f>IFERROR(AE61/$AI61,"")</f>
        <v/>
      </c>
      <c r="BS61" s="129">
        <f>IFERROR(AF61/$AI61,"")</f>
        <v/>
      </c>
      <c r="BT61" s="129">
        <f>IFERROR(AG61/$AI61,"")</f>
        <v/>
      </c>
      <c r="BU61" s="129">
        <f>IFERROR(AH61/$AI61,"")</f>
        <v/>
      </c>
      <c r="BV61" s="126">
        <f>SUM(AQ61:BD61)</f>
        <v/>
      </c>
      <c r="BW61" s="126">
        <f>SUM(BE61:BU61)</f>
        <v/>
      </c>
      <c r="BX61" s="126">
        <f>SUM(AQ61:AU61)</f>
        <v/>
      </c>
    </row>
    <row r="62" ht="13.5" customHeight="1" s="215">
      <c r="B62" s="127" t="n"/>
      <c r="C62" s="128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  <c r="AG62" s="125" t="n"/>
      <c r="AH62" s="125" t="n"/>
      <c r="AI62" s="127">
        <f>SUM(D62:AG62,AH62)</f>
        <v/>
      </c>
      <c r="AJ62" s="126">
        <f>(SUM($D62:$Q62))/AI62</f>
        <v/>
      </c>
      <c r="AK62" s="126">
        <f>(SUM($D62:$H62))/AI62</f>
        <v/>
      </c>
      <c r="AL62" s="126">
        <f>(SUM($R62:$AH62))/AI62</f>
        <v/>
      </c>
      <c r="AM62" s="161" t="n"/>
      <c r="AN62" s="125">
        <f>YEAR(C62)</f>
        <v/>
      </c>
      <c r="AO62" s="125">
        <f>MONTH(C62)</f>
        <v/>
      </c>
      <c r="AP62" s="125">
        <f>WEEKNUM(C62,2)</f>
        <v/>
      </c>
      <c r="AQ62" s="129">
        <f>IFERROR(D62/$AI62,"")</f>
        <v/>
      </c>
      <c r="AR62" s="129">
        <f>IFERROR(E62/$AI62,"")</f>
        <v/>
      </c>
      <c r="AS62" s="129">
        <f>IFERROR(F62/$AI62,"")</f>
        <v/>
      </c>
      <c r="AT62" s="129">
        <f>IFERROR(H62/$AI62,"")</f>
        <v/>
      </c>
      <c r="AU62" s="129">
        <f>IFERROR(I62/$AI62,"")</f>
        <v/>
      </c>
      <c r="AV62" s="129">
        <f>IFERROR(J62/$AI62,"")</f>
        <v/>
      </c>
      <c r="AW62" s="129">
        <f>IFERROR(K62/$AI62,"")</f>
        <v/>
      </c>
      <c r="AX62" s="129">
        <f>IFERROR(L62/$AI62,"")</f>
        <v/>
      </c>
      <c r="AY62" s="129">
        <f>IFERROR(M62/$AI62,"")</f>
        <v/>
      </c>
      <c r="AZ62" s="129">
        <f>IFERROR(N62/$AI62,"")</f>
        <v/>
      </c>
      <c r="BA62" s="129">
        <f>IFERROR(O62/$AI62,"")</f>
        <v/>
      </c>
      <c r="BB62" s="129">
        <f>IFERROR(P62/$AI62,"")</f>
        <v/>
      </c>
      <c r="BC62" s="129">
        <f>IFERROR(AG62/$AI62,"")</f>
        <v/>
      </c>
      <c r="BD62" s="129">
        <f>IFERROR(AH62/$AI62,"")</f>
        <v/>
      </c>
      <c r="BE62" s="129">
        <f>IFERROR(R62/$AI62,"")</f>
        <v/>
      </c>
      <c r="BF62" s="129">
        <f>IFERROR(S62/$AI62,"")</f>
        <v/>
      </c>
      <c r="BG62" s="129">
        <f>IFERROR(T62/$AI62,"")</f>
        <v/>
      </c>
      <c r="BH62" s="129">
        <f>IFERROR(U62/$AI62,"")</f>
        <v/>
      </c>
      <c r="BI62" s="129">
        <f>IFERROR(V62/$AI62,"")</f>
        <v/>
      </c>
      <c r="BJ62" s="129">
        <f>IFERROR(W62/$AI62,"")</f>
        <v/>
      </c>
      <c r="BK62" s="129">
        <f>IFERROR(X62/$AI62,"")</f>
        <v/>
      </c>
      <c r="BL62" s="129">
        <f>IFERROR(Y62/$AI62,"")</f>
        <v/>
      </c>
      <c r="BM62" s="129">
        <f>IFERROR(Z62/$AI62,"")</f>
        <v/>
      </c>
      <c r="BN62" s="129">
        <f>IFERROR(AA62/$AI62,"")</f>
        <v/>
      </c>
      <c r="BO62" s="129">
        <f>IFERROR(AB62/$AI62,"")</f>
        <v/>
      </c>
      <c r="BP62" s="129">
        <f>IFERROR(AC62/$AI62,"")</f>
        <v/>
      </c>
      <c r="BQ62" s="129">
        <f>IFERROR(AD62/$AI62,"")</f>
        <v/>
      </c>
      <c r="BR62" s="129">
        <f>IFERROR(AE62/$AI62,"")</f>
        <v/>
      </c>
      <c r="BS62" s="129">
        <f>IFERROR(AF62/$AI62,"")</f>
        <v/>
      </c>
      <c r="BT62" s="129">
        <f>IFERROR(AG62/$AI62,"")</f>
        <v/>
      </c>
      <c r="BU62" s="129">
        <f>IFERROR(AH62/$AI62,"")</f>
        <v/>
      </c>
      <c r="BV62" s="126">
        <f>SUM(AQ62:BD62)</f>
        <v/>
      </c>
      <c r="BW62" s="126">
        <f>SUM(BE62:BU62)</f>
        <v/>
      </c>
      <c r="BX62" s="126">
        <f>SUM(AQ62:AU62)</f>
        <v/>
      </c>
    </row>
    <row r="63" ht="13.5" customHeight="1" s="215">
      <c r="B63" s="127" t="n"/>
      <c r="C63" s="128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  <c r="AG63" s="125" t="n"/>
      <c r="AH63" s="125" t="n"/>
      <c r="AI63" s="127">
        <f>SUM(D63:AG63,AH63)</f>
        <v/>
      </c>
      <c r="AJ63" s="126">
        <f>(SUM($D63:$Q63))/AI63</f>
        <v/>
      </c>
      <c r="AK63" s="126">
        <f>(SUM($D63:$H63))/AI63</f>
        <v/>
      </c>
      <c r="AL63" s="126">
        <f>(SUM($R63:$AH63))/AI63</f>
        <v/>
      </c>
      <c r="AM63" s="161" t="n"/>
      <c r="AN63" s="125">
        <f>YEAR(C63)</f>
        <v/>
      </c>
      <c r="AO63" s="125">
        <f>MONTH(C63)</f>
        <v/>
      </c>
      <c r="AP63" s="125">
        <f>WEEKNUM(C63,2)</f>
        <v/>
      </c>
      <c r="AQ63" s="129">
        <f>IFERROR(D63/$AI63,"")</f>
        <v/>
      </c>
      <c r="AR63" s="129">
        <f>IFERROR(E63/$AI63,"")</f>
        <v/>
      </c>
      <c r="AS63" s="129">
        <f>IFERROR(F63/$AI63,"")</f>
        <v/>
      </c>
      <c r="AT63" s="129">
        <f>IFERROR(H63/$AI63,"")</f>
        <v/>
      </c>
      <c r="AU63" s="129">
        <f>IFERROR(I63/$AI63,"")</f>
        <v/>
      </c>
      <c r="AV63" s="129">
        <f>IFERROR(J63/$AI63,"")</f>
        <v/>
      </c>
      <c r="AW63" s="129">
        <f>IFERROR(K63/$AI63,"")</f>
        <v/>
      </c>
      <c r="AX63" s="129">
        <f>IFERROR(L63/$AI63,"")</f>
        <v/>
      </c>
      <c r="AY63" s="129">
        <f>IFERROR(M63/$AI63,"")</f>
        <v/>
      </c>
      <c r="AZ63" s="129">
        <f>IFERROR(N63/$AI63,"")</f>
        <v/>
      </c>
      <c r="BA63" s="129">
        <f>IFERROR(O63/$AI63,"")</f>
        <v/>
      </c>
      <c r="BB63" s="129">
        <f>IFERROR(P63/$AI63,"")</f>
        <v/>
      </c>
      <c r="BC63" s="129">
        <f>IFERROR(AG63/$AI63,"")</f>
        <v/>
      </c>
      <c r="BD63" s="129">
        <f>IFERROR(AH63/$AI63,"")</f>
        <v/>
      </c>
      <c r="BE63" s="129">
        <f>IFERROR(R63/$AI63,"")</f>
        <v/>
      </c>
      <c r="BF63" s="129">
        <f>IFERROR(S63/$AI63,"")</f>
        <v/>
      </c>
      <c r="BG63" s="129">
        <f>IFERROR(T63/$AI63,"")</f>
        <v/>
      </c>
      <c r="BH63" s="129">
        <f>IFERROR(U63/$AI63,"")</f>
        <v/>
      </c>
      <c r="BI63" s="129">
        <f>IFERROR(V63/$AI63,"")</f>
        <v/>
      </c>
      <c r="BJ63" s="129">
        <f>IFERROR(W63/$AI63,"")</f>
        <v/>
      </c>
      <c r="BK63" s="129">
        <f>IFERROR(X63/$AI63,"")</f>
        <v/>
      </c>
      <c r="BL63" s="129">
        <f>IFERROR(Y63/$AI63,"")</f>
        <v/>
      </c>
      <c r="BM63" s="129">
        <f>IFERROR(Z63/$AI63,"")</f>
        <v/>
      </c>
      <c r="BN63" s="129">
        <f>IFERROR(AA63/$AI63,"")</f>
        <v/>
      </c>
      <c r="BO63" s="129">
        <f>IFERROR(AB63/$AI63,"")</f>
        <v/>
      </c>
      <c r="BP63" s="129">
        <f>IFERROR(AC63/$AI63,"")</f>
        <v/>
      </c>
      <c r="BQ63" s="129">
        <f>IFERROR(AD63/$AI63,"")</f>
        <v/>
      </c>
      <c r="BR63" s="129">
        <f>IFERROR(AE63/$AI63,"")</f>
        <v/>
      </c>
      <c r="BS63" s="129">
        <f>IFERROR(AF63/$AI63,"")</f>
        <v/>
      </c>
      <c r="BT63" s="129">
        <f>IFERROR(AG63/$AI63,"")</f>
        <v/>
      </c>
      <c r="BU63" s="129">
        <f>IFERROR(AH63/$AI63,"")</f>
        <v/>
      </c>
      <c r="BV63" s="126">
        <f>SUM(AQ63:BD63)</f>
        <v/>
      </c>
      <c r="BW63" s="126">
        <f>SUM(BE63:BU63)</f>
        <v/>
      </c>
      <c r="BX63" s="126">
        <f>SUM(AQ63:AU63)</f>
        <v/>
      </c>
    </row>
    <row r="64">
      <c r="B64" s="127" t="n"/>
      <c r="C64" s="128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  <c r="AG64" s="125" t="n"/>
      <c r="AH64" s="125" t="n"/>
      <c r="AI64" s="127">
        <f>SUM(D64:AG64,AH64)</f>
        <v/>
      </c>
      <c r="AJ64" s="126">
        <f>(SUM($D64:$Q64))/AI64</f>
        <v/>
      </c>
      <c r="AK64" s="126">
        <f>(SUM($D64:$H64))/AI64</f>
        <v/>
      </c>
      <c r="AL64" s="126">
        <f>(SUM($R64:$AH64))/AI64</f>
        <v/>
      </c>
      <c r="AM64" s="161" t="n"/>
      <c r="AN64" s="125" t="n">
        <v>2021</v>
      </c>
      <c r="AO64" s="125">
        <f>MONTH(C64)</f>
        <v/>
      </c>
      <c r="AP64" s="125">
        <f>WEEKNUM(C64,2)</f>
        <v/>
      </c>
      <c r="AQ64" s="129">
        <f>IFERROR(D64/$AI64,"")</f>
        <v/>
      </c>
      <c r="AR64" s="129">
        <f>IFERROR(E64/$AI64,"")</f>
        <v/>
      </c>
      <c r="AS64" s="129">
        <f>IFERROR(F64/$AI64,"")</f>
        <v/>
      </c>
      <c r="AT64" s="129">
        <f>IFERROR(H64/$AI64,"")</f>
        <v/>
      </c>
      <c r="AU64" s="129">
        <f>IFERROR(I64/$AI64,"")</f>
        <v/>
      </c>
      <c r="AV64" s="129">
        <f>IFERROR(J64/$AI64,"")</f>
        <v/>
      </c>
      <c r="AW64" s="129">
        <f>IFERROR(K64/$AI64,"")</f>
        <v/>
      </c>
      <c r="AX64" s="129">
        <f>IFERROR(L64/$AI64,"")</f>
        <v/>
      </c>
      <c r="AY64" s="129">
        <f>IFERROR(M64/$AI64,"")</f>
        <v/>
      </c>
      <c r="AZ64" s="129">
        <f>IFERROR(N64/$AI64,"")</f>
        <v/>
      </c>
      <c r="BA64" s="129">
        <f>IFERROR(O64/$AI64,"")</f>
        <v/>
      </c>
      <c r="BB64" s="129">
        <f>IFERROR(P64/$AI64,"")</f>
        <v/>
      </c>
      <c r="BC64" s="129">
        <f>IFERROR(AG64/$AI64,"")</f>
        <v/>
      </c>
      <c r="BD64" s="129">
        <f>IFERROR(AH64/$AI64,"")</f>
        <v/>
      </c>
      <c r="BE64" s="129">
        <f>IFERROR(R64/$AI64,"")</f>
        <v/>
      </c>
      <c r="BF64" s="129">
        <f>IFERROR(S64/$AI64,"")</f>
        <v/>
      </c>
      <c r="BG64" s="129">
        <f>IFERROR(T64/$AI64,"")</f>
        <v/>
      </c>
      <c r="BH64" s="129">
        <f>IFERROR(U64/$AI64,"")</f>
        <v/>
      </c>
      <c r="BI64" s="129">
        <f>IFERROR(V64/$AI64,"")</f>
        <v/>
      </c>
      <c r="BJ64" s="129">
        <f>IFERROR(W64/$AI64,"")</f>
        <v/>
      </c>
      <c r="BK64" s="129">
        <f>IFERROR(X64/$AI64,"")</f>
        <v/>
      </c>
      <c r="BL64" s="129">
        <f>IFERROR(Y64/$AI64,"")</f>
        <v/>
      </c>
      <c r="BM64" s="129">
        <f>IFERROR(Z64/$AI64,"")</f>
        <v/>
      </c>
      <c r="BN64" s="129">
        <f>IFERROR(AA64/$AI64,"")</f>
        <v/>
      </c>
      <c r="BO64" s="129">
        <f>IFERROR(AB64/$AI64,"")</f>
        <v/>
      </c>
      <c r="BP64" s="129">
        <f>IFERROR(AC64/$AI64,"")</f>
        <v/>
      </c>
      <c r="BQ64" s="129">
        <f>IFERROR(AD64/$AI64,"")</f>
        <v/>
      </c>
      <c r="BR64" s="129">
        <f>IFERROR(AE64/$AI64,"")</f>
        <v/>
      </c>
      <c r="BS64" s="129">
        <f>IFERROR(AF64/$AI64,"")</f>
        <v/>
      </c>
      <c r="BT64" s="129">
        <f>IFERROR(AG64/$AI64,"")</f>
        <v/>
      </c>
      <c r="BU64" s="129">
        <f>IFERROR(AH64/$AI64,"")</f>
        <v/>
      </c>
      <c r="BV64" s="126">
        <f>SUM(AQ64:BD64)</f>
        <v/>
      </c>
      <c r="BW64" s="126">
        <f>SUM(BE64:BU64)</f>
        <v/>
      </c>
      <c r="BX64" s="126">
        <f>SUM(AQ64:AU64)</f>
        <v/>
      </c>
    </row>
    <row r="65">
      <c r="B65" s="127" t="n"/>
      <c r="C65" s="128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  <c r="AG65" s="125" t="n"/>
      <c r="AH65" s="125" t="n"/>
      <c r="AI65" s="127">
        <f>SUM(D65:AG65,AH65)</f>
        <v/>
      </c>
      <c r="AJ65" s="126">
        <f>(SUM($D65:$Q65))/AI65</f>
        <v/>
      </c>
      <c r="AK65" s="126">
        <f>(SUM($D65:$H65))/AI65</f>
        <v/>
      </c>
      <c r="AL65" s="126">
        <f>(SUM($R65:$AH65))/AI65</f>
        <v/>
      </c>
      <c r="AM65" s="161" t="n"/>
      <c r="AN65" s="125">
        <f>YEAR(C65)</f>
        <v/>
      </c>
      <c r="AO65" s="125">
        <f>MONTH(C65)</f>
        <v/>
      </c>
      <c r="AP65" s="125">
        <f>WEEKNUM(C65,2)</f>
        <v/>
      </c>
      <c r="AQ65" s="129">
        <f>IFERROR(D65/$AI65,"")</f>
        <v/>
      </c>
      <c r="AR65" s="129">
        <f>IFERROR(E65/$AI65,"")</f>
        <v/>
      </c>
      <c r="AS65" s="129">
        <f>IFERROR(F65/$AI65,"")</f>
        <v/>
      </c>
      <c r="AT65" s="129">
        <f>IFERROR(H65/$AI65,"")</f>
        <v/>
      </c>
      <c r="AU65" s="129">
        <f>IFERROR(I65/$AI65,"")</f>
        <v/>
      </c>
      <c r="AV65" s="129">
        <f>IFERROR(J65/$AI65,"")</f>
        <v/>
      </c>
      <c r="AW65" s="129">
        <f>IFERROR(K65/$AI65,"")</f>
        <v/>
      </c>
      <c r="AX65" s="129">
        <f>IFERROR(L65/$AI65,"")</f>
        <v/>
      </c>
      <c r="AY65" s="129">
        <f>IFERROR(M65/$AI65,"")</f>
        <v/>
      </c>
      <c r="AZ65" s="129">
        <f>IFERROR(N65/$AI65,"")</f>
        <v/>
      </c>
      <c r="BA65" s="129">
        <f>IFERROR(O65/$AI65,"")</f>
        <v/>
      </c>
      <c r="BB65" s="129">
        <f>IFERROR(P65/$AI65,"")</f>
        <v/>
      </c>
      <c r="BC65" s="129">
        <f>IFERROR(AG65/$AI65,"")</f>
        <v/>
      </c>
      <c r="BD65" s="129">
        <f>IFERROR(AH65/$AI65,"")</f>
        <v/>
      </c>
      <c r="BE65" s="129">
        <f>IFERROR(R65/$AI65,"")</f>
        <v/>
      </c>
      <c r="BF65" s="129">
        <f>IFERROR(S65/$AI65,"")</f>
        <v/>
      </c>
      <c r="BG65" s="129">
        <f>IFERROR(T65/$AI65,"")</f>
        <v/>
      </c>
      <c r="BH65" s="129">
        <f>IFERROR(U65/$AI65,"")</f>
        <v/>
      </c>
      <c r="BI65" s="129">
        <f>IFERROR(V65/$AI65,"")</f>
        <v/>
      </c>
      <c r="BJ65" s="129">
        <f>IFERROR(W65/$AI65,"")</f>
        <v/>
      </c>
      <c r="BK65" s="129">
        <f>IFERROR(X65/$AI65,"")</f>
        <v/>
      </c>
      <c r="BL65" s="129">
        <f>IFERROR(Y65/$AI65,"")</f>
        <v/>
      </c>
      <c r="BM65" s="129">
        <f>IFERROR(Z65/$AI65,"")</f>
        <v/>
      </c>
      <c r="BN65" s="129">
        <f>IFERROR(AA65/$AI65,"")</f>
        <v/>
      </c>
      <c r="BO65" s="129">
        <f>IFERROR(AB65/$AI65,"")</f>
        <v/>
      </c>
      <c r="BP65" s="129">
        <f>IFERROR(AC65/$AI65,"")</f>
        <v/>
      </c>
      <c r="BQ65" s="129">
        <f>IFERROR(AD65/$AI65,"")</f>
        <v/>
      </c>
      <c r="BR65" s="129">
        <f>IFERROR(AE65/$AI65,"")</f>
        <v/>
      </c>
      <c r="BS65" s="129">
        <f>IFERROR(AF65/$AI65,"")</f>
        <v/>
      </c>
      <c r="BT65" s="129">
        <f>IFERROR(AG65/$AI65,"")</f>
        <v/>
      </c>
      <c r="BU65" s="129">
        <f>IFERROR(AH65/$AI65,"")</f>
        <v/>
      </c>
      <c r="BV65" s="126">
        <f>SUM(AQ65:BD65)</f>
        <v/>
      </c>
      <c r="BW65" s="126">
        <f>SUM(BE65:BU65)</f>
        <v/>
      </c>
      <c r="BX65" s="126">
        <f>SUM(AQ65:AU65)</f>
        <v/>
      </c>
    </row>
    <row r="66" ht="12" customHeight="1" s="215">
      <c r="B66" s="127" t="n"/>
      <c r="C66" s="128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  <c r="AG66" s="125" t="n"/>
      <c r="AH66" s="125" t="n"/>
      <c r="AI66" s="127">
        <f>SUM(D66:AG66,AH66)</f>
        <v/>
      </c>
      <c r="AJ66" s="126">
        <f>(SUM($D66:$Q66))/AI66</f>
        <v/>
      </c>
      <c r="AK66" s="126">
        <f>(SUM($D66:$H66))/AI66</f>
        <v/>
      </c>
      <c r="AL66" s="126">
        <f>(SUM($R66:$AH66))/AI66</f>
        <v/>
      </c>
      <c r="AM66" s="161" t="n"/>
      <c r="AN66" s="125">
        <f>YEAR(C66)</f>
        <v/>
      </c>
      <c r="AO66" s="125">
        <f>MONTH(C66)</f>
        <v/>
      </c>
      <c r="AP66" s="125">
        <f>WEEKNUM(C66,2)</f>
        <v/>
      </c>
      <c r="AQ66" s="129">
        <f>IFERROR(D66/$AI66,"")</f>
        <v/>
      </c>
      <c r="AR66" s="129">
        <f>IFERROR(E66/$AI66,"")</f>
        <v/>
      </c>
      <c r="AS66" s="129">
        <f>IFERROR(F66/$AI66,"")</f>
        <v/>
      </c>
      <c r="AT66" s="129">
        <f>IFERROR(H66/$AI66,"")</f>
        <v/>
      </c>
      <c r="AU66" s="129">
        <f>IFERROR(I66/$AI66,"")</f>
        <v/>
      </c>
      <c r="AV66" s="129">
        <f>IFERROR(J66/$AI66,"")</f>
        <v/>
      </c>
      <c r="AW66" s="129">
        <f>IFERROR(K66/$AI66,"")</f>
        <v/>
      </c>
      <c r="AX66" s="129">
        <f>IFERROR(L66/$AI66,"")</f>
        <v/>
      </c>
      <c r="AY66" s="129">
        <f>IFERROR(M66/$AI66,"")</f>
        <v/>
      </c>
      <c r="AZ66" s="129">
        <f>IFERROR(N66/$AI66,"")</f>
        <v/>
      </c>
      <c r="BA66" s="129">
        <f>IFERROR(O66/$AI66,"")</f>
        <v/>
      </c>
      <c r="BB66" s="129">
        <f>IFERROR(P66/$AI66,"")</f>
        <v/>
      </c>
      <c r="BC66" s="129">
        <f>IFERROR(AG66/$AI66,"")</f>
        <v/>
      </c>
      <c r="BD66" s="129">
        <f>IFERROR(AH66/$AI66,"")</f>
        <v/>
      </c>
      <c r="BE66" s="129">
        <f>IFERROR(R66/$AI66,"")</f>
        <v/>
      </c>
      <c r="BF66" s="129">
        <f>IFERROR(S66/$AI66,"")</f>
        <v/>
      </c>
      <c r="BG66" s="129">
        <f>IFERROR(T66/$AI66,"")</f>
        <v/>
      </c>
      <c r="BH66" s="129">
        <f>IFERROR(U66/$AI66,"")</f>
        <v/>
      </c>
      <c r="BI66" s="129">
        <f>IFERROR(V66/$AI66,"")</f>
        <v/>
      </c>
      <c r="BJ66" s="129">
        <f>IFERROR(W66/$AI66,"")</f>
        <v/>
      </c>
      <c r="BK66" s="129">
        <f>IFERROR(X66/$AI66,"")</f>
        <v/>
      </c>
      <c r="BL66" s="129">
        <f>IFERROR(Y66/$AI66,"")</f>
        <v/>
      </c>
      <c r="BM66" s="129">
        <f>IFERROR(Z66/$AI66,"")</f>
        <v/>
      </c>
      <c r="BN66" s="129">
        <f>IFERROR(AA66/$AI66,"")</f>
        <v/>
      </c>
      <c r="BO66" s="129">
        <f>IFERROR(AB66/$AI66,"")</f>
        <v/>
      </c>
      <c r="BP66" s="129">
        <f>IFERROR(AC66/$AI66,"")</f>
        <v/>
      </c>
      <c r="BQ66" s="129">
        <f>IFERROR(AD66/$AI66,"")</f>
        <v/>
      </c>
      <c r="BR66" s="129">
        <f>IFERROR(AE66/$AI66,"")</f>
        <v/>
      </c>
      <c r="BS66" s="129">
        <f>IFERROR(AF66/$AI66,"")</f>
        <v/>
      </c>
      <c r="BT66" s="129">
        <f>IFERROR(AG66/$AI66,"")</f>
        <v/>
      </c>
      <c r="BU66" s="129">
        <f>IFERROR(AH66/$AI66,"")</f>
        <v/>
      </c>
      <c r="BV66" s="126">
        <f>SUM(AQ66:BD66)</f>
        <v/>
      </c>
      <c r="BW66" s="126">
        <f>SUM(BE66:BU66)</f>
        <v/>
      </c>
      <c r="BX66" s="126">
        <f>SUM(AQ66:AU66)</f>
        <v/>
      </c>
    </row>
    <row r="67" ht="12" customHeight="1" s="215">
      <c r="B67" s="127" t="n"/>
      <c r="C67" s="128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  <c r="AG67" s="125" t="n"/>
      <c r="AH67" s="125" t="n"/>
      <c r="AI67" s="127">
        <f>SUM(D67:AG67,AH67)</f>
        <v/>
      </c>
      <c r="AJ67" s="126">
        <f>(SUM($D67:$Q67))/AI67</f>
        <v/>
      </c>
      <c r="AK67" s="126">
        <f>(SUM($D67:$H67))/AI67</f>
        <v/>
      </c>
      <c r="AL67" s="126">
        <f>(SUM($R67:$AH67))/AI67</f>
        <v/>
      </c>
      <c r="AM67" s="161" t="n"/>
      <c r="AN67" s="125">
        <f>YEAR(C67)</f>
        <v/>
      </c>
      <c r="AO67" s="125">
        <f>MONTH(C67)</f>
        <v/>
      </c>
      <c r="AP67" s="125">
        <f>WEEKNUM(C67,2)</f>
        <v/>
      </c>
      <c r="AQ67" s="129">
        <f>IFERROR(D67/$AI67,"")</f>
        <v/>
      </c>
      <c r="AR67" s="129">
        <f>IFERROR(E67/$AI67,"")</f>
        <v/>
      </c>
      <c r="AS67" s="129">
        <f>IFERROR(F67/$AI67,"")</f>
        <v/>
      </c>
      <c r="AT67" s="129">
        <f>IFERROR(H67/$AI67,"")</f>
        <v/>
      </c>
      <c r="AU67" s="129">
        <f>IFERROR(I67/$AI67,"")</f>
        <v/>
      </c>
      <c r="AV67" s="129">
        <f>IFERROR(J67/$AI67,"")</f>
        <v/>
      </c>
      <c r="AW67" s="129">
        <f>IFERROR(K67/$AI67,"")</f>
        <v/>
      </c>
      <c r="AX67" s="129">
        <f>IFERROR(L67/$AI67,"")</f>
        <v/>
      </c>
      <c r="AY67" s="129">
        <f>IFERROR(M67/$AI67,"")</f>
        <v/>
      </c>
      <c r="AZ67" s="129">
        <f>IFERROR(N67/$AI67,"")</f>
        <v/>
      </c>
      <c r="BA67" s="129">
        <f>IFERROR(O67/$AI67,"")</f>
        <v/>
      </c>
      <c r="BB67" s="129">
        <f>IFERROR(P67/$AI67,"")</f>
        <v/>
      </c>
      <c r="BC67" s="129">
        <f>IFERROR(AG67/$AI67,"")</f>
        <v/>
      </c>
      <c r="BD67" s="129">
        <f>IFERROR(AH67/$AI67,"")</f>
        <v/>
      </c>
      <c r="BE67" s="129">
        <f>IFERROR(R67/$AI67,"")</f>
        <v/>
      </c>
      <c r="BF67" s="129">
        <f>IFERROR(S67/$AI67,"")</f>
        <v/>
      </c>
      <c r="BG67" s="129">
        <f>IFERROR(T67/$AI67,"")</f>
        <v/>
      </c>
      <c r="BH67" s="129">
        <f>IFERROR(U67/$AI67,"")</f>
        <v/>
      </c>
      <c r="BI67" s="129">
        <f>IFERROR(V67/$AI67,"")</f>
        <v/>
      </c>
      <c r="BJ67" s="129">
        <f>IFERROR(W67/$AI67,"")</f>
        <v/>
      </c>
      <c r="BK67" s="129">
        <f>IFERROR(X67/$AI67,"")</f>
        <v/>
      </c>
      <c r="BL67" s="129">
        <f>IFERROR(Y67/$AI67,"")</f>
        <v/>
      </c>
      <c r="BM67" s="129">
        <f>IFERROR(Z67/$AI67,"")</f>
        <v/>
      </c>
      <c r="BN67" s="129">
        <f>IFERROR(AA67/$AI67,"")</f>
        <v/>
      </c>
      <c r="BO67" s="129">
        <f>IFERROR(AB67/$AI67,"")</f>
        <v/>
      </c>
      <c r="BP67" s="129">
        <f>IFERROR(AC67/$AI67,"")</f>
        <v/>
      </c>
      <c r="BQ67" s="129">
        <f>IFERROR(AD67/$AI67,"")</f>
        <v/>
      </c>
      <c r="BR67" s="129">
        <f>IFERROR(AE67/$AI67,"")</f>
        <v/>
      </c>
      <c r="BS67" s="129">
        <f>IFERROR(AF67/$AI67,"")</f>
        <v/>
      </c>
      <c r="BT67" s="129">
        <f>IFERROR(AG67/$AI67,"")</f>
        <v/>
      </c>
      <c r="BU67" s="129">
        <f>IFERROR(AH67/$AI67,"")</f>
        <v/>
      </c>
      <c r="BV67" s="126">
        <f>SUM(AQ67:BD67)</f>
        <v/>
      </c>
      <c r="BW67" s="126">
        <f>SUM(BE67:BU67)</f>
        <v/>
      </c>
      <c r="BX67" s="126">
        <f>SUM(AQ67:AU67)</f>
        <v/>
      </c>
    </row>
    <row r="68" ht="12" customHeight="1" s="215">
      <c r="B68" s="127" t="n"/>
      <c r="C68" s="128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  <c r="AG68" s="125" t="n"/>
      <c r="AH68" s="125" t="n"/>
      <c r="AI68" s="127">
        <f>SUM(D68:AG68,AH68)</f>
        <v/>
      </c>
      <c r="AJ68" s="126">
        <f>(SUM($D68:$Q68))/AI68</f>
        <v/>
      </c>
      <c r="AK68" s="126">
        <f>(SUM($D68:$H68))/AI68</f>
        <v/>
      </c>
      <c r="AL68" s="126">
        <f>(SUM($R68:$AH68))/AI68</f>
        <v/>
      </c>
      <c r="AM68" s="161" t="n"/>
      <c r="AN68" s="125">
        <f>YEAR(C68)</f>
        <v/>
      </c>
      <c r="AO68" s="125">
        <f>MONTH(C68)</f>
        <v/>
      </c>
      <c r="AP68" s="125">
        <f>WEEKNUM(C68,2)</f>
        <v/>
      </c>
      <c r="AQ68" s="129">
        <f>IFERROR(D68/$AI68,"")</f>
        <v/>
      </c>
      <c r="AR68" s="129">
        <f>IFERROR(E68/$AI68,"")</f>
        <v/>
      </c>
      <c r="AS68" s="129">
        <f>IFERROR(F68/$AI68,"")</f>
        <v/>
      </c>
      <c r="AT68" s="129">
        <f>IFERROR(H68/$AI68,"")</f>
        <v/>
      </c>
      <c r="AU68" s="129">
        <f>IFERROR(I68/$AI68,"")</f>
        <v/>
      </c>
      <c r="AV68" s="129">
        <f>IFERROR(J68/$AI68,"")</f>
        <v/>
      </c>
      <c r="AW68" s="129">
        <f>IFERROR(K68/$AI68,"")</f>
        <v/>
      </c>
      <c r="AX68" s="129">
        <f>IFERROR(L68/$AI68,"")</f>
        <v/>
      </c>
      <c r="AY68" s="129">
        <f>IFERROR(M68/$AI68,"")</f>
        <v/>
      </c>
      <c r="AZ68" s="129">
        <f>IFERROR(N68/$AI68,"")</f>
        <v/>
      </c>
      <c r="BA68" s="129">
        <f>IFERROR(O68/$AI68,"")</f>
        <v/>
      </c>
      <c r="BB68" s="129">
        <f>IFERROR(P68/$AI68,"")</f>
        <v/>
      </c>
      <c r="BC68" s="129">
        <f>IFERROR(AG68/$AI68,"")</f>
        <v/>
      </c>
      <c r="BD68" s="129">
        <f>IFERROR(AH68/$AI68,"")</f>
        <v/>
      </c>
      <c r="BE68" s="129">
        <f>IFERROR(R68/$AI68,"")</f>
        <v/>
      </c>
      <c r="BF68" s="129">
        <f>IFERROR(S68/$AI68,"")</f>
        <v/>
      </c>
      <c r="BG68" s="129">
        <f>IFERROR(T68/$AI68,"")</f>
        <v/>
      </c>
      <c r="BH68" s="129">
        <f>IFERROR(U68/$AI68,"")</f>
        <v/>
      </c>
      <c r="BI68" s="129">
        <f>IFERROR(V68/$AI68,"")</f>
        <v/>
      </c>
      <c r="BJ68" s="129">
        <f>IFERROR(W68/$AI68,"")</f>
        <v/>
      </c>
      <c r="BK68" s="129">
        <f>IFERROR(X68/$AI68,"")</f>
        <v/>
      </c>
      <c r="BL68" s="129">
        <f>IFERROR(Y68/$AI68,"")</f>
        <v/>
      </c>
      <c r="BM68" s="129">
        <f>IFERROR(Z68/$AI68,"")</f>
        <v/>
      </c>
      <c r="BN68" s="129">
        <f>IFERROR(AA68/$AI68,"")</f>
        <v/>
      </c>
      <c r="BO68" s="129">
        <f>IFERROR(AB68/$AI68,"")</f>
        <v/>
      </c>
      <c r="BP68" s="129">
        <f>IFERROR(AC68/$AI68,"")</f>
        <v/>
      </c>
      <c r="BQ68" s="129">
        <f>IFERROR(AD68/$AI68,"")</f>
        <v/>
      </c>
      <c r="BR68" s="129">
        <f>IFERROR(AE68/$AI68,"")</f>
        <v/>
      </c>
      <c r="BS68" s="129">
        <f>IFERROR(AF68/$AI68,"")</f>
        <v/>
      </c>
      <c r="BT68" s="129">
        <f>IFERROR(AG68/$AI68,"")</f>
        <v/>
      </c>
      <c r="BU68" s="129">
        <f>IFERROR(AH68/$AI68,"")</f>
        <v/>
      </c>
      <c r="BV68" s="126">
        <f>SUM(AQ68:BD68)</f>
        <v/>
      </c>
      <c r="BW68" s="126">
        <f>SUM(BE68:BU68)</f>
        <v/>
      </c>
      <c r="BX68" s="126">
        <f>SUM(AQ68:AU68)</f>
        <v/>
      </c>
    </row>
    <row r="69" ht="12.75" customHeight="1" s="215">
      <c r="B69" s="127" t="n"/>
      <c r="C69" s="128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  <c r="AG69" s="125" t="n"/>
      <c r="AH69" s="125" t="n"/>
      <c r="AI69" s="127">
        <f>SUM(D69:AG69,AH69)</f>
        <v/>
      </c>
      <c r="AJ69" s="126">
        <f>(SUM($D69:$Q69))/AI69</f>
        <v/>
      </c>
      <c r="AK69" s="126">
        <f>(SUM($D69:$H69))/AI69</f>
        <v/>
      </c>
      <c r="AL69" s="126">
        <f>(SUM($R69:$AH69))/AI69</f>
        <v/>
      </c>
      <c r="AM69" s="161" t="n"/>
      <c r="AN69" s="125">
        <f>YEAR(C69)</f>
        <v/>
      </c>
      <c r="AO69" s="125">
        <f>MONTH(C69)</f>
        <v/>
      </c>
      <c r="AP69" s="125">
        <f>WEEKNUM(C69,2)</f>
        <v/>
      </c>
      <c r="AQ69" s="129">
        <f>IFERROR(D69/$AI69,"")</f>
        <v/>
      </c>
      <c r="AR69" s="129">
        <f>IFERROR(E69/$AI69,"")</f>
        <v/>
      </c>
      <c r="AS69" s="129">
        <f>IFERROR(F69/$AI69,"")</f>
        <v/>
      </c>
      <c r="AT69" s="129">
        <f>IFERROR(H69/$AI69,"")</f>
        <v/>
      </c>
      <c r="AU69" s="129">
        <f>IFERROR(I69/$AI69,"")</f>
        <v/>
      </c>
      <c r="AV69" s="129">
        <f>IFERROR(J69/$AI69,"")</f>
        <v/>
      </c>
      <c r="AW69" s="129">
        <f>IFERROR(K69/$AI69,"")</f>
        <v/>
      </c>
      <c r="AX69" s="129">
        <f>IFERROR(L69/$AI69,"")</f>
        <v/>
      </c>
      <c r="AY69" s="129">
        <f>IFERROR(M69/$AI69,"")</f>
        <v/>
      </c>
      <c r="AZ69" s="129">
        <f>IFERROR(N69/$AI69,"")</f>
        <v/>
      </c>
      <c r="BA69" s="129">
        <f>IFERROR(O69/$AI69,"")</f>
        <v/>
      </c>
      <c r="BB69" s="129">
        <f>IFERROR(P69/$AI69,"")</f>
        <v/>
      </c>
      <c r="BC69" s="129">
        <f>IFERROR(AG69/$AI69,"")</f>
        <v/>
      </c>
      <c r="BD69" s="129">
        <f>IFERROR(AH69/$AI69,"")</f>
        <v/>
      </c>
      <c r="BE69" s="129">
        <f>IFERROR(R69/$AI69,"")</f>
        <v/>
      </c>
      <c r="BF69" s="129">
        <f>IFERROR(S69/$AI69,"")</f>
        <v/>
      </c>
      <c r="BG69" s="129">
        <f>IFERROR(T69/$AI69,"")</f>
        <v/>
      </c>
      <c r="BH69" s="129">
        <f>IFERROR(U69/$AI69,"")</f>
        <v/>
      </c>
      <c r="BI69" s="129">
        <f>IFERROR(V69/$AI69,"")</f>
        <v/>
      </c>
      <c r="BJ69" s="129">
        <f>IFERROR(W69/$AI69,"")</f>
        <v/>
      </c>
      <c r="BK69" s="129">
        <f>IFERROR(X69/$AI69,"")</f>
        <v/>
      </c>
      <c r="BL69" s="129">
        <f>IFERROR(Y69/$AI69,"")</f>
        <v/>
      </c>
      <c r="BM69" s="129">
        <f>IFERROR(Z69/$AI69,"")</f>
        <v/>
      </c>
      <c r="BN69" s="129">
        <f>IFERROR(AA69/$AI69,"")</f>
        <v/>
      </c>
      <c r="BO69" s="129">
        <f>IFERROR(AB69/$AI69,"")</f>
        <v/>
      </c>
      <c r="BP69" s="129">
        <f>IFERROR(AC69/$AI69,"")</f>
        <v/>
      </c>
      <c r="BQ69" s="129">
        <f>IFERROR(AD69/$AI69,"")</f>
        <v/>
      </c>
      <c r="BR69" s="129">
        <f>IFERROR(AE69/$AI69,"")</f>
        <v/>
      </c>
      <c r="BS69" s="129">
        <f>IFERROR(AF69/$AI69,"")</f>
        <v/>
      </c>
      <c r="BT69" s="129">
        <f>IFERROR(AG69/$AI69,"")</f>
        <v/>
      </c>
      <c r="BU69" s="129">
        <f>IFERROR(AH69/$AI69,"")</f>
        <v/>
      </c>
      <c r="BV69" s="126">
        <f>SUM(AQ69:BD69)</f>
        <v/>
      </c>
      <c r="BW69" s="126">
        <f>SUM(BE69:BU69)</f>
        <v/>
      </c>
      <c r="BX69" s="126">
        <f>SUM(AQ69:AU69)</f>
        <v/>
      </c>
    </row>
    <row r="70" ht="12" customHeight="1" s="215">
      <c r="B70" s="127" t="n"/>
      <c r="C70" s="128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  <c r="AG70" s="125" t="n"/>
      <c r="AH70" s="125" t="n"/>
      <c r="AI70" s="127">
        <f>SUM(D70:AG70,AH70)</f>
        <v/>
      </c>
      <c r="AJ70" s="126">
        <f>(SUM($D70:$Q70))/AI70</f>
        <v/>
      </c>
      <c r="AK70" s="126">
        <f>(SUM($D70:$H70))/AI70</f>
        <v/>
      </c>
      <c r="AL70" s="126">
        <f>(SUM($R70:$AH70))/AI70</f>
        <v/>
      </c>
      <c r="AM70" s="161" t="n"/>
      <c r="AN70" s="125">
        <f>YEAR(C70)</f>
        <v/>
      </c>
      <c r="AO70" s="125">
        <f>MONTH(C70)</f>
        <v/>
      </c>
      <c r="AP70" s="125">
        <f>WEEKNUM(C70,2)</f>
        <v/>
      </c>
      <c r="AQ70" s="129">
        <f>IFERROR(D70/$AI70,"")</f>
        <v/>
      </c>
      <c r="AR70" s="129">
        <f>IFERROR(E70/$AI70,"")</f>
        <v/>
      </c>
      <c r="AS70" s="129">
        <f>IFERROR(F70/$AI70,"")</f>
        <v/>
      </c>
      <c r="AT70" s="129">
        <f>IFERROR(H70/$AI70,"")</f>
        <v/>
      </c>
      <c r="AU70" s="129">
        <f>IFERROR(I70/$AI70,"")</f>
        <v/>
      </c>
      <c r="AV70" s="129">
        <f>IFERROR(J70/$AI70,"")</f>
        <v/>
      </c>
      <c r="AW70" s="129">
        <f>IFERROR(K70/$AI70,"")</f>
        <v/>
      </c>
      <c r="AX70" s="129">
        <f>IFERROR(L70/$AI70,"")</f>
        <v/>
      </c>
      <c r="AY70" s="129">
        <f>IFERROR(M70/$AI70,"")</f>
        <v/>
      </c>
      <c r="AZ70" s="129">
        <f>IFERROR(N70/$AI70,"")</f>
        <v/>
      </c>
      <c r="BA70" s="129">
        <f>IFERROR(O70/$AI70,"")</f>
        <v/>
      </c>
      <c r="BB70" s="129">
        <f>IFERROR(P70/$AI70,"")</f>
        <v/>
      </c>
      <c r="BC70" s="129">
        <f>IFERROR(AG70/$AI70,"")</f>
        <v/>
      </c>
      <c r="BD70" s="129">
        <f>IFERROR(AH70/$AI70,"")</f>
        <v/>
      </c>
      <c r="BE70" s="129">
        <f>IFERROR(R70/$AI70,"")</f>
        <v/>
      </c>
      <c r="BF70" s="129">
        <f>IFERROR(S70/$AI70,"")</f>
        <v/>
      </c>
      <c r="BG70" s="129">
        <f>IFERROR(T70/$AI70,"")</f>
        <v/>
      </c>
      <c r="BH70" s="129">
        <f>IFERROR(U70/$AI70,"")</f>
        <v/>
      </c>
      <c r="BI70" s="129">
        <f>IFERROR(V70/$AI70,"")</f>
        <v/>
      </c>
      <c r="BJ70" s="129">
        <f>IFERROR(W70/$AI70,"")</f>
        <v/>
      </c>
      <c r="BK70" s="129">
        <f>IFERROR(X70/$AI70,"")</f>
        <v/>
      </c>
      <c r="BL70" s="129">
        <f>IFERROR(Y70/$AI70,"")</f>
        <v/>
      </c>
      <c r="BM70" s="129">
        <f>IFERROR(Z70/$AI70,"")</f>
        <v/>
      </c>
      <c r="BN70" s="129">
        <f>IFERROR(AA70/$AI70,"")</f>
        <v/>
      </c>
      <c r="BO70" s="129">
        <f>IFERROR(AB70/$AI70,"")</f>
        <v/>
      </c>
      <c r="BP70" s="129">
        <f>IFERROR(AC70/$AI70,"")</f>
        <v/>
      </c>
      <c r="BQ70" s="129">
        <f>IFERROR(AD70/$AI70,"")</f>
        <v/>
      </c>
      <c r="BR70" s="129">
        <f>IFERROR(AE70/$AI70,"")</f>
        <v/>
      </c>
      <c r="BS70" s="129">
        <f>IFERROR(AF70/$AI70,"")</f>
        <v/>
      </c>
      <c r="BT70" s="129">
        <f>IFERROR(AG70/$AI70,"")</f>
        <v/>
      </c>
      <c r="BU70" s="129">
        <f>IFERROR(AH70/$AI70,"")</f>
        <v/>
      </c>
      <c r="BV70" s="126">
        <f>SUM(AQ70:BD70)</f>
        <v/>
      </c>
      <c r="BW70" s="126">
        <f>SUM(BE70:BU70)</f>
        <v/>
      </c>
      <c r="BX70" s="126">
        <f>SUM(AQ70:AU70)</f>
        <v/>
      </c>
    </row>
    <row r="71" ht="12" customHeight="1" s="215">
      <c r="B71" s="127" t="n"/>
      <c r="C71" s="128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  <c r="AG71" s="125" t="n"/>
      <c r="AH71" s="125" t="n"/>
      <c r="AI71" s="127">
        <f>SUM(D71:AG71,AH71)</f>
        <v/>
      </c>
      <c r="AJ71" s="126">
        <f>(SUM($D71:$Q71))/AI71</f>
        <v/>
      </c>
      <c r="AK71" s="126">
        <f>(SUM($D71:$H71))/AI71</f>
        <v/>
      </c>
      <c r="AL71" s="126">
        <f>(SUM($R71:$AH71))/AI71</f>
        <v/>
      </c>
      <c r="AM71" s="161" t="n"/>
      <c r="AN71" s="125">
        <f>YEAR(C71)</f>
        <v/>
      </c>
      <c r="AO71" s="125">
        <f>MONTH(C71)</f>
        <v/>
      </c>
      <c r="AP71" s="125">
        <f>WEEKNUM(C71,2)</f>
        <v/>
      </c>
      <c r="AQ71" s="129">
        <f>IFERROR(D71/$AI71,"")</f>
        <v/>
      </c>
      <c r="AR71" s="129">
        <f>IFERROR(E71/$AI71,"")</f>
        <v/>
      </c>
      <c r="AS71" s="129">
        <f>IFERROR(F71/$AI71,"")</f>
        <v/>
      </c>
      <c r="AT71" s="129">
        <f>IFERROR(H71/$AI71,"")</f>
        <v/>
      </c>
      <c r="AU71" s="129">
        <f>IFERROR(I71/$AI71,"")</f>
        <v/>
      </c>
      <c r="AV71" s="129">
        <f>IFERROR(J71/$AI71,"")</f>
        <v/>
      </c>
      <c r="AW71" s="129">
        <f>IFERROR(K71/$AI71,"")</f>
        <v/>
      </c>
      <c r="AX71" s="129">
        <f>IFERROR(L71/$AI71,"")</f>
        <v/>
      </c>
      <c r="AY71" s="129">
        <f>IFERROR(M71/$AI71,"")</f>
        <v/>
      </c>
      <c r="AZ71" s="129">
        <f>IFERROR(N71/$AI71,"")</f>
        <v/>
      </c>
      <c r="BA71" s="129">
        <f>IFERROR(O71/$AI71,"")</f>
        <v/>
      </c>
      <c r="BB71" s="129">
        <f>IFERROR(P71/$AI71,"")</f>
        <v/>
      </c>
      <c r="BC71" s="129">
        <f>IFERROR(AG71/$AI71,"")</f>
        <v/>
      </c>
      <c r="BD71" s="129">
        <f>IFERROR(AH71/$AI71,"")</f>
        <v/>
      </c>
      <c r="BE71" s="129">
        <f>IFERROR(R71/$AI71,"")</f>
        <v/>
      </c>
      <c r="BF71" s="129">
        <f>IFERROR(S71/$AI71,"")</f>
        <v/>
      </c>
      <c r="BG71" s="129">
        <f>IFERROR(T71/$AI71,"")</f>
        <v/>
      </c>
      <c r="BH71" s="129">
        <f>IFERROR(U71/$AI71,"")</f>
        <v/>
      </c>
      <c r="BI71" s="129">
        <f>IFERROR(V71/$AI71,"")</f>
        <v/>
      </c>
      <c r="BJ71" s="129">
        <f>IFERROR(W71/$AI71,"")</f>
        <v/>
      </c>
      <c r="BK71" s="129">
        <f>IFERROR(X71/$AI71,"")</f>
        <v/>
      </c>
      <c r="BL71" s="129">
        <f>IFERROR(Y71/$AI71,"")</f>
        <v/>
      </c>
      <c r="BM71" s="129">
        <f>IFERROR(Z71/$AI71,"")</f>
        <v/>
      </c>
      <c r="BN71" s="129">
        <f>IFERROR(AA71/$AI71,"")</f>
        <v/>
      </c>
      <c r="BO71" s="129">
        <f>IFERROR(AB71/$AI71,"")</f>
        <v/>
      </c>
      <c r="BP71" s="129">
        <f>IFERROR(AC71/$AI71,"")</f>
        <v/>
      </c>
      <c r="BQ71" s="129">
        <f>IFERROR(AD71/$AI71,"")</f>
        <v/>
      </c>
      <c r="BR71" s="129">
        <f>IFERROR(AE71/$AI71,"")</f>
        <v/>
      </c>
      <c r="BS71" s="129">
        <f>IFERROR(AF71/$AI71,"")</f>
        <v/>
      </c>
      <c r="BT71" s="129">
        <f>IFERROR(AG71/$AI71,"")</f>
        <v/>
      </c>
      <c r="BU71" s="129">
        <f>IFERROR(AH71/$AI71,"")</f>
        <v/>
      </c>
      <c r="BV71" s="126">
        <f>SUM(AQ71:BD71)</f>
        <v/>
      </c>
      <c r="BW71" s="126">
        <f>SUM(BE71:BU71)</f>
        <v/>
      </c>
      <c r="BX71" s="126">
        <f>SUM(AQ71:AU71)</f>
        <v/>
      </c>
    </row>
    <row r="72" ht="12" customHeight="1" s="215">
      <c r="B72" s="127" t="n"/>
      <c r="C72" s="128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  <c r="AG72" s="125" t="n"/>
      <c r="AH72" s="125" t="n"/>
      <c r="AI72" s="127">
        <f>SUM(D72:AG72,AH72)</f>
        <v/>
      </c>
      <c r="AJ72" s="126">
        <f>(SUM($D72:$Q72))/AI72</f>
        <v/>
      </c>
      <c r="AK72" s="126">
        <f>(SUM($D72:$H72))/AI72</f>
        <v/>
      </c>
      <c r="AL72" s="126">
        <f>(SUM($R72:$AH72))/AI72</f>
        <v/>
      </c>
      <c r="AM72" s="161" t="n"/>
      <c r="AN72" s="125">
        <f>YEAR(C72)</f>
        <v/>
      </c>
      <c r="AO72" s="125">
        <f>MONTH(C72)</f>
        <v/>
      </c>
      <c r="AP72" s="125">
        <f>WEEKNUM(C72,2)</f>
        <v/>
      </c>
      <c r="AQ72" s="129">
        <f>IFERROR(D72/$AI72,"")</f>
        <v/>
      </c>
      <c r="AR72" s="129">
        <f>IFERROR(E72/$AI72,"")</f>
        <v/>
      </c>
      <c r="AS72" s="129">
        <f>IFERROR(F72/$AI72,"")</f>
        <v/>
      </c>
      <c r="AT72" s="129">
        <f>IFERROR(H72/$AI72,"")</f>
        <v/>
      </c>
      <c r="AU72" s="129">
        <f>IFERROR(I72/$AI72,"")</f>
        <v/>
      </c>
      <c r="AV72" s="129">
        <f>IFERROR(J72/$AI72,"")</f>
        <v/>
      </c>
      <c r="AW72" s="129">
        <f>IFERROR(K72/$AI72,"")</f>
        <v/>
      </c>
      <c r="AX72" s="129">
        <f>IFERROR(L72/$AI72,"")</f>
        <v/>
      </c>
      <c r="AY72" s="129">
        <f>IFERROR(M72/$AI72,"")</f>
        <v/>
      </c>
      <c r="AZ72" s="129">
        <f>IFERROR(N72/$AI72,"")</f>
        <v/>
      </c>
      <c r="BA72" s="129">
        <f>IFERROR(O72/$AI72,"")</f>
        <v/>
      </c>
      <c r="BB72" s="129">
        <f>IFERROR(P72/$AI72,"")</f>
        <v/>
      </c>
      <c r="BC72" s="129">
        <f>IFERROR(AG72/$AI72,"")</f>
        <v/>
      </c>
      <c r="BD72" s="129">
        <f>IFERROR(AH72/$AI72,"")</f>
        <v/>
      </c>
      <c r="BE72" s="129">
        <f>IFERROR(R72/$AI72,"")</f>
        <v/>
      </c>
      <c r="BF72" s="129">
        <f>IFERROR(S72/$AI72,"")</f>
        <v/>
      </c>
      <c r="BG72" s="129">
        <f>IFERROR(T72/$AI72,"")</f>
        <v/>
      </c>
      <c r="BH72" s="129">
        <f>IFERROR(U72/$AI72,"")</f>
        <v/>
      </c>
      <c r="BI72" s="129">
        <f>IFERROR(V72/$AI72,"")</f>
        <v/>
      </c>
      <c r="BJ72" s="129">
        <f>IFERROR(W72/$AI72,"")</f>
        <v/>
      </c>
      <c r="BK72" s="129">
        <f>IFERROR(X72/$AI72,"")</f>
        <v/>
      </c>
      <c r="BL72" s="129">
        <f>IFERROR(Y72/$AI72,"")</f>
        <v/>
      </c>
      <c r="BM72" s="129">
        <f>IFERROR(Z72/$AI72,"")</f>
        <v/>
      </c>
      <c r="BN72" s="129">
        <f>IFERROR(AA72/$AI72,"")</f>
        <v/>
      </c>
      <c r="BO72" s="129">
        <f>IFERROR(AB72/$AI72,"")</f>
        <v/>
      </c>
      <c r="BP72" s="129">
        <f>IFERROR(AC72/$AI72,"")</f>
        <v/>
      </c>
      <c r="BQ72" s="129">
        <f>IFERROR(AD72/$AI72,"")</f>
        <v/>
      </c>
      <c r="BR72" s="129">
        <f>IFERROR(AE72/$AI72,"")</f>
        <v/>
      </c>
      <c r="BS72" s="129">
        <f>IFERROR(AF72/$AI72,"")</f>
        <v/>
      </c>
      <c r="BT72" s="129">
        <f>IFERROR(AG72/$AI72,"")</f>
        <v/>
      </c>
      <c r="BU72" s="129">
        <f>IFERROR(AH72/$AI72,"")</f>
        <v/>
      </c>
      <c r="BV72" s="126">
        <f>SUM(AQ72:BD72)</f>
        <v/>
      </c>
      <c r="BW72" s="126">
        <f>SUM(BE72:BU72)</f>
        <v/>
      </c>
      <c r="BX72" s="126">
        <f>SUM(AQ72:AU72)</f>
        <v/>
      </c>
    </row>
    <row r="73" ht="12" customHeight="1" s="215">
      <c r="B73" s="127" t="n"/>
      <c r="C73" s="128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  <c r="AG73" s="125" t="n"/>
      <c r="AH73" s="125" t="n"/>
      <c r="AI73" s="127">
        <f>SUM(D73:AG73,AH73)</f>
        <v/>
      </c>
      <c r="AJ73" s="126">
        <f>(SUM($D73:$Q73))/AI73</f>
        <v/>
      </c>
      <c r="AK73" s="126">
        <f>(SUM($D73:$H73))/AI73</f>
        <v/>
      </c>
      <c r="AL73" s="126">
        <f>(SUM($R73:$AH73))/AI73</f>
        <v/>
      </c>
      <c r="AM73" s="161" t="n"/>
      <c r="AN73" s="125">
        <f>YEAR(C73)</f>
        <v/>
      </c>
      <c r="AO73" s="125">
        <f>MONTH(C73)</f>
        <v/>
      </c>
      <c r="AP73" s="125">
        <f>WEEKNUM(C73,2)</f>
        <v/>
      </c>
      <c r="AQ73" s="129">
        <f>IFERROR(D73/$AI73,"")</f>
        <v/>
      </c>
      <c r="AR73" s="129">
        <f>IFERROR(E73/$AI73,"")</f>
        <v/>
      </c>
      <c r="AS73" s="129">
        <f>IFERROR(F73/$AI73,"")</f>
        <v/>
      </c>
      <c r="AT73" s="129">
        <f>IFERROR(H73/$AI73,"")</f>
        <v/>
      </c>
      <c r="AU73" s="129">
        <f>IFERROR(I73/$AI73,"")</f>
        <v/>
      </c>
      <c r="AV73" s="129">
        <f>IFERROR(J73/$AI73,"")</f>
        <v/>
      </c>
      <c r="AW73" s="129">
        <f>IFERROR(K73/$AI73,"")</f>
        <v/>
      </c>
      <c r="AX73" s="129">
        <f>IFERROR(L73/$AI73,"")</f>
        <v/>
      </c>
      <c r="AY73" s="129">
        <f>IFERROR(M73/$AI73,"")</f>
        <v/>
      </c>
      <c r="AZ73" s="129">
        <f>IFERROR(N73/$AI73,"")</f>
        <v/>
      </c>
      <c r="BA73" s="129">
        <f>IFERROR(O73/$AI73,"")</f>
        <v/>
      </c>
      <c r="BB73" s="129">
        <f>IFERROR(P73/$AI73,"")</f>
        <v/>
      </c>
      <c r="BC73" s="129">
        <f>IFERROR(AG73/$AI73,"")</f>
        <v/>
      </c>
      <c r="BD73" s="129">
        <f>IFERROR(AH73/$AI73,"")</f>
        <v/>
      </c>
      <c r="BE73" s="129">
        <f>IFERROR(R73/$AI73,"")</f>
        <v/>
      </c>
      <c r="BF73" s="129">
        <f>IFERROR(S73/$AI73,"")</f>
        <v/>
      </c>
      <c r="BG73" s="129">
        <f>IFERROR(T73/$AI73,"")</f>
        <v/>
      </c>
      <c r="BH73" s="129">
        <f>IFERROR(U73/$AI73,"")</f>
        <v/>
      </c>
      <c r="BI73" s="129">
        <f>IFERROR(V73/$AI73,"")</f>
        <v/>
      </c>
      <c r="BJ73" s="129">
        <f>IFERROR(W73/$AI73,"")</f>
        <v/>
      </c>
      <c r="BK73" s="129">
        <f>IFERROR(X73/$AI73,"")</f>
        <v/>
      </c>
      <c r="BL73" s="129">
        <f>IFERROR(Y73/$AI73,"")</f>
        <v/>
      </c>
      <c r="BM73" s="129">
        <f>IFERROR(Z73/$AI73,"")</f>
        <v/>
      </c>
      <c r="BN73" s="129">
        <f>IFERROR(AA73/$AI73,"")</f>
        <v/>
      </c>
      <c r="BO73" s="129">
        <f>IFERROR(AB73/$AI73,"")</f>
        <v/>
      </c>
      <c r="BP73" s="129">
        <f>IFERROR(AC73/$AI73,"")</f>
        <v/>
      </c>
      <c r="BQ73" s="129">
        <f>IFERROR(AD73/$AI73,"")</f>
        <v/>
      </c>
      <c r="BR73" s="129">
        <f>IFERROR(AE73/$AI73,"")</f>
        <v/>
      </c>
      <c r="BS73" s="129">
        <f>IFERROR(AF73/$AI73,"")</f>
        <v/>
      </c>
      <c r="BT73" s="129">
        <f>IFERROR(AG73/$AI73,"")</f>
        <v/>
      </c>
      <c r="BU73" s="129">
        <f>IFERROR(AH73/$AI73,"")</f>
        <v/>
      </c>
      <c r="BV73" s="126">
        <f>SUM(AQ73:BD73)</f>
        <v/>
      </c>
      <c r="BW73" s="126">
        <f>SUM(BE73:BU73)</f>
        <v/>
      </c>
      <c r="BX73" s="126">
        <f>SUM(AQ73:AU73)</f>
        <v/>
      </c>
    </row>
    <row r="74" ht="12" customHeight="1" s="215">
      <c r="B74" s="127" t="n"/>
      <c r="C74" s="128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  <c r="AG74" s="125" t="n"/>
      <c r="AH74" s="125" t="n"/>
      <c r="AI74" s="127">
        <f>SUM(D74:AG74,AH74)</f>
        <v/>
      </c>
      <c r="AJ74" s="126">
        <f>(SUM($D74:$Q74))/AI74</f>
        <v/>
      </c>
      <c r="AK74" s="126">
        <f>(SUM($D74:$H74))/AI74</f>
        <v/>
      </c>
      <c r="AL74" s="126">
        <f>(SUM($R74:$AH74))/AI74</f>
        <v/>
      </c>
      <c r="AM74" s="161" t="n"/>
      <c r="AN74" s="125">
        <f>YEAR(C74)</f>
        <v/>
      </c>
      <c r="AO74" s="125">
        <f>MONTH(C74)</f>
        <v/>
      </c>
      <c r="AP74" s="125">
        <f>WEEKNUM(C74,2)</f>
        <v/>
      </c>
      <c r="AQ74" s="129">
        <f>IFERROR(D74/$AI74,"")</f>
        <v/>
      </c>
      <c r="AR74" s="129">
        <f>IFERROR(E74/$AI74,"")</f>
        <v/>
      </c>
      <c r="AS74" s="129">
        <f>IFERROR(F74/$AI74,"")</f>
        <v/>
      </c>
      <c r="AT74" s="129">
        <f>IFERROR(H74/$AI74,"")</f>
        <v/>
      </c>
      <c r="AU74" s="129">
        <f>IFERROR(I74/$AI74,"")</f>
        <v/>
      </c>
      <c r="AV74" s="129">
        <f>IFERROR(J74/$AI74,"")</f>
        <v/>
      </c>
      <c r="AW74" s="129">
        <f>IFERROR(K74/$AI74,"")</f>
        <v/>
      </c>
      <c r="AX74" s="129">
        <f>IFERROR(L74/$AI74,"")</f>
        <v/>
      </c>
      <c r="AY74" s="129">
        <f>IFERROR(M74/$AI74,"")</f>
        <v/>
      </c>
      <c r="AZ74" s="129">
        <f>IFERROR(N74/$AI74,"")</f>
        <v/>
      </c>
      <c r="BA74" s="129">
        <f>IFERROR(O74/$AI74,"")</f>
        <v/>
      </c>
      <c r="BB74" s="129">
        <f>IFERROR(P74/$AI74,"")</f>
        <v/>
      </c>
      <c r="BC74" s="129">
        <f>IFERROR(AG74/$AI74,"")</f>
        <v/>
      </c>
      <c r="BD74" s="129">
        <f>IFERROR(AH74/$AI74,"")</f>
        <v/>
      </c>
      <c r="BE74" s="129">
        <f>IFERROR(R74/$AI74,"")</f>
        <v/>
      </c>
      <c r="BF74" s="129">
        <f>IFERROR(S74/$AI74,"")</f>
        <v/>
      </c>
      <c r="BG74" s="129">
        <f>IFERROR(T74/$AI74,"")</f>
        <v/>
      </c>
      <c r="BH74" s="129">
        <f>IFERROR(U74/$AI74,"")</f>
        <v/>
      </c>
      <c r="BI74" s="129">
        <f>IFERROR(V74/$AI74,"")</f>
        <v/>
      </c>
      <c r="BJ74" s="129">
        <f>IFERROR(W74/$AI74,"")</f>
        <v/>
      </c>
      <c r="BK74" s="129">
        <f>IFERROR(X74/$AI74,"")</f>
        <v/>
      </c>
      <c r="BL74" s="129">
        <f>IFERROR(Y74/$AI74,"")</f>
        <v/>
      </c>
      <c r="BM74" s="129">
        <f>IFERROR(Z74/$AI74,"")</f>
        <v/>
      </c>
      <c r="BN74" s="129">
        <f>IFERROR(AA74/$AI74,"")</f>
        <v/>
      </c>
      <c r="BO74" s="129">
        <f>IFERROR(AB74/$AI74,"")</f>
        <v/>
      </c>
      <c r="BP74" s="129">
        <f>IFERROR(AC74/$AI74,"")</f>
        <v/>
      </c>
      <c r="BQ74" s="129">
        <f>IFERROR(AD74/$AI74,"")</f>
        <v/>
      </c>
      <c r="BR74" s="129">
        <f>IFERROR(AE74/$AI74,"")</f>
        <v/>
      </c>
      <c r="BS74" s="129">
        <f>IFERROR(AF74/$AI74,"")</f>
        <v/>
      </c>
      <c r="BT74" s="129">
        <f>IFERROR(AG74/$AI74,"")</f>
        <v/>
      </c>
      <c r="BU74" s="129">
        <f>IFERROR(AH74/$AI74,"")</f>
        <v/>
      </c>
      <c r="BV74" s="126">
        <f>SUM(AQ74:BD74)</f>
        <v/>
      </c>
      <c r="BW74" s="126">
        <f>SUM(BE74:BU74)</f>
        <v/>
      </c>
      <c r="BX74" s="126">
        <f>SUM(AQ74:AU74)</f>
        <v/>
      </c>
    </row>
    <row r="75" ht="12" customHeight="1" s="215">
      <c r="B75" s="127" t="n"/>
      <c r="C75" s="128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  <c r="AG75" s="125" t="n"/>
      <c r="AH75" s="125" t="n"/>
      <c r="AI75" s="127">
        <f>SUM(D75:AG75,AH75)</f>
        <v/>
      </c>
      <c r="AJ75" s="126">
        <f>(SUM($D75:$Q75))/AI75</f>
        <v/>
      </c>
      <c r="AK75" s="126">
        <f>(SUM($D75:$H75))/AI75</f>
        <v/>
      </c>
      <c r="AL75" s="126">
        <f>(SUM($R75:$AH75))/AI75</f>
        <v/>
      </c>
      <c r="AM75" s="161" t="n"/>
      <c r="AN75" s="125">
        <f>YEAR(C75)</f>
        <v/>
      </c>
      <c r="AO75" s="125">
        <f>MONTH(C75)</f>
        <v/>
      </c>
      <c r="AP75" s="125">
        <f>WEEKNUM(C75,2)</f>
        <v/>
      </c>
      <c r="AQ75" s="129">
        <f>IFERROR(D75/$AI75,"")</f>
        <v/>
      </c>
      <c r="AR75" s="129">
        <f>IFERROR(E75/$AI75,"")</f>
        <v/>
      </c>
      <c r="AS75" s="129">
        <f>IFERROR(F75/$AI75,"")</f>
        <v/>
      </c>
      <c r="AT75" s="129">
        <f>IFERROR(H75/$AI75,"")</f>
        <v/>
      </c>
      <c r="AU75" s="129">
        <f>IFERROR(I75/$AI75,"")</f>
        <v/>
      </c>
      <c r="AV75" s="129">
        <f>IFERROR(J75/$AI75,"")</f>
        <v/>
      </c>
      <c r="AW75" s="129">
        <f>IFERROR(K75/$AI75,"")</f>
        <v/>
      </c>
      <c r="AX75" s="129">
        <f>IFERROR(L75/$AI75,"")</f>
        <v/>
      </c>
      <c r="AY75" s="129">
        <f>IFERROR(M75/$AI75,"")</f>
        <v/>
      </c>
      <c r="AZ75" s="129">
        <f>IFERROR(N75/$AI75,"")</f>
        <v/>
      </c>
      <c r="BA75" s="129">
        <f>IFERROR(O75/$AI75,"")</f>
        <v/>
      </c>
      <c r="BB75" s="129">
        <f>IFERROR(P75/$AI75,"")</f>
        <v/>
      </c>
      <c r="BC75" s="129">
        <f>IFERROR(AG75/$AI75,"")</f>
        <v/>
      </c>
      <c r="BD75" s="129">
        <f>IFERROR(AH75/$AI75,"")</f>
        <v/>
      </c>
      <c r="BE75" s="129">
        <f>IFERROR(R75/$AI75,"")</f>
        <v/>
      </c>
      <c r="BF75" s="129">
        <f>IFERROR(S75/$AI75,"")</f>
        <v/>
      </c>
      <c r="BG75" s="129">
        <f>IFERROR(T75/$AI75,"")</f>
        <v/>
      </c>
      <c r="BH75" s="129">
        <f>IFERROR(U75/$AI75,"")</f>
        <v/>
      </c>
      <c r="BI75" s="129">
        <f>IFERROR(V75/$AI75,"")</f>
        <v/>
      </c>
      <c r="BJ75" s="129">
        <f>IFERROR(W75/$AI75,"")</f>
        <v/>
      </c>
      <c r="BK75" s="129">
        <f>IFERROR(X75/$AI75,"")</f>
        <v/>
      </c>
      <c r="BL75" s="129">
        <f>IFERROR(Y75/$AI75,"")</f>
        <v/>
      </c>
      <c r="BM75" s="129">
        <f>IFERROR(Z75/$AI75,"")</f>
        <v/>
      </c>
      <c r="BN75" s="129">
        <f>IFERROR(AA75/$AI75,"")</f>
        <v/>
      </c>
      <c r="BO75" s="129">
        <f>IFERROR(AB75/$AI75,"")</f>
        <v/>
      </c>
      <c r="BP75" s="129">
        <f>IFERROR(AC75/$AI75,"")</f>
        <v/>
      </c>
      <c r="BQ75" s="129">
        <f>IFERROR(AD75/$AI75,"")</f>
        <v/>
      </c>
      <c r="BR75" s="129">
        <f>IFERROR(AE75/$AI75,"")</f>
        <v/>
      </c>
      <c r="BS75" s="129">
        <f>IFERROR(AF75/$AI75,"")</f>
        <v/>
      </c>
      <c r="BT75" s="129">
        <f>IFERROR(AG75/$AI75,"")</f>
        <v/>
      </c>
      <c r="BU75" s="129">
        <f>IFERROR(AH75/$AI75,"")</f>
        <v/>
      </c>
      <c r="BV75" s="126">
        <f>SUM(AQ75:BD75)</f>
        <v/>
      </c>
      <c r="BW75" s="126">
        <f>SUM(BE75:BU75)</f>
        <v/>
      </c>
      <c r="BX75" s="126">
        <f>SUM(AQ75:AU75)</f>
        <v/>
      </c>
    </row>
    <row r="76" ht="12" customHeight="1" s="215">
      <c r="B76" s="127" t="n"/>
      <c r="C76" s="128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  <c r="AG76" s="125" t="n"/>
      <c r="AH76" s="125" t="n"/>
      <c r="AI76" s="127">
        <f>SUM(D76:AG76,AH76)</f>
        <v/>
      </c>
      <c r="AJ76" s="126">
        <f>(SUM($D76:$Q76))/AI76</f>
        <v/>
      </c>
      <c r="AK76" s="126">
        <f>(SUM($D76:$H76))/AI76</f>
        <v/>
      </c>
      <c r="AL76" s="126">
        <f>(SUM($R76:$AH76))/AI76</f>
        <v/>
      </c>
      <c r="AM76" s="161" t="n"/>
      <c r="AN76" s="125">
        <f>YEAR(C76)</f>
        <v/>
      </c>
      <c r="AO76" s="125">
        <f>MONTH(C76)</f>
        <v/>
      </c>
      <c r="AP76" s="125">
        <f>WEEKNUM(C76,2)</f>
        <v/>
      </c>
      <c r="AQ76" s="129">
        <f>IFERROR(D76/$AI76,"")</f>
        <v/>
      </c>
      <c r="AR76" s="129">
        <f>IFERROR(E76/$AI76,"")</f>
        <v/>
      </c>
      <c r="AS76" s="129">
        <f>IFERROR(F76/$AI76,"")</f>
        <v/>
      </c>
      <c r="AT76" s="129">
        <f>IFERROR(H76/$AI76,"")</f>
        <v/>
      </c>
      <c r="AU76" s="129">
        <f>IFERROR(I76/$AI76,"")</f>
        <v/>
      </c>
      <c r="AV76" s="129">
        <f>IFERROR(J76/$AI76,"")</f>
        <v/>
      </c>
      <c r="AW76" s="129">
        <f>IFERROR(K76/$AI76,"")</f>
        <v/>
      </c>
      <c r="AX76" s="129">
        <f>IFERROR(L76/$AI76,"")</f>
        <v/>
      </c>
      <c r="AY76" s="129">
        <f>IFERROR(M76/$AI76,"")</f>
        <v/>
      </c>
      <c r="AZ76" s="129">
        <f>IFERROR(N76/$AI76,"")</f>
        <v/>
      </c>
      <c r="BA76" s="129">
        <f>IFERROR(O76/$AI76,"")</f>
        <v/>
      </c>
      <c r="BB76" s="129">
        <f>IFERROR(P76/$AI76,"")</f>
        <v/>
      </c>
      <c r="BC76" s="129">
        <f>IFERROR(AG76/$AI76,"")</f>
        <v/>
      </c>
      <c r="BD76" s="129">
        <f>IFERROR(AH76/$AI76,"")</f>
        <v/>
      </c>
      <c r="BE76" s="129">
        <f>IFERROR(R76/$AI76,"")</f>
        <v/>
      </c>
      <c r="BF76" s="129">
        <f>IFERROR(S76/$AI76,"")</f>
        <v/>
      </c>
      <c r="BG76" s="129">
        <f>IFERROR(T76/$AI76,"")</f>
        <v/>
      </c>
      <c r="BH76" s="129">
        <f>IFERROR(U76/$AI76,"")</f>
        <v/>
      </c>
      <c r="BI76" s="129">
        <f>IFERROR(V76/$AI76,"")</f>
        <v/>
      </c>
      <c r="BJ76" s="129">
        <f>IFERROR(W76/$AI76,"")</f>
        <v/>
      </c>
      <c r="BK76" s="129">
        <f>IFERROR(X76/$AI76,"")</f>
        <v/>
      </c>
      <c r="BL76" s="129">
        <f>IFERROR(Y76/$AI76,"")</f>
        <v/>
      </c>
      <c r="BM76" s="129">
        <f>IFERROR(Z76/$AI76,"")</f>
        <v/>
      </c>
      <c r="BN76" s="129">
        <f>IFERROR(AA76/$AI76,"")</f>
        <v/>
      </c>
      <c r="BO76" s="129">
        <f>IFERROR(AB76/$AI76,"")</f>
        <v/>
      </c>
      <c r="BP76" s="129">
        <f>IFERROR(AC76/$AI76,"")</f>
        <v/>
      </c>
      <c r="BQ76" s="129">
        <f>IFERROR(AD76/$AI76,"")</f>
        <v/>
      </c>
      <c r="BR76" s="129">
        <f>IFERROR(AE76/$AI76,"")</f>
        <v/>
      </c>
      <c r="BS76" s="129">
        <f>IFERROR(AF76/$AI76,"")</f>
        <v/>
      </c>
      <c r="BT76" s="129">
        <f>IFERROR(AG76/$AI76,"")</f>
        <v/>
      </c>
      <c r="BU76" s="129">
        <f>IFERROR(AH76/$AI76,"")</f>
        <v/>
      </c>
      <c r="BV76" s="126">
        <f>SUM(AQ76:BD76)</f>
        <v/>
      </c>
      <c r="BW76" s="126">
        <f>SUM(BE76:BU76)</f>
        <v/>
      </c>
      <c r="BX76" s="126">
        <f>SUM(AQ76:AU76)</f>
        <v/>
      </c>
    </row>
    <row r="77" ht="12" customHeight="1" s="215">
      <c r="B77" s="127" t="n"/>
      <c r="C77" s="128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  <c r="AG77" s="125" t="n"/>
      <c r="AH77" s="125" t="n"/>
      <c r="AI77" s="127">
        <f>SUM(D77:AG77,AH77)</f>
        <v/>
      </c>
      <c r="AJ77" s="126">
        <f>(SUM($D77:$Q77))/AI77</f>
        <v/>
      </c>
      <c r="AK77" s="126">
        <f>(SUM($D77:$H77))/AI77</f>
        <v/>
      </c>
      <c r="AL77" s="126">
        <f>(SUM($R77:$AH77))/AI77</f>
        <v/>
      </c>
      <c r="AM77" s="161" t="n"/>
      <c r="AN77" s="125">
        <f>YEAR(C77)</f>
        <v/>
      </c>
      <c r="AO77" s="125">
        <f>MONTH(C77)</f>
        <v/>
      </c>
      <c r="AP77" s="125">
        <f>WEEKNUM(C77,2)</f>
        <v/>
      </c>
      <c r="AQ77" s="129">
        <f>IFERROR(D77/$AI77,"")</f>
        <v/>
      </c>
      <c r="AR77" s="129">
        <f>IFERROR(E77/$AI77,"")</f>
        <v/>
      </c>
      <c r="AS77" s="129">
        <f>IFERROR(F77/$AI77,"")</f>
        <v/>
      </c>
      <c r="AT77" s="129">
        <f>IFERROR(H77/$AI77,"")</f>
        <v/>
      </c>
      <c r="AU77" s="129">
        <f>IFERROR(I77/$AI77,"")</f>
        <v/>
      </c>
      <c r="AV77" s="129">
        <f>IFERROR(J77/$AI77,"")</f>
        <v/>
      </c>
      <c r="AW77" s="129">
        <f>IFERROR(K77/$AI77,"")</f>
        <v/>
      </c>
      <c r="AX77" s="129">
        <f>IFERROR(L77/$AI77,"")</f>
        <v/>
      </c>
      <c r="AY77" s="129">
        <f>IFERROR(M77/$AI77,"")</f>
        <v/>
      </c>
      <c r="AZ77" s="129">
        <f>IFERROR(N77/$AI77,"")</f>
        <v/>
      </c>
      <c r="BA77" s="129">
        <f>IFERROR(O77/$AI77,"")</f>
        <v/>
      </c>
      <c r="BB77" s="129">
        <f>IFERROR(P77/$AI77,"")</f>
        <v/>
      </c>
      <c r="BC77" s="129">
        <f>IFERROR(AG77/$AI77,"")</f>
        <v/>
      </c>
      <c r="BD77" s="129">
        <f>IFERROR(AH77/$AI77,"")</f>
        <v/>
      </c>
      <c r="BE77" s="129">
        <f>IFERROR(R77/$AI77,"")</f>
        <v/>
      </c>
      <c r="BF77" s="129">
        <f>IFERROR(S77/$AI77,"")</f>
        <v/>
      </c>
      <c r="BG77" s="129">
        <f>IFERROR(T77/$AI77,"")</f>
        <v/>
      </c>
      <c r="BH77" s="129">
        <f>IFERROR(U77/$AI77,"")</f>
        <v/>
      </c>
      <c r="BI77" s="129">
        <f>IFERROR(V77/$AI77,"")</f>
        <v/>
      </c>
      <c r="BJ77" s="129">
        <f>IFERROR(W77/$AI77,"")</f>
        <v/>
      </c>
      <c r="BK77" s="129">
        <f>IFERROR(X77/$AI77,"")</f>
        <v/>
      </c>
      <c r="BL77" s="129">
        <f>IFERROR(Y77/$AI77,"")</f>
        <v/>
      </c>
      <c r="BM77" s="129">
        <f>IFERROR(Z77/$AI77,"")</f>
        <v/>
      </c>
      <c r="BN77" s="129">
        <f>IFERROR(AA77/$AI77,"")</f>
        <v/>
      </c>
      <c r="BO77" s="129">
        <f>IFERROR(AB77/$AI77,"")</f>
        <v/>
      </c>
      <c r="BP77" s="129">
        <f>IFERROR(AC77/$AI77,"")</f>
        <v/>
      </c>
      <c r="BQ77" s="129">
        <f>IFERROR(AD77/$AI77,"")</f>
        <v/>
      </c>
      <c r="BR77" s="129">
        <f>IFERROR(AE77/$AI77,"")</f>
        <v/>
      </c>
      <c r="BS77" s="129">
        <f>IFERROR(AF77/$AI77,"")</f>
        <v/>
      </c>
      <c r="BT77" s="129">
        <f>IFERROR(AG77/$AI77,"")</f>
        <v/>
      </c>
      <c r="BU77" s="129">
        <f>IFERROR(AH77/$AI77,"")</f>
        <v/>
      </c>
      <c r="BV77" s="126">
        <f>SUM(AQ77:BD77)</f>
        <v/>
      </c>
      <c r="BW77" s="126">
        <f>SUM(BE77:BU77)</f>
        <v/>
      </c>
      <c r="BX77" s="126">
        <f>SUM(AQ77:AU77)</f>
        <v/>
      </c>
    </row>
    <row r="78" ht="12" customHeight="1" s="215">
      <c r="B78" s="127" t="n"/>
      <c r="C78" s="128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  <c r="AG78" s="125" t="n"/>
      <c r="AH78" s="125" t="n"/>
      <c r="AI78" s="127">
        <f>SUM(D78:AG78,AH78)</f>
        <v/>
      </c>
      <c r="AJ78" s="126">
        <f>(SUM($D78:$Q78))/AI78</f>
        <v/>
      </c>
      <c r="AK78" s="126">
        <f>(SUM($D78:$H78))/AI78</f>
        <v/>
      </c>
      <c r="AL78" s="126">
        <f>(SUM($R78:$AH78))/AI78</f>
        <v/>
      </c>
      <c r="AM78" s="161" t="n"/>
      <c r="AN78" s="125">
        <f>YEAR(C78)</f>
        <v/>
      </c>
      <c r="AO78" s="125">
        <f>MONTH(C78)</f>
        <v/>
      </c>
      <c r="AP78" s="125">
        <f>WEEKNUM(C78,2)</f>
        <v/>
      </c>
      <c r="AQ78" s="129">
        <f>IFERROR(D78/$AI78,"")</f>
        <v/>
      </c>
      <c r="AR78" s="129">
        <f>IFERROR(E78/$AI78,"")</f>
        <v/>
      </c>
      <c r="AS78" s="129">
        <f>IFERROR(F78/$AI78,"")</f>
        <v/>
      </c>
      <c r="AT78" s="129">
        <f>IFERROR(H78/$AI78,"")</f>
        <v/>
      </c>
      <c r="AU78" s="129">
        <f>IFERROR(I78/$AI78,"")</f>
        <v/>
      </c>
      <c r="AV78" s="129">
        <f>IFERROR(J78/$AI78,"")</f>
        <v/>
      </c>
      <c r="AW78" s="129">
        <f>IFERROR(K78/$AI78,"")</f>
        <v/>
      </c>
      <c r="AX78" s="129">
        <f>IFERROR(L78/$AI78,"")</f>
        <v/>
      </c>
      <c r="AY78" s="129">
        <f>IFERROR(M78/$AI78,"")</f>
        <v/>
      </c>
      <c r="AZ78" s="129">
        <f>IFERROR(N78/$AI78,"")</f>
        <v/>
      </c>
      <c r="BA78" s="129">
        <f>IFERROR(O78/$AI78,"")</f>
        <v/>
      </c>
      <c r="BB78" s="129">
        <f>IFERROR(P78/$AI78,"")</f>
        <v/>
      </c>
      <c r="BC78" s="129">
        <f>IFERROR(AG78/$AI78,"")</f>
        <v/>
      </c>
      <c r="BD78" s="129">
        <f>IFERROR(AH78/$AI78,"")</f>
        <v/>
      </c>
      <c r="BE78" s="129">
        <f>IFERROR(R78/$AI78,"")</f>
        <v/>
      </c>
      <c r="BF78" s="129">
        <f>IFERROR(S78/$AI78,"")</f>
        <v/>
      </c>
      <c r="BG78" s="129">
        <f>IFERROR(T78/$AI78,"")</f>
        <v/>
      </c>
      <c r="BH78" s="129">
        <f>IFERROR(U78/$AI78,"")</f>
        <v/>
      </c>
      <c r="BI78" s="129">
        <f>IFERROR(V78/$AI78,"")</f>
        <v/>
      </c>
      <c r="BJ78" s="129">
        <f>IFERROR(W78/$AI78,"")</f>
        <v/>
      </c>
      <c r="BK78" s="129">
        <f>IFERROR(X78/$AI78,"")</f>
        <v/>
      </c>
      <c r="BL78" s="129">
        <f>IFERROR(Y78/$AI78,"")</f>
        <v/>
      </c>
      <c r="BM78" s="129">
        <f>IFERROR(Z78/$AI78,"")</f>
        <v/>
      </c>
      <c r="BN78" s="129">
        <f>IFERROR(AA78/$AI78,"")</f>
        <v/>
      </c>
      <c r="BO78" s="129">
        <f>IFERROR(AB78/$AI78,"")</f>
        <v/>
      </c>
      <c r="BP78" s="129">
        <f>IFERROR(AC78/$AI78,"")</f>
        <v/>
      </c>
      <c r="BQ78" s="129">
        <f>IFERROR(AD78/$AI78,"")</f>
        <v/>
      </c>
      <c r="BR78" s="129">
        <f>IFERROR(AE78/$AI78,"")</f>
        <v/>
      </c>
      <c r="BS78" s="129">
        <f>IFERROR(AF78/$AI78,"")</f>
        <v/>
      </c>
      <c r="BT78" s="129">
        <f>IFERROR(AG78/$AI78,"")</f>
        <v/>
      </c>
      <c r="BU78" s="129">
        <f>IFERROR(AH78/$AI78,"")</f>
        <v/>
      </c>
      <c r="BV78" s="126">
        <f>SUM(AQ78:BD78)</f>
        <v/>
      </c>
      <c r="BW78" s="126">
        <f>SUM(BE78:BU78)</f>
        <v/>
      </c>
      <c r="BX78" s="126">
        <f>SUM(AQ78:AU78)</f>
        <v/>
      </c>
    </row>
    <row r="79" ht="12" customHeight="1" s="215">
      <c r="B79" s="127" t="n"/>
      <c r="C79" s="128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  <c r="AG79" s="125" t="n"/>
      <c r="AH79" s="125" t="n"/>
      <c r="AI79" s="127">
        <f>SUM(D79:AG79,AH79)</f>
        <v/>
      </c>
      <c r="AJ79" s="126">
        <f>(SUM($D79:$Q79))/AI79</f>
        <v/>
      </c>
      <c r="AK79" s="126">
        <f>(SUM($D79:$H79))/AI79</f>
        <v/>
      </c>
      <c r="AL79" s="126">
        <f>(SUM($R79:$AH79))/AI79</f>
        <v/>
      </c>
      <c r="AM79" s="161" t="n"/>
      <c r="AN79" s="125">
        <f>YEAR(C79)</f>
        <v/>
      </c>
      <c r="AO79" s="125">
        <f>MONTH(C79)</f>
        <v/>
      </c>
      <c r="AP79" s="125">
        <f>WEEKNUM(C79,2)</f>
        <v/>
      </c>
      <c r="AQ79" s="129">
        <f>IFERROR(D79/$AI79,"")</f>
        <v/>
      </c>
      <c r="AR79" s="129">
        <f>IFERROR(E79/$AI79,"")</f>
        <v/>
      </c>
      <c r="AS79" s="129">
        <f>IFERROR(F79/$AI79,"")</f>
        <v/>
      </c>
      <c r="AT79" s="129">
        <f>IFERROR(H79/$AI79,"")</f>
        <v/>
      </c>
      <c r="AU79" s="129">
        <f>IFERROR(I79/$AI79,"")</f>
        <v/>
      </c>
      <c r="AV79" s="129">
        <f>IFERROR(J79/$AI79,"")</f>
        <v/>
      </c>
      <c r="AW79" s="129">
        <f>IFERROR(K79/$AI79,"")</f>
        <v/>
      </c>
      <c r="AX79" s="129">
        <f>IFERROR(L79/$AI79,"")</f>
        <v/>
      </c>
      <c r="AY79" s="129">
        <f>IFERROR(M79/$AI79,"")</f>
        <v/>
      </c>
      <c r="AZ79" s="129">
        <f>IFERROR(N79/$AI79,"")</f>
        <v/>
      </c>
      <c r="BA79" s="129">
        <f>IFERROR(O79/$AI79,"")</f>
        <v/>
      </c>
      <c r="BB79" s="129">
        <f>IFERROR(P79/$AI79,"")</f>
        <v/>
      </c>
      <c r="BC79" s="129">
        <f>IFERROR(AG79/$AI79,"")</f>
        <v/>
      </c>
      <c r="BD79" s="129">
        <f>IFERROR(AH79/$AI79,"")</f>
        <v/>
      </c>
      <c r="BE79" s="129">
        <f>IFERROR(R79/$AI79,"")</f>
        <v/>
      </c>
      <c r="BF79" s="129">
        <f>IFERROR(S79/$AI79,"")</f>
        <v/>
      </c>
      <c r="BG79" s="129">
        <f>IFERROR(T79/$AI79,"")</f>
        <v/>
      </c>
      <c r="BH79" s="129">
        <f>IFERROR(U79/$AI79,"")</f>
        <v/>
      </c>
      <c r="BI79" s="129">
        <f>IFERROR(V79/$AI79,"")</f>
        <v/>
      </c>
      <c r="BJ79" s="129">
        <f>IFERROR(W79/$AI79,"")</f>
        <v/>
      </c>
      <c r="BK79" s="129">
        <f>IFERROR(X79/$AI79,"")</f>
        <v/>
      </c>
      <c r="BL79" s="129">
        <f>IFERROR(Y79/$AI79,"")</f>
        <v/>
      </c>
      <c r="BM79" s="129">
        <f>IFERROR(Z79/$AI79,"")</f>
        <v/>
      </c>
      <c r="BN79" s="129">
        <f>IFERROR(AA79/$AI79,"")</f>
        <v/>
      </c>
      <c r="BO79" s="129">
        <f>IFERROR(AB79/$AI79,"")</f>
        <v/>
      </c>
      <c r="BP79" s="129">
        <f>IFERROR(AC79/$AI79,"")</f>
        <v/>
      </c>
      <c r="BQ79" s="129">
        <f>IFERROR(AD79/$AI79,"")</f>
        <v/>
      </c>
      <c r="BR79" s="129">
        <f>IFERROR(AE79/$AI79,"")</f>
        <v/>
      </c>
      <c r="BS79" s="129">
        <f>IFERROR(AF79/$AI79,"")</f>
        <v/>
      </c>
      <c r="BT79" s="129">
        <f>IFERROR(AG79/$AI79,"")</f>
        <v/>
      </c>
      <c r="BU79" s="129">
        <f>IFERROR(AH79/$AI79,"")</f>
        <v/>
      </c>
      <c r="BV79" s="126">
        <f>SUM(AQ79:BD79)</f>
        <v/>
      </c>
      <c r="BW79" s="126">
        <f>SUM(BE79:BU79)</f>
        <v/>
      </c>
      <c r="BX79" s="126">
        <f>SUM(AQ79:AU79)</f>
        <v/>
      </c>
    </row>
    <row r="80" ht="12" customHeight="1" s="215">
      <c r="B80" s="127" t="n"/>
      <c r="C80" s="128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  <c r="AG80" s="125" t="n"/>
      <c r="AH80" s="125" t="n"/>
      <c r="AI80" s="127">
        <f>SUM(D80:AG80,AH80)</f>
        <v/>
      </c>
      <c r="AJ80" s="126">
        <f>(SUM($D80:$Q80))/AI80</f>
        <v/>
      </c>
      <c r="AK80" s="126">
        <f>(SUM($D80:$H80))/AI80</f>
        <v/>
      </c>
      <c r="AL80" s="126">
        <f>(SUM($R80:$AH80))/AI80</f>
        <v/>
      </c>
      <c r="AM80" s="161" t="n"/>
      <c r="AN80" s="125">
        <f>YEAR(C80)</f>
        <v/>
      </c>
      <c r="AO80" s="125">
        <f>MONTH(C80)</f>
        <v/>
      </c>
      <c r="AP80" s="125">
        <f>WEEKNUM(C80,2)</f>
        <v/>
      </c>
      <c r="AQ80" s="129">
        <f>IFERROR(D80/$AI80,"")</f>
        <v/>
      </c>
      <c r="AR80" s="129">
        <f>IFERROR(E80/$AI80,"")</f>
        <v/>
      </c>
      <c r="AS80" s="129">
        <f>IFERROR(F80/$AI80,"")</f>
        <v/>
      </c>
      <c r="AT80" s="129">
        <f>IFERROR(H80/$AI80,"")</f>
        <v/>
      </c>
      <c r="AU80" s="129">
        <f>IFERROR(I80/$AI80,"")</f>
        <v/>
      </c>
      <c r="AV80" s="129">
        <f>IFERROR(J80/$AI80,"")</f>
        <v/>
      </c>
      <c r="AW80" s="129">
        <f>IFERROR(K80/$AI80,"")</f>
        <v/>
      </c>
      <c r="AX80" s="129">
        <f>IFERROR(L80/$AI80,"")</f>
        <v/>
      </c>
      <c r="AY80" s="129">
        <f>IFERROR(M80/$AI80,"")</f>
        <v/>
      </c>
      <c r="AZ80" s="129">
        <f>IFERROR(N80/$AI80,"")</f>
        <v/>
      </c>
      <c r="BA80" s="129">
        <f>IFERROR(O80/$AI80,"")</f>
        <v/>
      </c>
      <c r="BB80" s="129">
        <f>IFERROR(P80/$AI80,"")</f>
        <v/>
      </c>
      <c r="BC80" s="129">
        <f>IFERROR(AG80/$AI80,"")</f>
        <v/>
      </c>
      <c r="BD80" s="129">
        <f>IFERROR(AH80/$AI80,"")</f>
        <v/>
      </c>
      <c r="BE80" s="129">
        <f>IFERROR(R80/$AI80,"")</f>
        <v/>
      </c>
      <c r="BF80" s="129">
        <f>IFERROR(S80/$AI80,"")</f>
        <v/>
      </c>
      <c r="BG80" s="129">
        <f>IFERROR(T80/$AI80,"")</f>
        <v/>
      </c>
      <c r="BH80" s="129">
        <f>IFERROR(U80/$AI80,"")</f>
        <v/>
      </c>
      <c r="BI80" s="129">
        <f>IFERROR(V80/$AI80,"")</f>
        <v/>
      </c>
      <c r="BJ80" s="129">
        <f>IFERROR(W80/$AI80,"")</f>
        <v/>
      </c>
      <c r="BK80" s="129">
        <f>IFERROR(X80/$AI80,"")</f>
        <v/>
      </c>
      <c r="BL80" s="129">
        <f>IFERROR(Y80/$AI80,"")</f>
        <v/>
      </c>
      <c r="BM80" s="129">
        <f>IFERROR(Z80/$AI80,"")</f>
        <v/>
      </c>
      <c r="BN80" s="129">
        <f>IFERROR(AA80/$AI80,"")</f>
        <v/>
      </c>
      <c r="BO80" s="129">
        <f>IFERROR(AB80/$AI80,"")</f>
        <v/>
      </c>
      <c r="BP80" s="129">
        <f>IFERROR(AC80/$AI80,"")</f>
        <v/>
      </c>
      <c r="BQ80" s="129">
        <f>IFERROR(AD80/$AI80,"")</f>
        <v/>
      </c>
      <c r="BR80" s="129">
        <f>IFERROR(AE80/$AI80,"")</f>
        <v/>
      </c>
      <c r="BS80" s="129">
        <f>IFERROR(AF80/$AI80,"")</f>
        <v/>
      </c>
      <c r="BT80" s="129">
        <f>IFERROR(AG80/$AI80,"")</f>
        <v/>
      </c>
      <c r="BU80" s="129">
        <f>IFERROR(AH80/$AI80,"")</f>
        <v/>
      </c>
      <c r="BV80" s="126">
        <f>SUM(AQ80:BD80)</f>
        <v/>
      </c>
      <c r="BW80" s="126">
        <f>SUM(BE80:BU80)</f>
        <v/>
      </c>
      <c r="BX80" s="126">
        <f>SUM(AQ80:AU80)</f>
        <v/>
      </c>
    </row>
    <row r="81" ht="12" customHeight="1" s="215">
      <c r="B81" s="127" t="n"/>
      <c r="C81" s="128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  <c r="AG81" s="125" t="n"/>
      <c r="AH81" s="125" t="n"/>
      <c r="AI81" s="127">
        <f>SUM(D81:AG81,AH81)</f>
        <v/>
      </c>
      <c r="AJ81" s="126">
        <f>(SUM($D81:$Q81))/AI81</f>
        <v/>
      </c>
      <c r="AK81" s="126">
        <f>(SUM($D81:$H81))/AI81</f>
        <v/>
      </c>
      <c r="AL81" s="126">
        <f>(SUM($R81:$AH81))/AI81</f>
        <v/>
      </c>
      <c r="AM81" s="161" t="n"/>
      <c r="AN81" s="125">
        <f>YEAR(C81)</f>
        <v/>
      </c>
      <c r="AO81" s="125">
        <f>MONTH(C81)</f>
        <v/>
      </c>
      <c r="AP81" s="125">
        <f>WEEKNUM(C81,2)</f>
        <v/>
      </c>
      <c r="AQ81" s="129">
        <f>IFERROR(D81/$AI81,"")</f>
        <v/>
      </c>
      <c r="AR81" s="129">
        <f>IFERROR(E81/$AI81,"")</f>
        <v/>
      </c>
      <c r="AS81" s="129">
        <f>IFERROR(F81/$AI81,"")</f>
        <v/>
      </c>
      <c r="AT81" s="129">
        <f>IFERROR(H81/$AI81,"")</f>
        <v/>
      </c>
      <c r="AU81" s="129">
        <f>IFERROR(I81/$AI81,"")</f>
        <v/>
      </c>
      <c r="AV81" s="129">
        <f>IFERROR(J81/$AI81,"")</f>
        <v/>
      </c>
      <c r="AW81" s="129">
        <f>IFERROR(K81/$AI81,"")</f>
        <v/>
      </c>
      <c r="AX81" s="129">
        <f>IFERROR(L81/$AI81,"")</f>
        <v/>
      </c>
      <c r="AY81" s="129">
        <f>IFERROR(M81/$AI81,"")</f>
        <v/>
      </c>
      <c r="AZ81" s="129">
        <f>IFERROR(N81/$AI81,"")</f>
        <v/>
      </c>
      <c r="BA81" s="129">
        <f>IFERROR(O81/$AI81,"")</f>
        <v/>
      </c>
      <c r="BB81" s="129">
        <f>IFERROR(P81/$AI81,"")</f>
        <v/>
      </c>
      <c r="BC81" s="129">
        <f>IFERROR(AG81/$AI81,"")</f>
        <v/>
      </c>
      <c r="BD81" s="129">
        <f>IFERROR(AH81/$AI81,"")</f>
        <v/>
      </c>
      <c r="BE81" s="129">
        <f>IFERROR(R81/$AI81,"")</f>
        <v/>
      </c>
      <c r="BF81" s="129">
        <f>IFERROR(S81/$AI81,"")</f>
        <v/>
      </c>
      <c r="BG81" s="129">
        <f>IFERROR(T81/$AI81,"")</f>
        <v/>
      </c>
      <c r="BH81" s="129">
        <f>IFERROR(U81/$AI81,"")</f>
        <v/>
      </c>
      <c r="BI81" s="129">
        <f>IFERROR(V81/$AI81,"")</f>
        <v/>
      </c>
      <c r="BJ81" s="129">
        <f>IFERROR(W81/$AI81,"")</f>
        <v/>
      </c>
      <c r="BK81" s="129">
        <f>IFERROR(X81/$AI81,"")</f>
        <v/>
      </c>
      <c r="BL81" s="129">
        <f>IFERROR(Y81/$AI81,"")</f>
        <v/>
      </c>
      <c r="BM81" s="129">
        <f>IFERROR(Z81/$AI81,"")</f>
        <v/>
      </c>
      <c r="BN81" s="129">
        <f>IFERROR(AA81/$AI81,"")</f>
        <v/>
      </c>
      <c r="BO81" s="129">
        <f>IFERROR(AB81/$AI81,"")</f>
        <v/>
      </c>
      <c r="BP81" s="129">
        <f>IFERROR(AC81/$AI81,"")</f>
        <v/>
      </c>
      <c r="BQ81" s="129">
        <f>IFERROR(AD81/$AI81,"")</f>
        <v/>
      </c>
      <c r="BR81" s="129">
        <f>IFERROR(AE81/$AI81,"")</f>
        <v/>
      </c>
      <c r="BS81" s="129">
        <f>IFERROR(AF81/$AI81,"")</f>
        <v/>
      </c>
      <c r="BT81" s="129">
        <f>IFERROR(AG81/$AI81,"")</f>
        <v/>
      </c>
      <c r="BU81" s="129">
        <f>IFERROR(AH81/$AI81,"")</f>
        <v/>
      </c>
      <c r="BV81" s="126">
        <f>SUM(AQ81:BD81)</f>
        <v/>
      </c>
      <c r="BW81" s="126">
        <f>SUM(BE81:BU81)</f>
        <v/>
      </c>
      <c r="BX81" s="126">
        <f>SUM(AQ81:AU81)</f>
        <v/>
      </c>
    </row>
    <row r="82" ht="12" customHeight="1" s="215">
      <c r="B82" s="127" t="n"/>
      <c r="C82" s="128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  <c r="AG82" s="125" t="n"/>
      <c r="AH82" s="125" t="n"/>
      <c r="AI82" s="127">
        <f>SUM(D82:AG82,AH82)</f>
        <v/>
      </c>
      <c r="AJ82" s="126">
        <f>(SUM($D82:$Q82))/AI82</f>
        <v/>
      </c>
      <c r="AK82" s="126">
        <f>(SUM($D82:$H82))/AI82</f>
        <v/>
      </c>
      <c r="AL82" s="126">
        <f>(SUM($R82:$AH82))/AI82</f>
        <v/>
      </c>
      <c r="AM82" s="161" t="n"/>
      <c r="AN82" s="125">
        <f>YEAR(C82)</f>
        <v/>
      </c>
      <c r="AO82" s="125">
        <f>MONTH(C82)</f>
        <v/>
      </c>
      <c r="AP82" s="125">
        <f>WEEKNUM(C82,2)</f>
        <v/>
      </c>
      <c r="AQ82" s="129">
        <f>IFERROR(D82/$AI82,"")</f>
        <v/>
      </c>
      <c r="AR82" s="129">
        <f>IFERROR(E82/$AI82,"")</f>
        <v/>
      </c>
      <c r="AS82" s="129">
        <f>IFERROR(F82/$AI82,"")</f>
        <v/>
      </c>
      <c r="AT82" s="129">
        <f>IFERROR(H82/$AI82,"")</f>
        <v/>
      </c>
      <c r="AU82" s="129">
        <f>IFERROR(I82/$AI82,"")</f>
        <v/>
      </c>
      <c r="AV82" s="129">
        <f>IFERROR(J82/$AI82,"")</f>
        <v/>
      </c>
      <c r="AW82" s="129">
        <f>IFERROR(K82/$AI82,"")</f>
        <v/>
      </c>
      <c r="AX82" s="129">
        <f>IFERROR(L82/$AI82,"")</f>
        <v/>
      </c>
      <c r="AY82" s="129">
        <f>IFERROR(M82/$AI82,"")</f>
        <v/>
      </c>
      <c r="AZ82" s="129">
        <f>IFERROR(N82/$AI82,"")</f>
        <v/>
      </c>
      <c r="BA82" s="129">
        <f>IFERROR(O82/$AI82,"")</f>
        <v/>
      </c>
      <c r="BB82" s="129">
        <f>IFERROR(P82/$AI82,"")</f>
        <v/>
      </c>
      <c r="BC82" s="129">
        <f>IFERROR(AG82/$AI82,"")</f>
        <v/>
      </c>
      <c r="BD82" s="129">
        <f>IFERROR(AH82/$AI82,"")</f>
        <v/>
      </c>
      <c r="BE82" s="129">
        <f>IFERROR(R82/$AI82,"")</f>
        <v/>
      </c>
      <c r="BF82" s="129">
        <f>IFERROR(S82/$AI82,"")</f>
        <v/>
      </c>
      <c r="BG82" s="129">
        <f>IFERROR(T82/$AI82,"")</f>
        <v/>
      </c>
      <c r="BH82" s="129">
        <f>IFERROR(U82/$AI82,"")</f>
        <v/>
      </c>
      <c r="BI82" s="129">
        <f>IFERROR(V82/$AI82,"")</f>
        <v/>
      </c>
      <c r="BJ82" s="129">
        <f>IFERROR(W82/$AI82,"")</f>
        <v/>
      </c>
      <c r="BK82" s="129">
        <f>IFERROR(X82/$AI82,"")</f>
        <v/>
      </c>
      <c r="BL82" s="129">
        <f>IFERROR(Y82/$AI82,"")</f>
        <v/>
      </c>
      <c r="BM82" s="129">
        <f>IFERROR(Z82/$AI82,"")</f>
        <v/>
      </c>
      <c r="BN82" s="129">
        <f>IFERROR(AA82/$AI82,"")</f>
        <v/>
      </c>
      <c r="BO82" s="129">
        <f>IFERROR(AB82/$AI82,"")</f>
        <v/>
      </c>
      <c r="BP82" s="129">
        <f>IFERROR(AC82/$AI82,"")</f>
        <v/>
      </c>
      <c r="BQ82" s="129">
        <f>IFERROR(AD82/$AI82,"")</f>
        <v/>
      </c>
      <c r="BR82" s="129">
        <f>IFERROR(AE82/$AI82,"")</f>
        <v/>
      </c>
      <c r="BS82" s="129">
        <f>IFERROR(AF82/$AI82,"")</f>
        <v/>
      </c>
      <c r="BT82" s="129">
        <f>IFERROR(AG82/$AI82,"")</f>
        <v/>
      </c>
      <c r="BU82" s="129">
        <f>IFERROR(AH82/$AI82,"")</f>
        <v/>
      </c>
      <c r="BV82" s="126">
        <f>SUM(AQ82:BD82)</f>
        <v/>
      </c>
      <c r="BW82" s="126">
        <f>SUM(BE82:BU82)</f>
        <v/>
      </c>
      <c r="BX82" s="126">
        <f>SUM(AQ82:AU82)</f>
        <v/>
      </c>
    </row>
    <row r="83" ht="12" customHeight="1" s="215">
      <c r="B83" s="127" t="n"/>
      <c r="C83" s="128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  <c r="AG83" s="125" t="n"/>
      <c r="AH83" s="125" t="n"/>
      <c r="AI83" s="127">
        <f>SUM(D83:AG83,AH83)</f>
        <v/>
      </c>
      <c r="AJ83" s="126">
        <f>(SUM($D83:$Q83))/AI83</f>
        <v/>
      </c>
      <c r="AK83" s="126">
        <f>(SUM($D83:$H83))/AI83</f>
        <v/>
      </c>
      <c r="AL83" s="126">
        <f>(SUM($R83:$AH83))/AI83</f>
        <v/>
      </c>
      <c r="AM83" s="161" t="n"/>
      <c r="AN83" s="125">
        <f>YEAR(C83)</f>
        <v/>
      </c>
      <c r="AO83" s="125">
        <f>MONTH(C83)</f>
        <v/>
      </c>
      <c r="AP83" s="125">
        <f>WEEKNUM(C83,2)</f>
        <v/>
      </c>
      <c r="AQ83" s="129">
        <f>IFERROR(D83/$AI83,"")</f>
        <v/>
      </c>
      <c r="AR83" s="129">
        <f>IFERROR(E83/$AI83,"")</f>
        <v/>
      </c>
      <c r="AS83" s="129">
        <f>IFERROR(F83/$AI83,"")</f>
        <v/>
      </c>
      <c r="AT83" s="129">
        <f>IFERROR(H83/$AI83,"")</f>
        <v/>
      </c>
      <c r="AU83" s="129">
        <f>IFERROR(I83/$AI83,"")</f>
        <v/>
      </c>
      <c r="AV83" s="129">
        <f>IFERROR(J83/$AI83,"")</f>
        <v/>
      </c>
      <c r="AW83" s="129">
        <f>IFERROR(K83/$AI83,"")</f>
        <v/>
      </c>
      <c r="AX83" s="129">
        <f>IFERROR(L83/$AI83,"")</f>
        <v/>
      </c>
      <c r="AY83" s="129">
        <f>IFERROR(M83/$AI83,"")</f>
        <v/>
      </c>
      <c r="AZ83" s="129">
        <f>IFERROR(N83/$AI83,"")</f>
        <v/>
      </c>
      <c r="BA83" s="129">
        <f>IFERROR(O83/$AI83,"")</f>
        <v/>
      </c>
      <c r="BB83" s="129">
        <f>IFERROR(P83/$AI83,"")</f>
        <v/>
      </c>
      <c r="BC83" s="129">
        <f>IFERROR(AG83/$AI83,"")</f>
        <v/>
      </c>
      <c r="BD83" s="129">
        <f>IFERROR(AH83/$AI83,"")</f>
        <v/>
      </c>
      <c r="BE83" s="129">
        <f>IFERROR(R83/$AI83,"")</f>
        <v/>
      </c>
      <c r="BF83" s="129">
        <f>IFERROR(S83/$AI83,"")</f>
        <v/>
      </c>
      <c r="BG83" s="129">
        <f>IFERROR(T83/$AI83,"")</f>
        <v/>
      </c>
      <c r="BH83" s="129">
        <f>IFERROR(U83/$AI83,"")</f>
        <v/>
      </c>
      <c r="BI83" s="129">
        <f>IFERROR(V83/$AI83,"")</f>
        <v/>
      </c>
      <c r="BJ83" s="129">
        <f>IFERROR(W83/$AI83,"")</f>
        <v/>
      </c>
      <c r="BK83" s="129">
        <f>IFERROR(X83/$AI83,"")</f>
        <v/>
      </c>
      <c r="BL83" s="129">
        <f>IFERROR(Y83/$AI83,"")</f>
        <v/>
      </c>
      <c r="BM83" s="129">
        <f>IFERROR(Z83/$AI83,"")</f>
        <v/>
      </c>
      <c r="BN83" s="129">
        <f>IFERROR(AA83/$AI83,"")</f>
        <v/>
      </c>
      <c r="BO83" s="129">
        <f>IFERROR(AB83/$AI83,"")</f>
        <v/>
      </c>
      <c r="BP83" s="129">
        <f>IFERROR(AC83/$AI83,"")</f>
        <v/>
      </c>
      <c r="BQ83" s="129">
        <f>IFERROR(AD83/$AI83,"")</f>
        <v/>
      </c>
      <c r="BR83" s="129">
        <f>IFERROR(AE83/$AI83,"")</f>
        <v/>
      </c>
      <c r="BS83" s="129">
        <f>IFERROR(AF83/$AI83,"")</f>
        <v/>
      </c>
      <c r="BT83" s="129">
        <f>IFERROR(AG83/$AI83,"")</f>
        <v/>
      </c>
      <c r="BU83" s="129">
        <f>IFERROR(AH83/$AI83,"")</f>
        <v/>
      </c>
      <c r="BV83" s="126">
        <f>SUM(AQ83:BD83)</f>
        <v/>
      </c>
      <c r="BW83" s="126">
        <f>SUM(BE83:BU83)</f>
        <v/>
      </c>
      <c r="BX83" s="126">
        <f>SUM(AQ83:AU83)</f>
        <v/>
      </c>
    </row>
    <row r="84" ht="12" customHeight="1" s="215">
      <c r="B84" s="127" t="n"/>
      <c r="C84" s="128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  <c r="AG84" s="125" t="n"/>
      <c r="AH84" s="125" t="n"/>
      <c r="AI84" s="127">
        <f>SUM(D84:AG84,AH84)</f>
        <v/>
      </c>
      <c r="AJ84" s="126">
        <f>(SUM($D84:$Q84))/AI84</f>
        <v/>
      </c>
      <c r="AK84" s="126">
        <f>(SUM($D84:$H84))/AI84</f>
        <v/>
      </c>
      <c r="AL84" s="126">
        <f>(SUM($R84:$AH84))/AI84</f>
        <v/>
      </c>
      <c r="AM84" s="161" t="n"/>
      <c r="AN84" s="125">
        <f>YEAR(C84)</f>
        <v/>
      </c>
      <c r="AO84" s="125">
        <f>MONTH(C84)</f>
        <v/>
      </c>
      <c r="AP84" s="125">
        <f>WEEKNUM(C84,2)</f>
        <v/>
      </c>
      <c r="AQ84" s="129">
        <f>IFERROR(D84/$AI84,"")</f>
        <v/>
      </c>
      <c r="AR84" s="129">
        <f>IFERROR(E84/$AI84,"")</f>
        <v/>
      </c>
      <c r="AS84" s="129">
        <f>IFERROR(F84/$AI84,"")</f>
        <v/>
      </c>
      <c r="AT84" s="129">
        <f>IFERROR(H84/$AI84,"")</f>
        <v/>
      </c>
      <c r="AU84" s="129">
        <f>IFERROR(I84/$AI84,"")</f>
        <v/>
      </c>
      <c r="AV84" s="129">
        <f>IFERROR(J84/$AI84,"")</f>
        <v/>
      </c>
      <c r="AW84" s="129">
        <f>IFERROR(K84/$AI84,"")</f>
        <v/>
      </c>
      <c r="AX84" s="129">
        <f>IFERROR(L84/$AI84,"")</f>
        <v/>
      </c>
      <c r="AY84" s="129">
        <f>IFERROR(M84/$AI84,"")</f>
        <v/>
      </c>
      <c r="AZ84" s="129">
        <f>IFERROR(N84/$AI84,"")</f>
        <v/>
      </c>
      <c r="BA84" s="129">
        <f>IFERROR(O84/$AI84,"")</f>
        <v/>
      </c>
      <c r="BB84" s="129">
        <f>IFERROR(P84/$AI84,"")</f>
        <v/>
      </c>
      <c r="BC84" s="129">
        <f>IFERROR(AG84/$AI84,"")</f>
        <v/>
      </c>
      <c r="BD84" s="129">
        <f>IFERROR(AH84/$AI84,"")</f>
        <v/>
      </c>
      <c r="BE84" s="129">
        <f>IFERROR(R84/$AI84,"")</f>
        <v/>
      </c>
      <c r="BF84" s="129">
        <f>IFERROR(S84/$AI84,"")</f>
        <v/>
      </c>
      <c r="BG84" s="129">
        <f>IFERROR(T84/$AI84,"")</f>
        <v/>
      </c>
      <c r="BH84" s="129">
        <f>IFERROR(U84/$AI84,"")</f>
        <v/>
      </c>
      <c r="BI84" s="129">
        <f>IFERROR(V84/$AI84,"")</f>
        <v/>
      </c>
      <c r="BJ84" s="129">
        <f>IFERROR(W84/$AI84,"")</f>
        <v/>
      </c>
      <c r="BK84" s="129">
        <f>IFERROR(X84/$AI84,"")</f>
        <v/>
      </c>
      <c r="BL84" s="129">
        <f>IFERROR(Y84/$AI84,"")</f>
        <v/>
      </c>
      <c r="BM84" s="129">
        <f>IFERROR(Z84/$AI84,"")</f>
        <v/>
      </c>
      <c r="BN84" s="129">
        <f>IFERROR(AA84/$AI84,"")</f>
        <v/>
      </c>
      <c r="BO84" s="129">
        <f>IFERROR(AB84/$AI84,"")</f>
        <v/>
      </c>
      <c r="BP84" s="129">
        <f>IFERROR(AC84/$AI84,"")</f>
        <v/>
      </c>
      <c r="BQ84" s="129">
        <f>IFERROR(AD84/$AI84,"")</f>
        <v/>
      </c>
      <c r="BR84" s="129">
        <f>IFERROR(AE84/$AI84,"")</f>
        <v/>
      </c>
      <c r="BS84" s="129">
        <f>IFERROR(AF84/$AI84,"")</f>
        <v/>
      </c>
      <c r="BT84" s="129">
        <f>IFERROR(AG84/$AI84,"")</f>
        <v/>
      </c>
      <c r="BU84" s="129">
        <f>IFERROR(AH84/$AI84,"")</f>
        <v/>
      </c>
      <c r="BV84" s="126">
        <f>SUM(AQ84:BD84)</f>
        <v/>
      </c>
      <c r="BW84" s="126">
        <f>SUM(BE84:BU84)</f>
        <v/>
      </c>
      <c r="BX84" s="126">
        <f>SUM(AQ84:AU84)</f>
        <v/>
      </c>
    </row>
    <row r="85" ht="12" customHeight="1" s="215">
      <c r="B85" s="127" t="n"/>
      <c r="C85" s="128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  <c r="AG85" s="125" t="n"/>
      <c r="AH85" s="125" t="n"/>
      <c r="AI85" s="127">
        <f>SUM(D85:AG85,AH85)</f>
        <v/>
      </c>
      <c r="AJ85" s="126">
        <f>(SUM($D85:$Q85))/AI85</f>
        <v/>
      </c>
      <c r="AK85" s="126">
        <f>(SUM($D85:$H85))/AI85</f>
        <v/>
      </c>
      <c r="AL85" s="126">
        <f>(SUM($R85:$AH85))/AI85</f>
        <v/>
      </c>
      <c r="AM85" s="161" t="n"/>
      <c r="AN85" s="125">
        <f>YEAR(C85)</f>
        <v/>
      </c>
      <c r="AO85" s="125">
        <f>MONTH(C85)</f>
        <v/>
      </c>
      <c r="AP85" s="125">
        <f>WEEKNUM(C85,2)</f>
        <v/>
      </c>
      <c r="AQ85" s="129">
        <f>IFERROR(D85/$AI85,"")</f>
        <v/>
      </c>
      <c r="AR85" s="129">
        <f>IFERROR(E85/$AI85,"")</f>
        <v/>
      </c>
      <c r="AS85" s="129">
        <f>IFERROR(F85/$AI85,"")</f>
        <v/>
      </c>
      <c r="AT85" s="129">
        <f>IFERROR(H85/$AI85,"")</f>
        <v/>
      </c>
      <c r="AU85" s="129">
        <f>IFERROR(I85/$AI85,"")</f>
        <v/>
      </c>
      <c r="AV85" s="129">
        <f>IFERROR(J85/$AI85,"")</f>
        <v/>
      </c>
      <c r="AW85" s="129">
        <f>IFERROR(K85/$AI85,"")</f>
        <v/>
      </c>
      <c r="AX85" s="129">
        <f>IFERROR(L85/$AI85,"")</f>
        <v/>
      </c>
      <c r="AY85" s="129">
        <f>IFERROR(M85/$AI85,"")</f>
        <v/>
      </c>
      <c r="AZ85" s="129">
        <f>IFERROR(N85/$AI85,"")</f>
        <v/>
      </c>
      <c r="BA85" s="129">
        <f>IFERROR(O85/$AI85,"")</f>
        <v/>
      </c>
      <c r="BB85" s="129">
        <f>IFERROR(P85/$AI85,"")</f>
        <v/>
      </c>
      <c r="BC85" s="129">
        <f>IFERROR(AG85/$AI85,"")</f>
        <v/>
      </c>
      <c r="BD85" s="129">
        <f>IFERROR(AH85/$AI85,"")</f>
        <v/>
      </c>
      <c r="BE85" s="129">
        <f>IFERROR(R85/$AI85,"")</f>
        <v/>
      </c>
      <c r="BF85" s="129">
        <f>IFERROR(S85/$AI85,"")</f>
        <v/>
      </c>
      <c r="BG85" s="129">
        <f>IFERROR(T85/$AI85,"")</f>
        <v/>
      </c>
      <c r="BH85" s="129">
        <f>IFERROR(U85/$AI85,"")</f>
        <v/>
      </c>
      <c r="BI85" s="129">
        <f>IFERROR(V85/$AI85,"")</f>
        <v/>
      </c>
      <c r="BJ85" s="129">
        <f>IFERROR(W85/$AI85,"")</f>
        <v/>
      </c>
      <c r="BK85" s="129">
        <f>IFERROR(X85/$AI85,"")</f>
        <v/>
      </c>
      <c r="BL85" s="129">
        <f>IFERROR(Y85/$AI85,"")</f>
        <v/>
      </c>
      <c r="BM85" s="129">
        <f>IFERROR(Z85/$AI85,"")</f>
        <v/>
      </c>
      <c r="BN85" s="129">
        <f>IFERROR(AA85/$AI85,"")</f>
        <v/>
      </c>
      <c r="BO85" s="129">
        <f>IFERROR(AB85/$AI85,"")</f>
        <v/>
      </c>
      <c r="BP85" s="129">
        <f>IFERROR(AC85/$AI85,"")</f>
        <v/>
      </c>
      <c r="BQ85" s="129">
        <f>IFERROR(AD85/$AI85,"")</f>
        <v/>
      </c>
      <c r="BR85" s="129">
        <f>IFERROR(AE85/$AI85,"")</f>
        <v/>
      </c>
      <c r="BS85" s="129">
        <f>IFERROR(AF85/$AI85,"")</f>
        <v/>
      </c>
      <c r="BT85" s="129">
        <f>IFERROR(AG85/$AI85,"")</f>
        <v/>
      </c>
      <c r="BU85" s="129">
        <f>IFERROR(AH85/$AI85,"")</f>
        <v/>
      </c>
      <c r="BV85" s="126">
        <f>SUM(AQ85:BD85)</f>
        <v/>
      </c>
      <c r="BW85" s="126">
        <f>SUM(BE85:BU85)</f>
        <v/>
      </c>
      <c r="BX85" s="126">
        <f>SUM(AQ85:AU85)</f>
        <v/>
      </c>
    </row>
    <row r="86" ht="12" customHeight="1" s="215">
      <c r="B86" s="127" t="n"/>
      <c r="C86" s="128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  <c r="AG86" s="125" t="n"/>
      <c r="AH86" s="125" t="n"/>
      <c r="AI86" s="127">
        <f>SUM(D86:AG86,AH86)</f>
        <v/>
      </c>
      <c r="AJ86" s="126">
        <f>(SUM($D86:$Q86))/AI86</f>
        <v/>
      </c>
      <c r="AK86" s="126">
        <f>(SUM($D86:$H86))/AI86</f>
        <v/>
      </c>
      <c r="AL86" s="126">
        <f>(SUM($R86:$AH86))/AI86</f>
        <v/>
      </c>
      <c r="AM86" s="161" t="n"/>
      <c r="AN86" s="125">
        <f>YEAR(C86)</f>
        <v/>
      </c>
      <c r="AO86" s="125">
        <f>MONTH(C86)</f>
        <v/>
      </c>
      <c r="AP86" s="125">
        <f>WEEKNUM(C86,2)</f>
        <v/>
      </c>
      <c r="AQ86" s="129">
        <f>IFERROR(D86/$AI86,"")</f>
        <v/>
      </c>
      <c r="AR86" s="129">
        <f>IFERROR(E86/$AI86,"")</f>
        <v/>
      </c>
      <c r="AS86" s="129">
        <f>IFERROR(F86/$AI86,"")</f>
        <v/>
      </c>
      <c r="AT86" s="129">
        <f>IFERROR(H86/$AI86,"")</f>
        <v/>
      </c>
      <c r="AU86" s="129">
        <f>IFERROR(I86/$AI86,"")</f>
        <v/>
      </c>
      <c r="AV86" s="129">
        <f>IFERROR(J86/$AI86,"")</f>
        <v/>
      </c>
      <c r="AW86" s="129">
        <f>IFERROR(K86/$AI86,"")</f>
        <v/>
      </c>
      <c r="AX86" s="129">
        <f>IFERROR(L86/$AI86,"")</f>
        <v/>
      </c>
      <c r="AY86" s="129">
        <f>IFERROR(M86/$AI86,"")</f>
        <v/>
      </c>
      <c r="AZ86" s="129">
        <f>IFERROR(N86/$AI86,"")</f>
        <v/>
      </c>
      <c r="BA86" s="129">
        <f>IFERROR(O86/$AI86,"")</f>
        <v/>
      </c>
      <c r="BB86" s="129">
        <f>IFERROR(P86/$AI86,"")</f>
        <v/>
      </c>
      <c r="BC86" s="129">
        <f>IFERROR(AG86/$AI86,"")</f>
        <v/>
      </c>
      <c r="BD86" s="129">
        <f>IFERROR(AH86/$AI86,"")</f>
        <v/>
      </c>
      <c r="BE86" s="129">
        <f>IFERROR(R86/$AI86,"")</f>
        <v/>
      </c>
      <c r="BF86" s="129">
        <f>IFERROR(S86/$AI86,"")</f>
        <v/>
      </c>
      <c r="BG86" s="129">
        <f>IFERROR(T86/$AI86,"")</f>
        <v/>
      </c>
      <c r="BH86" s="129">
        <f>IFERROR(U86/$AI86,"")</f>
        <v/>
      </c>
      <c r="BI86" s="129">
        <f>IFERROR(V86/$AI86,"")</f>
        <v/>
      </c>
      <c r="BJ86" s="129">
        <f>IFERROR(W86/$AI86,"")</f>
        <v/>
      </c>
      <c r="BK86" s="129">
        <f>IFERROR(X86/$AI86,"")</f>
        <v/>
      </c>
      <c r="BL86" s="129">
        <f>IFERROR(Y86/$AI86,"")</f>
        <v/>
      </c>
      <c r="BM86" s="129">
        <f>IFERROR(Z86/$AI86,"")</f>
        <v/>
      </c>
      <c r="BN86" s="129">
        <f>IFERROR(AA86/$AI86,"")</f>
        <v/>
      </c>
      <c r="BO86" s="129">
        <f>IFERROR(AB86/$AI86,"")</f>
        <v/>
      </c>
      <c r="BP86" s="129">
        <f>IFERROR(AC86/$AI86,"")</f>
        <v/>
      </c>
      <c r="BQ86" s="129">
        <f>IFERROR(AD86/$AI86,"")</f>
        <v/>
      </c>
      <c r="BR86" s="129">
        <f>IFERROR(AE86/$AI86,"")</f>
        <v/>
      </c>
      <c r="BS86" s="129">
        <f>IFERROR(AF86/$AI86,"")</f>
        <v/>
      </c>
      <c r="BT86" s="129">
        <f>IFERROR(AG86/$AI86,"")</f>
        <v/>
      </c>
      <c r="BU86" s="129">
        <f>IFERROR(AH86/$AI86,"")</f>
        <v/>
      </c>
      <c r="BV86" s="126">
        <f>SUM(AQ86:BD86)</f>
        <v/>
      </c>
      <c r="BW86" s="126">
        <f>SUM(BE86:BU86)</f>
        <v/>
      </c>
      <c r="BX86" s="126">
        <f>SUM(AQ86:AU86)</f>
        <v/>
      </c>
    </row>
    <row r="87" ht="12" customHeight="1" s="215">
      <c r="B87" s="127" t="n"/>
      <c r="C87" s="128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  <c r="AG87" s="125" t="n"/>
      <c r="AH87" s="125" t="n"/>
      <c r="AI87" s="127">
        <f>SUM(D87:AG87,AH87)</f>
        <v/>
      </c>
      <c r="AJ87" s="126">
        <f>(SUM($D87:$Q87))/AI87</f>
        <v/>
      </c>
      <c r="AK87" s="126">
        <f>(SUM($D87:$H87))/AI87</f>
        <v/>
      </c>
      <c r="AL87" s="126">
        <f>(SUM($R87:$AH87))/AI87</f>
        <v/>
      </c>
      <c r="AM87" s="161" t="n"/>
      <c r="AN87" s="125">
        <f>YEAR(C87)</f>
        <v/>
      </c>
      <c r="AO87" s="125">
        <f>MONTH(C87)</f>
        <v/>
      </c>
      <c r="AP87" s="125">
        <f>WEEKNUM(C87,2)</f>
        <v/>
      </c>
      <c r="AQ87" s="129">
        <f>IFERROR(D87/$AI87,"")</f>
        <v/>
      </c>
      <c r="AR87" s="129">
        <f>IFERROR(E87/$AI87,"")</f>
        <v/>
      </c>
      <c r="AS87" s="129">
        <f>IFERROR(F87/$AI87,"")</f>
        <v/>
      </c>
      <c r="AT87" s="129">
        <f>IFERROR(H87/$AI87,"")</f>
        <v/>
      </c>
      <c r="AU87" s="129">
        <f>IFERROR(I87/$AI87,"")</f>
        <v/>
      </c>
      <c r="AV87" s="129">
        <f>IFERROR(J87/$AI87,"")</f>
        <v/>
      </c>
      <c r="AW87" s="129">
        <f>IFERROR(K87/$AI87,"")</f>
        <v/>
      </c>
      <c r="AX87" s="129">
        <f>IFERROR(L87/$AI87,"")</f>
        <v/>
      </c>
      <c r="AY87" s="129">
        <f>IFERROR(M87/$AI87,"")</f>
        <v/>
      </c>
      <c r="AZ87" s="129">
        <f>IFERROR(N87/$AI87,"")</f>
        <v/>
      </c>
      <c r="BA87" s="129">
        <f>IFERROR(O87/$AI87,"")</f>
        <v/>
      </c>
      <c r="BB87" s="129">
        <f>IFERROR(P87/$AI87,"")</f>
        <v/>
      </c>
      <c r="BC87" s="129">
        <f>IFERROR(AG87/$AI87,"")</f>
        <v/>
      </c>
      <c r="BD87" s="129">
        <f>IFERROR(AH87/$AI87,"")</f>
        <v/>
      </c>
      <c r="BE87" s="129">
        <f>IFERROR(R87/$AI87,"")</f>
        <v/>
      </c>
      <c r="BF87" s="129">
        <f>IFERROR(S87/$AI87,"")</f>
        <v/>
      </c>
      <c r="BG87" s="129">
        <f>IFERROR(T87/$AI87,"")</f>
        <v/>
      </c>
      <c r="BH87" s="129">
        <f>IFERROR(U87/$AI87,"")</f>
        <v/>
      </c>
      <c r="BI87" s="129">
        <f>IFERROR(V87/$AI87,"")</f>
        <v/>
      </c>
      <c r="BJ87" s="129">
        <f>IFERROR(W87/$AI87,"")</f>
        <v/>
      </c>
      <c r="BK87" s="129">
        <f>IFERROR(X87/$AI87,"")</f>
        <v/>
      </c>
      <c r="BL87" s="129">
        <f>IFERROR(Y87/$AI87,"")</f>
        <v/>
      </c>
      <c r="BM87" s="129">
        <f>IFERROR(Z87/$AI87,"")</f>
        <v/>
      </c>
      <c r="BN87" s="129">
        <f>IFERROR(AA87/$AI87,"")</f>
        <v/>
      </c>
      <c r="BO87" s="129">
        <f>IFERROR(AB87/$AI87,"")</f>
        <v/>
      </c>
      <c r="BP87" s="129">
        <f>IFERROR(AC87/$AI87,"")</f>
        <v/>
      </c>
      <c r="BQ87" s="129">
        <f>IFERROR(AD87/$AI87,"")</f>
        <v/>
      </c>
      <c r="BR87" s="129">
        <f>IFERROR(AE87/$AI87,"")</f>
        <v/>
      </c>
      <c r="BS87" s="129">
        <f>IFERROR(AF87/$AI87,"")</f>
        <v/>
      </c>
      <c r="BT87" s="129">
        <f>IFERROR(AG87/$AI87,"")</f>
        <v/>
      </c>
      <c r="BU87" s="129">
        <f>IFERROR(AH87/$AI87,"")</f>
        <v/>
      </c>
      <c r="BV87" s="126">
        <f>SUM(AQ87:BD87)</f>
        <v/>
      </c>
      <c r="BW87" s="126">
        <f>SUM(BE87:BU87)</f>
        <v/>
      </c>
      <c r="BX87" s="126">
        <f>SUM(AQ87:AU87)</f>
        <v/>
      </c>
    </row>
    <row r="88" ht="12" customHeight="1" s="215">
      <c r="B88" s="127" t="n"/>
      <c r="C88" s="128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  <c r="AG88" s="125" t="n"/>
      <c r="AH88" s="125" t="n"/>
      <c r="AI88" s="127">
        <f>SUM(D88:AG88,AH88)</f>
        <v/>
      </c>
      <c r="AJ88" s="126">
        <f>(SUM($D88:$Q88))/AI88</f>
        <v/>
      </c>
      <c r="AK88" s="126">
        <f>(SUM($D88:$H88))/AI88</f>
        <v/>
      </c>
      <c r="AL88" s="126">
        <f>(SUM($R88:$AH88))/AI88</f>
        <v/>
      </c>
      <c r="AM88" s="161" t="n"/>
      <c r="AN88" s="125">
        <f>YEAR(C88)</f>
        <v/>
      </c>
      <c r="AO88" s="125">
        <f>MONTH(C88)</f>
        <v/>
      </c>
      <c r="AP88" s="125">
        <f>WEEKNUM(C88,2)</f>
        <v/>
      </c>
      <c r="AQ88" s="129">
        <f>IFERROR(D88/$AI88,"")</f>
        <v/>
      </c>
      <c r="AR88" s="129">
        <f>IFERROR(E88/$AI88,"")</f>
        <v/>
      </c>
      <c r="AS88" s="129">
        <f>IFERROR(F88/$AI88,"")</f>
        <v/>
      </c>
      <c r="AT88" s="129">
        <f>IFERROR(H88/$AI88,"")</f>
        <v/>
      </c>
      <c r="AU88" s="129">
        <f>IFERROR(I88/$AI88,"")</f>
        <v/>
      </c>
      <c r="AV88" s="129">
        <f>IFERROR(J88/$AI88,"")</f>
        <v/>
      </c>
      <c r="AW88" s="129">
        <f>IFERROR(K88/$AI88,"")</f>
        <v/>
      </c>
      <c r="AX88" s="129">
        <f>IFERROR(L88/$AI88,"")</f>
        <v/>
      </c>
      <c r="AY88" s="129">
        <f>IFERROR(M88/$AI88,"")</f>
        <v/>
      </c>
      <c r="AZ88" s="129">
        <f>IFERROR(N88/$AI88,"")</f>
        <v/>
      </c>
      <c r="BA88" s="129">
        <f>IFERROR(O88/$AI88,"")</f>
        <v/>
      </c>
      <c r="BB88" s="129">
        <f>IFERROR(P88/$AI88,"")</f>
        <v/>
      </c>
      <c r="BC88" s="129">
        <f>IFERROR(AG88/$AI88,"")</f>
        <v/>
      </c>
      <c r="BD88" s="129">
        <f>IFERROR(AH88/$AI88,"")</f>
        <v/>
      </c>
      <c r="BE88" s="129">
        <f>IFERROR(R88/$AI88,"")</f>
        <v/>
      </c>
      <c r="BF88" s="129">
        <f>IFERROR(S88/$AI88,"")</f>
        <v/>
      </c>
      <c r="BG88" s="129">
        <f>IFERROR(T88/$AI88,"")</f>
        <v/>
      </c>
      <c r="BH88" s="129">
        <f>IFERROR(U88/$AI88,"")</f>
        <v/>
      </c>
      <c r="BI88" s="129">
        <f>IFERROR(V88/$AI88,"")</f>
        <v/>
      </c>
      <c r="BJ88" s="129">
        <f>IFERROR(W88/$AI88,"")</f>
        <v/>
      </c>
      <c r="BK88" s="129">
        <f>IFERROR(X88/$AI88,"")</f>
        <v/>
      </c>
      <c r="BL88" s="129">
        <f>IFERROR(Y88/$AI88,"")</f>
        <v/>
      </c>
      <c r="BM88" s="129">
        <f>IFERROR(Z88/$AI88,"")</f>
        <v/>
      </c>
      <c r="BN88" s="129">
        <f>IFERROR(AA88/$AI88,"")</f>
        <v/>
      </c>
      <c r="BO88" s="129">
        <f>IFERROR(AB88/$AI88,"")</f>
        <v/>
      </c>
      <c r="BP88" s="129">
        <f>IFERROR(AC88/$AI88,"")</f>
        <v/>
      </c>
      <c r="BQ88" s="129">
        <f>IFERROR(AD88/$AI88,"")</f>
        <v/>
      </c>
      <c r="BR88" s="129">
        <f>IFERROR(AE88/$AI88,"")</f>
        <v/>
      </c>
      <c r="BS88" s="129">
        <f>IFERROR(AF88/$AI88,"")</f>
        <v/>
      </c>
      <c r="BT88" s="129">
        <f>IFERROR(AG88/$AI88,"")</f>
        <v/>
      </c>
      <c r="BU88" s="129">
        <f>IFERROR(AH88/$AI88,"")</f>
        <v/>
      </c>
      <c r="BV88" s="126">
        <f>SUM(AQ88:BD88)</f>
        <v/>
      </c>
      <c r="BW88" s="126">
        <f>SUM(BE88:BU88)</f>
        <v/>
      </c>
      <c r="BX88" s="126">
        <f>SUM(AQ88:AU88)</f>
        <v/>
      </c>
    </row>
    <row r="89" ht="12" customHeight="1" s="215">
      <c r="B89" s="127" t="n"/>
      <c r="C89" s="128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  <c r="AG89" s="125" t="n"/>
      <c r="AH89" s="125" t="n"/>
      <c r="AI89" s="127">
        <f>SUM(D89:AG89,AH89)</f>
        <v/>
      </c>
      <c r="AJ89" s="126">
        <f>(SUM($D89:$Q89))/AI89</f>
        <v/>
      </c>
      <c r="AK89" s="126">
        <f>(SUM($D89:$H89))/AI89</f>
        <v/>
      </c>
      <c r="AL89" s="126">
        <f>(SUM($R89:$AH89))/AI89</f>
        <v/>
      </c>
      <c r="AM89" s="161" t="n"/>
      <c r="AN89" s="125">
        <f>YEAR(C89)</f>
        <v/>
      </c>
      <c r="AO89" s="125">
        <f>MONTH(C89)</f>
        <v/>
      </c>
      <c r="AP89" s="125">
        <f>WEEKNUM(C89,2)</f>
        <v/>
      </c>
      <c r="AQ89" s="129">
        <f>IFERROR(D89/$AI89,"")</f>
        <v/>
      </c>
      <c r="AR89" s="129">
        <f>IFERROR(E89/$AI89,"")</f>
        <v/>
      </c>
      <c r="AS89" s="129">
        <f>IFERROR(F89/$AI89,"")</f>
        <v/>
      </c>
      <c r="AT89" s="129">
        <f>IFERROR(H89/$AI89,"")</f>
        <v/>
      </c>
      <c r="AU89" s="129">
        <f>IFERROR(I89/$AI89,"")</f>
        <v/>
      </c>
      <c r="AV89" s="129">
        <f>IFERROR(J89/$AI89,"")</f>
        <v/>
      </c>
      <c r="AW89" s="129">
        <f>IFERROR(K89/$AI89,"")</f>
        <v/>
      </c>
      <c r="AX89" s="129">
        <f>IFERROR(L89/$AI89,"")</f>
        <v/>
      </c>
      <c r="AY89" s="129">
        <f>IFERROR(M89/$AI89,"")</f>
        <v/>
      </c>
      <c r="AZ89" s="129">
        <f>IFERROR(N89/$AI89,"")</f>
        <v/>
      </c>
      <c r="BA89" s="129">
        <f>IFERROR(O89/$AI89,"")</f>
        <v/>
      </c>
      <c r="BB89" s="129">
        <f>IFERROR(P89/$AI89,"")</f>
        <v/>
      </c>
      <c r="BC89" s="129">
        <f>IFERROR(AG89/$AI89,"")</f>
        <v/>
      </c>
      <c r="BD89" s="129">
        <f>IFERROR(AH89/$AI89,"")</f>
        <v/>
      </c>
      <c r="BE89" s="129">
        <f>IFERROR(R89/$AI89,"")</f>
        <v/>
      </c>
      <c r="BF89" s="129">
        <f>IFERROR(S89/$AI89,"")</f>
        <v/>
      </c>
      <c r="BG89" s="129">
        <f>IFERROR(T89/$AI89,"")</f>
        <v/>
      </c>
      <c r="BH89" s="129">
        <f>IFERROR(U89/$AI89,"")</f>
        <v/>
      </c>
      <c r="BI89" s="129">
        <f>IFERROR(V89/$AI89,"")</f>
        <v/>
      </c>
      <c r="BJ89" s="129">
        <f>IFERROR(W89/$AI89,"")</f>
        <v/>
      </c>
      <c r="BK89" s="129">
        <f>IFERROR(X89/$AI89,"")</f>
        <v/>
      </c>
      <c r="BL89" s="129">
        <f>IFERROR(Y89/$AI89,"")</f>
        <v/>
      </c>
      <c r="BM89" s="129">
        <f>IFERROR(Z89/$AI89,"")</f>
        <v/>
      </c>
      <c r="BN89" s="129">
        <f>IFERROR(AA89/$AI89,"")</f>
        <v/>
      </c>
      <c r="BO89" s="129">
        <f>IFERROR(AB89/$AI89,"")</f>
        <v/>
      </c>
      <c r="BP89" s="129">
        <f>IFERROR(AC89/$AI89,"")</f>
        <v/>
      </c>
      <c r="BQ89" s="129">
        <f>IFERROR(AD89/$AI89,"")</f>
        <v/>
      </c>
      <c r="BR89" s="129">
        <f>IFERROR(AE89/$AI89,"")</f>
        <v/>
      </c>
      <c r="BS89" s="129">
        <f>IFERROR(AF89/$AI89,"")</f>
        <v/>
      </c>
      <c r="BT89" s="129">
        <f>IFERROR(AG89/$AI89,"")</f>
        <v/>
      </c>
      <c r="BU89" s="129">
        <f>IFERROR(AH89/$AI89,"")</f>
        <v/>
      </c>
      <c r="BV89" s="126">
        <f>SUM(AQ89:BD89)</f>
        <v/>
      </c>
      <c r="BW89" s="126">
        <f>SUM(BE89:BU89)</f>
        <v/>
      </c>
      <c r="BX89" s="126">
        <f>SUM(AQ89:AU89)</f>
        <v/>
      </c>
    </row>
    <row r="90" ht="12" customHeight="1" s="215">
      <c r="B90" s="127" t="n"/>
      <c r="C90" s="128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  <c r="AG90" s="125" t="n"/>
      <c r="AH90" s="125" t="n"/>
      <c r="AI90" s="127">
        <f>SUM(D90:AG90,AH90)</f>
        <v/>
      </c>
      <c r="AJ90" s="126">
        <f>(SUM($D90:$Q90))/AI90</f>
        <v/>
      </c>
      <c r="AK90" s="126">
        <f>(SUM($D90:$H90))/AI90</f>
        <v/>
      </c>
      <c r="AL90" s="126">
        <f>(SUM($R90:$AH90))/AI90</f>
        <v/>
      </c>
      <c r="AM90" s="161" t="n"/>
      <c r="AN90" s="125">
        <f>YEAR(C90)</f>
        <v/>
      </c>
      <c r="AO90" s="125">
        <f>MONTH(C90)</f>
        <v/>
      </c>
      <c r="AP90" s="125">
        <f>WEEKNUM(C90,2)</f>
        <v/>
      </c>
      <c r="AQ90" s="129">
        <f>IFERROR(D90/$AI90,"")</f>
        <v/>
      </c>
      <c r="AR90" s="129">
        <f>IFERROR(E90/$AI90,"")</f>
        <v/>
      </c>
      <c r="AS90" s="129">
        <f>IFERROR(F90/$AI90,"")</f>
        <v/>
      </c>
      <c r="AT90" s="129">
        <f>IFERROR(H90/$AI90,"")</f>
        <v/>
      </c>
      <c r="AU90" s="129">
        <f>IFERROR(I90/$AI90,"")</f>
        <v/>
      </c>
      <c r="AV90" s="129">
        <f>IFERROR(J90/$AI90,"")</f>
        <v/>
      </c>
      <c r="AW90" s="129">
        <f>IFERROR(K90/$AI90,"")</f>
        <v/>
      </c>
      <c r="AX90" s="129">
        <f>IFERROR(L90/$AI90,"")</f>
        <v/>
      </c>
      <c r="AY90" s="129">
        <f>IFERROR(M90/$AI90,"")</f>
        <v/>
      </c>
      <c r="AZ90" s="129">
        <f>IFERROR(N90/$AI90,"")</f>
        <v/>
      </c>
      <c r="BA90" s="129">
        <f>IFERROR(O90/$AI90,"")</f>
        <v/>
      </c>
      <c r="BB90" s="129">
        <f>IFERROR(P90/$AI90,"")</f>
        <v/>
      </c>
      <c r="BC90" s="129">
        <f>IFERROR(AG90/$AI90,"")</f>
        <v/>
      </c>
      <c r="BD90" s="129">
        <f>IFERROR(AH90/$AI90,"")</f>
        <v/>
      </c>
      <c r="BE90" s="129">
        <f>IFERROR(R90/$AI90,"")</f>
        <v/>
      </c>
      <c r="BF90" s="129">
        <f>IFERROR(S90/$AI90,"")</f>
        <v/>
      </c>
      <c r="BG90" s="129">
        <f>IFERROR(T90/$AI90,"")</f>
        <v/>
      </c>
      <c r="BH90" s="129">
        <f>IFERROR(U90/$AI90,"")</f>
        <v/>
      </c>
      <c r="BI90" s="129">
        <f>IFERROR(V90/$AI90,"")</f>
        <v/>
      </c>
      <c r="BJ90" s="129">
        <f>IFERROR(W90/$AI90,"")</f>
        <v/>
      </c>
      <c r="BK90" s="129">
        <f>IFERROR(X90/$AI90,"")</f>
        <v/>
      </c>
      <c r="BL90" s="129">
        <f>IFERROR(Y90/$AI90,"")</f>
        <v/>
      </c>
      <c r="BM90" s="129">
        <f>IFERROR(Z90/$AI90,"")</f>
        <v/>
      </c>
      <c r="BN90" s="129">
        <f>IFERROR(AA90/$AI90,"")</f>
        <v/>
      </c>
      <c r="BO90" s="129">
        <f>IFERROR(AB90/$AI90,"")</f>
        <v/>
      </c>
      <c r="BP90" s="129">
        <f>IFERROR(AC90/$AI90,"")</f>
        <v/>
      </c>
      <c r="BQ90" s="129">
        <f>IFERROR(AD90/$AI90,"")</f>
        <v/>
      </c>
      <c r="BR90" s="129">
        <f>IFERROR(AE90/$AI90,"")</f>
        <v/>
      </c>
      <c r="BS90" s="129">
        <f>IFERROR(AF90/$AI90,"")</f>
        <v/>
      </c>
      <c r="BT90" s="129">
        <f>IFERROR(AG90/$AI90,"")</f>
        <v/>
      </c>
      <c r="BU90" s="129">
        <f>IFERROR(AH90/$AI90,"")</f>
        <v/>
      </c>
      <c r="BV90" s="126">
        <f>SUM(AQ90:BD90)</f>
        <v/>
      </c>
      <c r="BW90" s="126">
        <f>SUM(BE90:BU90)</f>
        <v/>
      </c>
      <c r="BX90" s="126">
        <f>SUM(AQ90:AU90)</f>
        <v/>
      </c>
    </row>
    <row r="91" ht="12" customHeight="1" s="215">
      <c r="B91" s="127" t="n"/>
      <c r="C91" s="128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  <c r="AG91" s="125" t="n"/>
      <c r="AH91" s="125" t="n"/>
      <c r="AI91" s="127">
        <f>SUM(D91:AG91,AH91)</f>
        <v/>
      </c>
      <c r="AJ91" s="126">
        <f>(SUM($D91:$Q91))/AI91</f>
        <v/>
      </c>
      <c r="AK91" s="126">
        <f>(SUM($D91:$H91))/AI91</f>
        <v/>
      </c>
      <c r="AL91" s="126">
        <f>(SUM($R91:$AH91))/AI91</f>
        <v/>
      </c>
      <c r="AM91" s="161" t="n"/>
      <c r="AN91" s="125">
        <f>YEAR(C91)</f>
        <v/>
      </c>
      <c r="AO91" s="125">
        <f>MONTH(C91)</f>
        <v/>
      </c>
      <c r="AP91" s="125">
        <f>WEEKNUM(C91,2)</f>
        <v/>
      </c>
      <c r="AQ91" s="129">
        <f>IFERROR(D91/$AI91,"")</f>
        <v/>
      </c>
      <c r="AR91" s="129">
        <f>IFERROR(E91/$AI91,"")</f>
        <v/>
      </c>
      <c r="AS91" s="129">
        <f>IFERROR(F91/$AI91,"")</f>
        <v/>
      </c>
      <c r="AT91" s="129">
        <f>IFERROR(H91/$AI91,"")</f>
        <v/>
      </c>
      <c r="AU91" s="129">
        <f>IFERROR(I91/$AI91,"")</f>
        <v/>
      </c>
      <c r="AV91" s="129">
        <f>IFERROR(J91/$AI91,"")</f>
        <v/>
      </c>
      <c r="AW91" s="129">
        <f>IFERROR(K91/$AI91,"")</f>
        <v/>
      </c>
      <c r="AX91" s="129">
        <f>IFERROR(L91/$AI91,"")</f>
        <v/>
      </c>
      <c r="AY91" s="129">
        <f>IFERROR(M91/$AI91,"")</f>
        <v/>
      </c>
      <c r="AZ91" s="129">
        <f>IFERROR(N91/$AI91,"")</f>
        <v/>
      </c>
      <c r="BA91" s="129">
        <f>IFERROR(O91/$AI91,"")</f>
        <v/>
      </c>
      <c r="BB91" s="129">
        <f>IFERROR(P91/$AI91,"")</f>
        <v/>
      </c>
      <c r="BC91" s="129">
        <f>IFERROR(AG91/$AI91,"")</f>
        <v/>
      </c>
      <c r="BD91" s="129">
        <f>IFERROR(AH91/$AI91,"")</f>
        <v/>
      </c>
      <c r="BE91" s="129">
        <f>IFERROR(R91/$AI91,"")</f>
        <v/>
      </c>
      <c r="BF91" s="129">
        <f>IFERROR(S91/$AI91,"")</f>
        <v/>
      </c>
      <c r="BG91" s="129">
        <f>IFERROR(T91/$AI91,"")</f>
        <v/>
      </c>
      <c r="BH91" s="129">
        <f>IFERROR(U91/$AI91,"")</f>
        <v/>
      </c>
      <c r="BI91" s="129">
        <f>IFERROR(V91/$AI91,"")</f>
        <v/>
      </c>
      <c r="BJ91" s="129">
        <f>IFERROR(W91/$AI91,"")</f>
        <v/>
      </c>
      <c r="BK91" s="129">
        <f>IFERROR(X91/$AI91,"")</f>
        <v/>
      </c>
      <c r="BL91" s="129">
        <f>IFERROR(Y91/$AI91,"")</f>
        <v/>
      </c>
      <c r="BM91" s="129">
        <f>IFERROR(Z91/$AI91,"")</f>
        <v/>
      </c>
      <c r="BN91" s="129">
        <f>IFERROR(AA91/$AI91,"")</f>
        <v/>
      </c>
      <c r="BO91" s="129">
        <f>IFERROR(AB91/$AI91,"")</f>
        <v/>
      </c>
      <c r="BP91" s="129">
        <f>IFERROR(AC91/$AI91,"")</f>
        <v/>
      </c>
      <c r="BQ91" s="129">
        <f>IFERROR(AD91/$AI91,"")</f>
        <v/>
      </c>
      <c r="BR91" s="129">
        <f>IFERROR(AE91/$AI91,"")</f>
        <v/>
      </c>
      <c r="BS91" s="129">
        <f>IFERROR(AF91/$AI91,"")</f>
        <v/>
      </c>
      <c r="BT91" s="129">
        <f>IFERROR(AG91/$AI91,"")</f>
        <v/>
      </c>
      <c r="BU91" s="129">
        <f>IFERROR(AH91/$AI91,"")</f>
        <v/>
      </c>
      <c r="BV91" s="126">
        <f>SUM(AQ91:BD91)</f>
        <v/>
      </c>
      <c r="BW91" s="126">
        <f>SUM(BE91:BU91)</f>
        <v/>
      </c>
      <c r="BX91" s="126">
        <f>SUM(AQ91:AU91)</f>
        <v/>
      </c>
    </row>
    <row r="92" ht="12" customHeight="1" s="215">
      <c r="B92" s="127" t="n"/>
      <c r="C92" s="128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  <c r="AG92" s="125" t="n"/>
      <c r="AH92" s="125" t="n"/>
      <c r="AI92" s="127">
        <f>SUM(D92:AG92,AH92)</f>
        <v/>
      </c>
      <c r="AJ92" s="126">
        <f>(SUM($D92:$Q92))/AI92</f>
        <v/>
      </c>
      <c r="AK92" s="126">
        <f>(SUM($D92:$H92))/AI92</f>
        <v/>
      </c>
      <c r="AL92" s="126">
        <f>(SUM($R92:$AH92))/AI92</f>
        <v/>
      </c>
      <c r="AM92" s="161" t="n"/>
      <c r="AN92" s="125">
        <f>YEAR(C92)</f>
        <v/>
      </c>
      <c r="AO92" s="125">
        <f>MONTH(C92)</f>
        <v/>
      </c>
      <c r="AP92" s="125">
        <f>WEEKNUM(C92,2)</f>
        <v/>
      </c>
      <c r="AQ92" s="129">
        <f>IFERROR(D92/$AI92,"")</f>
        <v/>
      </c>
      <c r="AR92" s="129">
        <f>IFERROR(E92/$AI92,"")</f>
        <v/>
      </c>
      <c r="AS92" s="129">
        <f>IFERROR(F92/$AI92,"")</f>
        <v/>
      </c>
      <c r="AT92" s="129">
        <f>IFERROR(H92/$AI92,"")</f>
        <v/>
      </c>
      <c r="AU92" s="129">
        <f>IFERROR(I92/$AI92,"")</f>
        <v/>
      </c>
      <c r="AV92" s="129">
        <f>IFERROR(J92/$AI92,"")</f>
        <v/>
      </c>
      <c r="AW92" s="129">
        <f>IFERROR(K92/$AI92,"")</f>
        <v/>
      </c>
      <c r="AX92" s="129">
        <f>IFERROR(L92/$AI92,"")</f>
        <v/>
      </c>
      <c r="AY92" s="129">
        <f>IFERROR(M92/$AI92,"")</f>
        <v/>
      </c>
      <c r="AZ92" s="129">
        <f>IFERROR(N92/$AI92,"")</f>
        <v/>
      </c>
      <c r="BA92" s="129">
        <f>IFERROR(O92/$AI92,"")</f>
        <v/>
      </c>
      <c r="BB92" s="129">
        <f>IFERROR(P92/$AI92,"")</f>
        <v/>
      </c>
      <c r="BC92" s="129">
        <f>IFERROR(AG92/$AI92,"")</f>
        <v/>
      </c>
      <c r="BD92" s="129">
        <f>IFERROR(AH92/$AI92,"")</f>
        <v/>
      </c>
      <c r="BE92" s="129">
        <f>IFERROR(R92/$AI92,"")</f>
        <v/>
      </c>
      <c r="BF92" s="129">
        <f>IFERROR(S92/$AI92,"")</f>
        <v/>
      </c>
      <c r="BG92" s="129">
        <f>IFERROR(T92/$AI92,"")</f>
        <v/>
      </c>
      <c r="BH92" s="129">
        <f>IFERROR(U92/$AI92,"")</f>
        <v/>
      </c>
      <c r="BI92" s="129">
        <f>IFERROR(V92/$AI92,"")</f>
        <v/>
      </c>
      <c r="BJ92" s="129">
        <f>IFERROR(W92/$AI92,"")</f>
        <v/>
      </c>
      <c r="BK92" s="129">
        <f>IFERROR(X92/$AI92,"")</f>
        <v/>
      </c>
      <c r="BL92" s="129">
        <f>IFERROR(Y92/$AI92,"")</f>
        <v/>
      </c>
      <c r="BM92" s="129">
        <f>IFERROR(Z92/$AI92,"")</f>
        <v/>
      </c>
      <c r="BN92" s="129">
        <f>IFERROR(AA92/$AI92,"")</f>
        <v/>
      </c>
      <c r="BO92" s="129">
        <f>IFERROR(AB92/$AI92,"")</f>
        <v/>
      </c>
      <c r="BP92" s="129">
        <f>IFERROR(AC92/$AI92,"")</f>
        <v/>
      </c>
      <c r="BQ92" s="129">
        <f>IFERROR(AD92/$AI92,"")</f>
        <v/>
      </c>
      <c r="BR92" s="129">
        <f>IFERROR(AE92/$AI92,"")</f>
        <v/>
      </c>
      <c r="BS92" s="129">
        <f>IFERROR(AF92/$AI92,"")</f>
        <v/>
      </c>
      <c r="BT92" s="129">
        <f>IFERROR(AG92/$AI92,"")</f>
        <v/>
      </c>
      <c r="BU92" s="129">
        <f>IFERROR(AH92/$AI92,"")</f>
        <v/>
      </c>
      <c r="BV92" s="126">
        <f>SUM(AQ92:BD92)</f>
        <v/>
      </c>
      <c r="BW92" s="126">
        <f>SUM(BE92:BU92)</f>
        <v/>
      </c>
      <c r="BX92" s="126">
        <f>SUM(AQ92:AU92)</f>
        <v/>
      </c>
    </row>
    <row r="93" ht="12" customHeight="1" s="215">
      <c r="B93" s="127" t="n"/>
      <c r="C93" s="128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  <c r="AG93" s="125" t="n"/>
      <c r="AH93" s="125" t="n"/>
      <c r="AI93" s="127">
        <f>SUM(D93:AG93,AH93)</f>
        <v/>
      </c>
      <c r="AJ93" s="126">
        <f>(SUM($D93:$Q93))/AI93</f>
        <v/>
      </c>
      <c r="AK93" s="126">
        <f>(SUM($D93:$H93))/AI93</f>
        <v/>
      </c>
      <c r="AL93" s="126">
        <f>(SUM($R93:$AH93))/AI93</f>
        <v/>
      </c>
      <c r="AM93" s="161" t="n"/>
      <c r="AN93" s="125">
        <f>YEAR(C93)</f>
        <v/>
      </c>
      <c r="AO93" s="125">
        <f>MONTH(C93)</f>
        <v/>
      </c>
      <c r="AP93" s="125">
        <f>WEEKNUM(C93,2)</f>
        <v/>
      </c>
      <c r="AQ93" s="129">
        <f>IFERROR(D93/$AI93,"")</f>
        <v/>
      </c>
      <c r="AR93" s="129">
        <f>IFERROR(E93/$AI93,"")</f>
        <v/>
      </c>
      <c r="AS93" s="129">
        <f>IFERROR(F93/$AI93,"")</f>
        <v/>
      </c>
      <c r="AT93" s="129">
        <f>IFERROR(H93/$AI93,"")</f>
        <v/>
      </c>
      <c r="AU93" s="129">
        <f>IFERROR(I93/$AI93,"")</f>
        <v/>
      </c>
      <c r="AV93" s="129">
        <f>IFERROR(J93/$AI93,"")</f>
        <v/>
      </c>
      <c r="AW93" s="129">
        <f>IFERROR(K93/$AI93,"")</f>
        <v/>
      </c>
      <c r="AX93" s="129">
        <f>IFERROR(L93/$AI93,"")</f>
        <v/>
      </c>
      <c r="AY93" s="129">
        <f>IFERROR(M93/$AI93,"")</f>
        <v/>
      </c>
      <c r="AZ93" s="129">
        <f>IFERROR(N93/$AI93,"")</f>
        <v/>
      </c>
      <c r="BA93" s="129">
        <f>IFERROR(O93/$AI93,"")</f>
        <v/>
      </c>
      <c r="BB93" s="129">
        <f>IFERROR(P93/$AI93,"")</f>
        <v/>
      </c>
      <c r="BC93" s="129">
        <f>IFERROR(AG93/$AI93,"")</f>
        <v/>
      </c>
      <c r="BD93" s="129">
        <f>IFERROR(AH93/$AI93,"")</f>
        <v/>
      </c>
      <c r="BE93" s="129">
        <f>IFERROR(R93/$AI93,"")</f>
        <v/>
      </c>
      <c r="BF93" s="129">
        <f>IFERROR(S93/$AI93,"")</f>
        <v/>
      </c>
      <c r="BG93" s="129">
        <f>IFERROR(T93/$AI93,"")</f>
        <v/>
      </c>
      <c r="BH93" s="129">
        <f>IFERROR(U93/$AI93,"")</f>
        <v/>
      </c>
      <c r="BI93" s="129">
        <f>IFERROR(V93/$AI93,"")</f>
        <v/>
      </c>
      <c r="BJ93" s="129">
        <f>IFERROR(W93/$AI93,"")</f>
        <v/>
      </c>
      <c r="BK93" s="129">
        <f>IFERROR(X93/$AI93,"")</f>
        <v/>
      </c>
      <c r="BL93" s="129">
        <f>IFERROR(Y93/$AI93,"")</f>
        <v/>
      </c>
      <c r="BM93" s="129">
        <f>IFERROR(Z93/$AI93,"")</f>
        <v/>
      </c>
      <c r="BN93" s="129">
        <f>IFERROR(AA93/$AI93,"")</f>
        <v/>
      </c>
      <c r="BO93" s="129">
        <f>IFERROR(AB93/$AI93,"")</f>
        <v/>
      </c>
      <c r="BP93" s="129">
        <f>IFERROR(AC93/$AI93,"")</f>
        <v/>
      </c>
      <c r="BQ93" s="129">
        <f>IFERROR(AD93/$AI93,"")</f>
        <v/>
      </c>
      <c r="BR93" s="129">
        <f>IFERROR(AE93/$AI93,"")</f>
        <v/>
      </c>
      <c r="BS93" s="129">
        <f>IFERROR(AF93/$AI93,"")</f>
        <v/>
      </c>
      <c r="BT93" s="129">
        <f>IFERROR(AG93/$AI93,"")</f>
        <v/>
      </c>
      <c r="BU93" s="129">
        <f>IFERROR(AH93/$AI93,"")</f>
        <v/>
      </c>
      <c r="BV93" s="126">
        <f>SUM(AQ93:BD93)</f>
        <v/>
      </c>
      <c r="BW93" s="126">
        <f>SUM(BE93:BU93)</f>
        <v/>
      </c>
      <c r="BX93" s="126">
        <f>SUM(AQ93:AU93)</f>
        <v/>
      </c>
    </row>
    <row r="94" ht="12" customHeight="1" s="215">
      <c r="B94" s="127" t="n"/>
      <c r="C94" s="128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  <c r="AG94" s="125" t="n"/>
      <c r="AH94" s="125" t="n"/>
      <c r="AI94" s="127">
        <f>SUM(D94:AG94,AH94)</f>
        <v/>
      </c>
      <c r="AJ94" s="126">
        <f>(SUM($D94:$Q94))/AI94</f>
        <v/>
      </c>
      <c r="AK94" s="126">
        <f>(SUM($D94:$H94))/AI94</f>
        <v/>
      </c>
      <c r="AL94" s="126">
        <f>(SUM($R94:$AH94))/AI94</f>
        <v/>
      </c>
      <c r="AM94" s="161" t="n"/>
      <c r="AN94" s="125">
        <f>YEAR(C94)</f>
        <v/>
      </c>
      <c r="AO94" s="125">
        <f>MONTH(C94)</f>
        <v/>
      </c>
      <c r="AP94" s="125">
        <f>WEEKNUM(C94,2)</f>
        <v/>
      </c>
      <c r="AQ94" s="129">
        <f>IFERROR(D94/$AI94,"")</f>
        <v/>
      </c>
      <c r="AR94" s="129">
        <f>IFERROR(E94/$AI94,"")</f>
        <v/>
      </c>
      <c r="AS94" s="129">
        <f>IFERROR(F94/$AI94,"")</f>
        <v/>
      </c>
      <c r="AT94" s="129">
        <f>IFERROR(H94/$AI94,"")</f>
        <v/>
      </c>
      <c r="AU94" s="129">
        <f>IFERROR(I94/$AI94,"")</f>
        <v/>
      </c>
      <c r="AV94" s="129">
        <f>IFERROR(J94/$AI94,"")</f>
        <v/>
      </c>
      <c r="AW94" s="129">
        <f>IFERROR(K94/$AI94,"")</f>
        <v/>
      </c>
      <c r="AX94" s="129">
        <f>IFERROR(L94/$AI94,"")</f>
        <v/>
      </c>
      <c r="AY94" s="129">
        <f>IFERROR(M94/$AI94,"")</f>
        <v/>
      </c>
      <c r="AZ94" s="129">
        <f>IFERROR(N94/$AI94,"")</f>
        <v/>
      </c>
      <c r="BA94" s="129">
        <f>IFERROR(O94/$AI94,"")</f>
        <v/>
      </c>
      <c r="BB94" s="129">
        <f>IFERROR(P94/$AI94,"")</f>
        <v/>
      </c>
      <c r="BC94" s="129">
        <f>IFERROR(AG94/$AI94,"")</f>
        <v/>
      </c>
      <c r="BD94" s="129">
        <f>IFERROR(AH94/$AI94,"")</f>
        <v/>
      </c>
      <c r="BE94" s="129">
        <f>IFERROR(R94/$AI94,"")</f>
        <v/>
      </c>
      <c r="BF94" s="129">
        <f>IFERROR(S94/$AI94,"")</f>
        <v/>
      </c>
      <c r="BG94" s="129">
        <f>IFERROR(T94/$AI94,"")</f>
        <v/>
      </c>
      <c r="BH94" s="129">
        <f>IFERROR(U94/$AI94,"")</f>
        <v/>
      </c>
      <c r="BI94" s="129">
        <f>IFERROR(V94/$AI94,"")</f>
        <v/>
      </c>
      <c r="BJ94" s="129">
        <f>IFERROR(W94/$AI94,"")</f>
        <v/>
      </c>
      <c r="BK94" s="129">
        <f>IFERROR(X94/$AI94,"")</f>
        <v/>
      </c>
      <c r="BL94" s="129">
        <f>IFERROR(Y94/$AI94,"")</f>
        <v/>
      </c>
      <c r="BM94" s="129">
        <f>IFERROR(Z94/$AI94,"")</f>
        <v/>
      </c>
      <c r="BN94" s="129">
        <f>IFERROR(AA94/$AI94,"")</f>
        <v/>
      </c>
      <c r="BO94" s="129">
        <f>IFERROR(AB94/$AI94,"")</f>
        <v/>
      </c>
      <c r="BP94" s="129">
        <f>IFERROR(AC94/$AI94,"")</f>
        <v/>
      </c>
      <c r="BQ94" s="129">
        <f>IFERROR(AD94/$AI94,"")</f>
        <v/>
      </c>
      <c r="BR94" s="129">
        <f>IFERROR(AE94/$AI94,"")</f>
        <v/>
      </c>
      <c r="BS94" s="129">
        <f>IFERROR(AF94/$AI94,"")</f>
        <v/>
      </c>
      <c r="BT94" s="129">
        <f>IFERROR(AG94/$AI94,"")</f>
        <v/>
      </c>
      <c r="BU94" s="129">
        <f>IFERROR(AH94/$AI94,"")</f>
        <v/>
      </c>
      <c r="BV94" s="126">
        <f>SUM(AQ94:BD94)</f>
        <v/>
      </c>
      <c r="BW94" s="126">
        <f>SUM(BE94:BU94)</f>
        <v/>
      </c>
      <c r="BX94" s="126">
        <f>SUM(AQ94:AU94)</f>
        <v/>
      </c>
    </row>
    <row r="95" ht="12" customHeight="1" s="215">
      <c r="B95" s="127" t="n"/>
      <c r="C95" s="128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  <c r="AG95" s="125" t="n"/>
      <c r="AH95" s="125" t="n"/>
      <c r="AI95" s="127">
        <f>SUM(D95:AG95,AH95)</f>
        <v/>
      </c>
      <c r="AJ95" s="126">
        <f>(SUM($D95:$Q95))/AI95</f>
        <v/>
      </c>
      <c r="AK95" s="126">
        <f>(SUM($D95:$H95))/AI95</f>
        <v/>
      </c>
      <c r="AL95" s="126">
        <f>(SUM($R95:$AH95))/AI95</f>
        <v/>
      </c>
      <c r="AM95" s="161" t="n"/>
      <c r="AN95" s="125">
        <f>YEAR(C95)</f>
        <v/>
      </c>
      <c r="AO95" s="125">
        <f>MONTH(C95)</f>
        <v/>
      </c>
      <c r="AP95" s="125">
        <f>WEEKNUM(C95,2)</f>
        <v/>
      </c>
      <c r="AQ95" s="129">
        <f>IFERROR(D95/$AI95,"")</f>
        <v/>
      </c>
      <c r="AR95" s="129">
        <f>IFERROR(E95/$AI95,"")</f>
        <v/>
      </c>
      <c r="AS95" s="129">
        <f>IFERROR(F95/$AI95,"")</f>
        <v/>
      </c>
      <c r="AT95" s="129">
        <f>IFERROR(H95/$AI95,"")</f>
        <v/>
      </c>
      <c r="AU95" s="129">
        <f>IFERROR(I95/$AI95,"")</f>
        <v/>
      </c>
      <c r="AV95" s="129">
        <f>IFERROR(J95/$AI95,"")</f>
        <v/>
      </c>
      <c r="AW95" s="129">
        <f>IFERROR(K95/$AI95,"")</f>
        <v/>
      </c>
      <c r="AX95" s="129">
        <f>IFERROR(L95/$AI95,"")</f>
        <v/>
      </c>
      <c r="AY95" s="129">
        <f>IFERROR(M95/$AI95,"")</f>
        <v/>
      </c>
      <c r="AZ95" s="129">
        <f>IFERROR(N95/$AI95,"")</f>
        <v/>
      </c>
      <c r="BA95" s="129">
        <f>IFERROR(O95/$AI95,"")</f>
        <v/>
      </c>
      <c r="BB95" s="129">
        <f>IFERROR(P95/$AI95,"")</f>
        <v/>
      </c>
      <c r="BC95" s="129">
        <f>IFERROR(AG95/$AI95,"")</f>
        <v/>
      </c>
      <c r="BD95" s="129">
        <f>IFERROR(AH95/$AI95,"")</f>
        <v/>
      </c>
      <c r="BE95" s="129">
        <f>IFERROR(R95/$AI95,"")</f>
        <v/>
      </c>
      <c r="BF95" s="129">
        <f>IFERROR(S95/$AI95,"")</f>
        <v/>
      </c>
      <c r="BG95" s="129">
        <f>IFERROR(T95/$AI95,"")</f>
        <v/>
      </c>
      <c r="BH95" s="129">
        <f>IFERROR(U95/$AI95,"")</f>
        <v/>
      </c>
      <c r="BI95" s="129">
        <f>IFERROR(V95/$AI95,"")</f>
        <v/>
      </c>
      <c r="BJ95" s="129">
        <f>IFERROR(W95/$AI95,"")</f>
        <v/>
      </c>
      <c r="BK95" s="129">
        <f>IFERROR(X95/$AI95,"")</f>
        <v/>
      </c>
      <c r="BL95" s="129">
        <f>IFERROR(Y95/$AI95,"")</f>
        <v/>
      </c>
      <c r="BM95" s="129">
        <f>IFERROR(Z95/$AI95,"")</f>
        <v/>
      </c>
      <c r="BN95" s="129">
        <f>IFERROR(AA95/$AI95,"")</f>
        <v/>
      </c>
      <c r="BO95" s="129">
        <f>IFERROR(AB95/$AI95,"")</f>
        <v/>
      </c>
      <c r="BP95" s="129">
        <f>IFERROR(AC95/$AI95,"")</f>
        <v/>
      </c>
      <c r="BQ95" s="129">
        <f>IFERROR(AD95/$AI95,"")</f>
        <v/>
      </c>
      <c r="BR95" s="129">
        <f>IFERROR(AE95/$AI95,"")</f>
        <v/>
      </c>
      <c r="BS95" s="129">
        <f>IFERROR(AF95/$AI95,"")</f>
        <v/>
      </c>
      <c r="BT95" s="129">
        <f>IFERROR(AG95/$AI95,"")</f>
        <v/>
      </c>
      <c r="BU95" s="129">
        <f>IFERROR(AH95/$AI95,"")</f>
        <v/>
      </c>
      <c r="BV95" s="126">
        <f>SUM(AQ95:BD95)</f>
        <v/>
      </c>
      <c r="BW95" s="126">
        <f>SUM(BE95:BU95)</f>
        <v/>
      </c>
      <c r="BX95" s="126">
        <f>SUM(AQ95:AU95)</f>
        <v/>
      </c>
    </row>
    <row r="96" ht="12" customHeight="1" s="215">
      <c r="B96" s="127" t="n"/>
      <c r="C96" s="128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  <c r="AG96" s="125" t="n"/>
      <c r="AH96" s="125" t="n"/>
      <c r="AI96" s="127">
        <f>SUM(D96:AG96,AH96)</f>
        <v/>
      </c>
      <c r="AJ96" s="126">
        <f>(SUM($D96:$Q96))/AI96</f>
        <v/>
      </c>
      <c r="AK96" s="126">
        <f>(SUM($D96:$H96))/AI96</f>
        <v/>
      </c>
      <c r="AL96" s="126">
        <f>(SUM($R96:$AH96))/AI96</f>
        <v/>
      </c>
      <c r="AM96" s="161" t="n"/>
      <c r="AN96" s="125">
        <f>YEAR(C96)</f>
        <v/>
      </c>
      <c r="AO96" s="125">
        <f>MONTH(C96)</f>
        <v/>
      </c>
      <c r="AP96" s="125">
        <f>WEEKNUM(C96,2)</f>
        <v/>
      </c>
      <c r="AQ96" s="129">
        <f>IFERROR(D96/$AI96,"")</f>
        <v/>
      </c>
      <c r="AR96" s="129">
        <f>IFERROR(E96/$AI96,"")</f>
        <v/>
      </c>
      <c r="AS96" s="129">
        <f>IFERROR(F96/$AI96,"")</f>
        <v/>
      </c>
      <c r="AT96" s="129">
        <f>IFERROR(H96/$AI96,"")</f>
        <v/>
      </c>
      <c r="AU96" s="129">
        <f>IFERROR(I96/$AI96,"")</f>
        <v/>
      </c>
      <c r="AV96" s="129">
        <f>IFERROR(J96/$AI96,"")</f>
        <v/>
      </c>
      <c r="AW96" s="129">
        <f>IFERROR(K96/$AI96,"")</f>
        <v/>
      </c>
      <c r="AX96" s="129">
        <f>IFERROR(L96/$AI96,"")</f>
        <v/>
      </c>
      <c r="AY96" s="129">
        <f>IFERROR(M96/$AI96,"")</f>
        <v/>
      </c>
      <c r="AZ96" s="129">
        <f>IFERROR(N96/$AI96,"")</f>
        <v/>
      </c>
      <c r="BA96" s="129">
        <f>IFERROR(O96/$AI96,"")</f>
        <v/>
      </c>
      <c r="BB96" s="129">
        <f>IFERROR(P96/$AI96,"")</f>
        <v/>
      </c>
      <c r="BC96" s="129">
        <f>IFERROR(AG96/$AI96,"")</f>
        <v/>
      </c>
      <c r="BD96" s="129">
        <f>IFERROR(AH96/$AI96,"")</f>
        <v/>
      </c>
      <c r="BE96" s="129">
        <f>IFERROR(R96/$AI96,"")</f>
        <v/>
      </c>
      <c r="BF96" s="129">
        <f>IFERROR(S96/$AI96,"")</f>
        <v/>
      </c>
      <c r="BG96" s="129">
        <f>IFERROR(T96/$AI96,"")</f>
        <v/>
      </c>
      <c r="BH96" s="129">
        <f>IFERROR(U96/$AI96,"")</f>
        <v/>
      </c>
      <c r="BI96" s="129">
        <f>IFERROR(V96/$AI96,"")</f>
        <v/>
      </c>
      <c r="BJ96" s="129">
        <f>IFERROR(W96/$AI96,"")</f>
        <v/>
      </c>
      <c r="BK96" s="129">
        <f>IFERROR(X96/$AI96,"")</f>
        <v/>
      </c>
      <c r="BL96" s="129">
        <f>IFERROR(Y96/$AI96,"")</f>
        <v/>
      </c>
      <c r="BM96" s="129">
        <f>IFERROR(Z96/$AI96,"")</f>
        <v/>
      </c>
      <c r="BN96" s="129">
        <f>IFERROR(AA96/$AI96,"")</f>
        <v/>
      </c>
      <c r="BO96" s="129">
        <f>IFERROR(AB96/$AI96,"")</f>
        <v/>
      </c>
      <c r="BP96" s="129">
        <f>IFERROR(AC96/$AI96,"")</f>
        <v/>
      </c>
      <c r="BQ96" s="129">
        <f>IFERROR(AD96/$AI96,"")</f>
        <v/>
      </c>
      <c r="BR96" s="129">
        <f>IFERROR(AE96/$AI96,"")</f>
        <v/>
      </c>
      <c r="BS96" s="129">
        <f>IFERROR(AF96/$AI96,"")</f>
        <v/>
      </c>
      <c r="BT96" s="129">
        <f>IFERROR(AG96/$AI96,"")</f>
        <v/>
      </c>
      <c r="BU96" s="129">
        <f>IFERROR(AH96/$AI96,"")</f>
        <v/>
      </c>
      <c r="BV96" s="126">
        <f>SUM(AQ96:BD96)</f>
        <v/>
      </c>
      <c r="BW96" s="126">
        <f>SUM(BE96:BU96)</f>
        <v/>
      </c>
      <c r="BX96" s="126">
        <f>SUM(AQ96:AU96)</f>
        <v/>
      </c>
    </row>
    <row r="97" ht="12" customHeight="1" s="215">
      <c r="B97" s="127" t="n"/>
      <c r="C97" s="128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  <c r="AG97" s="125" t="n"/>
      <c r="AH97" s="125" t="n"/>
      <c r="AI97" s="127">
        <f>SUM(D97:AG97,AH97)</f>
        <v/>
      </c>
      <c r="AJ97" s="126">
        <f>(SUM($D97:$Q97))/AI97</f>
        <v/>
      </c>
      <c r="AK97" s="126">
        <f>(SUM($D97:$H97))/AI97</f>
        <v/>
      </c>
      <c r="AL97" s="126">
        <f>(SUM($R97:$AH97))/AI97</f>
        <v/>
      </c>
      <c r="AM97" s="161" t="n"/>
      <c r="AN97" s="125">
        <f>YEAR(C97)</f>
        <v/>
      </c>
      <c r="AO97" s="125">
        <f>MONTH(C97)</f>
        <v/>
      </c>
      <c r="AP97" s="125">
        <f>WEEKNUM(C97,2)</f>
        <v/>
      </c>
      <c r="AQ97" s="129">
        <f>IFERROR(D97/$AI97,"")</f>
        <v/>
      </c>
      <c r="AR97" s="129">
        <f>IFERROR(E97/$AI97,"")</f>
        <v/>
      </c>
      <c r="AS97" s="129">
        <f>IFERROR(F97/$AI97,"")</f>
        <v/>
      </c>
      <c r="AT97" s="129">
        <f>IFERROR(H97/$AI97,"")</f>
        <v/>
      </c>
      <c r="AU97" s="129">
        <f>IFERROR(I97/$AI97,"")</f>
        <v/>
      </c>
      <c r="AV97" s="129">
        <f>IFERROR(J97/$AI97,"")</f>
        <v/>
      </c>
      <c r="AW97" s="129">
        <f>IFERROR(K97/$AI97,"")</f>
        <v/>
      </c>
      <c r="AX97" s="129">
        <f>IFERROR(L97/$AI97,"")</f>
        <v/>
      </c>
      <c r="AY97" s="129">
        <f>IFERROR(M97/$AI97,"")</f>
        <v/>
      </c>
      <c r="AZ97" s="129">
        <f>IFERROR(N97/$AI97,"")</f>
        <v/>
      </c>
      <c r="BA97" s="129">
        <f>IFERROR(O97/$AI97,"")</f>
        <v/>
      </c>
      <c r="BB97" s="129">
        <f>IFERROR(P97/$AI97,"")</f>
        <v/>
      </c>
      <c r="BC97" s="129">
        <f>IFERROR(AG97/$AI97,"")</f>
        <v/>
      </c>
      <c r="BD97" s="129">
        <f>IFERROR(AH97/$AI97,"")</f>
        <v/>
      </c>
      <c r="BE97" s="129">
        <f>IFERROR(R97/$AI97,"")</f>
        <v/>
      </c>
      <c r="BF97" s="129">
        <f>IFERROR(S97/$AI97,"")</f>
        <v/>
      </c>
      <c r="BG97" s="129">
        <f>IFERROR(T97/$AI97,"")</f>
        <v/>
      </c>
      <c r="BH97" s="129">
        <f>IFERROR(U97/$AI97,"")</f>
        <v/>
      </c>
      <c r="BI97" s="129">
        <f>IFERROR(V97/$AI97,"")</f>
        <v/>
      </c>
      <c r="BJ97" s="129">
        <f>IFERROR(W97/$AI97,"")</f>
        <v/>
      </c>
      <c r="BK97" s="129">
        <f>IFERROR(X97/$AI97,"")</f>
        <v/>
      </c>
      <c r="BL97" s="129">
        <f>IFERROR(Y97/$AI97,"")</f>
        <v/>
      </c>
      <c r="BM97" s="129">
        <f>IFERROR(Z97/$AI97,"")</f>
        <v/>
      </c>
      <c r="BN97" s="129">
        <f>IFERROR(AA97/$AI97,"")</f>
        <v/>
      </c>
      <c r="BO97" s="129">
        <f>IFERROR(AB97/$AI97,"")</f>
        <v/>
      </c>
      <c r="BP97" s="129">
        <f>IFERROR(AC97/$AI97,"")</f>
        <v/>
      </c>
      <c r="BQ97" s="129">
        <f>IFERROR(AD97/$AI97,"")</f>
        <v/>
      </c>
      <c r="BR97" s="129">
        <f>IFERROR(AE97/$AI97,"")</f>
        <v/>
      </c>
      <c r="BS97" s="129">
        <f>IFERROR(AF97/$AI97,"")</f>
        <v/>
      </c>
      <c r="BT97" s="129">
        <f>IFERROR(AG97/$AI97,"")</f>
        <v/>
      </c>
      <c r="BU97" s="129">
        <f>IFERROR(AH97/$AI97,"")</f>
        <v/>
      </c>
      <c r="BV97" s="126">
        <f>SUM(AQ97:BD97)</f>
        <v/>
      </c>
      <c r="BW97" s="126">
        <f>SUM(BE97:BU97)</f>
        <v/>
      </c>
      <c r="BX97" s="126">
        <f>SUM(AQ97:AU97)</f>
        <v/>
      </c>
    </row>
    <row r="98" ht="12" customHeight="1" s="215">
      <c r="B98" s="127" t="n"/>
      <c r="C98" s="128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  <c r="AG98" s="125" t="n"/>
      <c r="AH98" s="125" t="n"/>
      <c r="AI98" s="127">
        <f>SUM(D98:AG98,AH98)</f>
        <v/>
      </c>
      <c r="AJ98" s="126">
        <f>(SUM($D98:$Q98))/AI98</f>
        <v/>
      </c>
      <c r="AK98" s="126">
        <f>(SUM($D98:$H98))/AI98</f>
        <v/>
      </c>
      <c r="AL98" s="126">
        <f>(SUM($R98:$AH98))/AI98</f>
        <v/>
      </c>
      <c r="AM98" s="161" t="n"/>
      <c r="AN98" s="125">
        <f>YEAR(C98)</f>
        <v/>
      </c>
      <c r="AO98" s="125">
        <f>MONTH(C98)</f>
        <v/>
      </c>
      <c r="AP98" s="125">
        <f>WEEKNUM(C98,2)</f>
        <v/>
      </c>
      <c r="AQ98" s="129">
        <f>IFERROR(D98/$AI98,"")</f>
        <v/>
      </c>
      <c r="AR98" s="129">
        <f>IFERROR(E98/$AI98,"")</f>
        <v/>
      </c>
      <c r="AS98" s="129">
        <f>IFERROR(F98/$AI98,"")</f>
        <v/>
      </c>
      <c r="AT98" s="129">
        <f>IFERROR(H98/$AI98,"")</f>
        <v/>
      </c>
      <c r="AU98" s="129">
        <f>IFERROR(I98/$AI98,"")</f>
        <v/>
      </c>
      <c r="AV98" s="129">
        <f>IFERROR(J98/$AI98,"")</f>
        <v/>
      </c>
      <c r="AW98" s="129">
        <f>IFERROR(K98/$AI98,"")</f>
        <v/>
      </c>
      <c r="AX98" s="129">
        <f>IFERROR(L98/$AI98,"")</f>
        <v/>
      </c>
      <c r="AY98" s="129">
        <f>IFERROR(M98/$AI98,"")</f>
        <v/>
      </c>
      <c r="AZ98" s="129">
        <f>IFERROR(N98/$AI98,"")</f>
        <v/>
      </c>
      <c r="BA98" s="129">
        <f>IFERROR(O98/$AI98,"")</f>
        <v/>
      </c>
      <c r="BB98" s="129">
        <f>IFERROR(P98/$AI98,"")</f>
        <v/>
      </c>
      <c r="BC98" s="129">
        <f>IFERROR(AG98/$AI98,"")</f>
        <v/>
      </c>
      <c r="BD98" s="129">
        <f>IFERROR(AH98/$AI98,"")</f>
        <v/>
      </c>
      <c r="BE98" s="129">
        <f>IFERROR(R98/$AI98,"")</f>
        <v/>
      </c>
      <c r="BF98" s="129">
        <f>IFERROR(S98/$AI98,"")</f>
        <v/>
      </c>
      <c r="BG98" s="129">
        <f>IFERROR(T98/$AI98,"")</f>
        <v/>
      </c>
      <c r="BH98" s="129">
        <f>IFERROR(U98/$AI98,"")</f>
        <v/>
      </c>
      <c r="BI98" s="129">
        <f>IFERROR(V98/$AI98,"")</f>
        <v/>
      </c>
      <c r="BJ98" s="129">
        <f>IFERROR(W98/$AI98,"")</f>
        <v/>
      </c>
      <c r="BK98" s="129">
        <f>IFERROR(X98/$AI98,"")</f>
        <v/>
      </c>
      <c r="BL98" s="129">
        <f>IFERROR(Y98/$AI98,"")</f>
        <v/>
      </c>
      <c r="BM98" s="129">
        <f>IFERROR(Z98/$AI98,"")</f>
        <v/>
      </c>
      <c r="BN98" s="129">
        <f>IFERROR(AA98/$AI98,"")</f>
        <v/>
      </c>
      <c r="BO98" s="129">
        <f>IFERROR(AB98/$AI98,"")</f>
        <v/>
      </c>
      <c r="BP98" s="129">
        <f>IFERROR(AC98/$AI98,"")</f>
        <v/>
      </c>
      <c r="BQ98" s="129">
        <f>IFERROR(AD98/$AI98,"")</f>
        <v/>
      </c>
      <c r="BR98" s="129">
        <f>IFERROR(AE98/$AI98,"")</f>
        <v/>
      </c>
      <c r="BS98" s="129">
        <f>IFERROR(AF98/$AI98,"")</f>
        <v/>
      </c>
      <c r="BT98" s="129">
        <f>IFERROR(AG98/$AI98,"")</f>
        <v/>
      </c>
      <c r="BU98" s="129">
        <f>IFERROR(AH98/$AI98,"")</f>
        <v/>
      </c>
      <c r="BV98" s="126">
        <f>SUM(AQ98:BD98)</f>
        <v/>
      </c>
      <c r="BW98" s="126">
        <f>SUM(BE98:BU98)</f>
        <v/>
      </c>
      <c r="BX98" s="126">
        <f>SUM(AQ98:AU98)</f>
        <v/>
      </c>
    </row>
    <row r="99" ht="12" customHeight="1" s="215">
      <c r="B99" s="127" t="n"/>
      <c r="C99" s="128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  <c r="AG99" s="125" t="n"/>
      <c r="AH99" s="125" t="n"/>
      <c r="AI99" s="127">
        <f>SUM(D99:AG99,AH99)</f>
        <v/>
      </c>
      <c r="AJ99" s="126">
        <f>(SUM($D99:$Q99))/AI99</f>
        <v/>
      </c>
      <c r="AK99" s="126">
        <f>(SUM($D99:$H99))/AI99</f>
        <v/>
      </c>
      <c r="AL99" s="126">
        <f>(SUM($R99:$AH99))/AI99</f>
        <v/>
      </c>
      <c r="AM99" s="161" t="n"/>
      <c r="AN99" s="125">
        <f>YEAR(C99)</f>
        <v/>
      </c>
      <c r="AO99" s="125">
        <f>MONTH(C99)</f>
        <v/>
      </c>
      <c r="AP99" s="125">
        <f>WEEKNUM(C99,2)</f>
        <v/>
      </c>
      <c r="AQ99" s="129">
        <f>IFERROR(D99/$AI99,"")</f>
        <v/>
      </c>
      <c r="AR99" s="129">
        <f>IFERROR(E99/$AI99,"")</f>
        <v/>
      </c>
      <c r="AS99" s="129">
        <f>IFERROR(F99/$AI99,"")</f>
        <v/>
      </c>
      <c r="AT99" s="129">
        <f>IFERROR(H99/$AI99,"")</f>
        <v/>
      </c>
      <c r="AU99" s="129">
        <f>IFERROR(I99/$AI99,"")</f>
        <v/>
      </c>
      <c r="AV99" s="129">
        <f>IFERROR(J99/$AI99,"")</f>
        <v/>
      </c>
      <c r="AW99" s="129">
        <f>IFERROR(K99/$AI99,"")</f>
        <v/>
      </c>
      <c r="AX99" s="129">
        <f>IFERROR(L99/$AI99,"")</f>
        <v/>
      </c>
      <c r="AY99" s="129">
        <f>IFERROR(M99/$AI99,"")</f>
        <v/>
      </c>
      <c r="AZ99" s="129">
        <f>IFERROR(N99/$AI99,"")</f>
        <v/>
      </c>
      <c r="BA99" s="129">
        <f>IFERROR(O99/$AI99,"")</f>
        <v/>
      </c>
      <c r="BB99" s="129">
        <f>IFERROR(P99/$AI99,"")</f>
        <v/>
      </c>
      <c r="BC99" s="129">
        <f>IFERROR(AG99/$AI99,"")</f>
        <v/>
      </c>
      <c r="BD99" s="129">
        <f>IFERROR(AH99/$AI99,"")</f>
        <v/>
      </c>
      <c r="BE99" s="129">
        <f>IFERROR(R99/$AI99,"")</f>
        <v/>
      </c>
      <c r="BF99" s="129">
        <f>IFERROR(S99/$AI99,"")</f>
        <v/>
      </c>
      <c r="BG99" s="129">
        <f>IFERROR(T99/$AI99,"")</f>
        <v/>
      </c>
      <c r="BH99" s="129">
        <f>IFERROR(U99/$AI99,"")</f>
        <v/>
      </c>
      <c r="BI99" s="129">
        <f>IFERROR(V99/$AI99,"")</f>
        <v/>
      </c>
      <c r="BJ99" s="129">
        <f>IFERROR(W99/$AI99,"")</f>
        <v/>
      </c>
      <c r="BK99" s="129">
        <f>IFERROR(X99/$AI99,"")</f>
        <v/>
      </c>
      <c r="BL99" s="129">
        <f>IFERROR(Y99/$AI99,"")</f>
        <v/>
      </c>
      <c r="BM99" s="129">
        <f>IFERROR(Z99/$AI99,"")</f>
        <v/>
      </c>
      <c r="BN99" s="129">
        <f>IFERROR(AA99/$AI99,"")</f>
        <v/>
      </c>
      <c r="BO99" s="129">
        <f>IFERROR(AB99/$AI99,"")</f>
        <v/>
      </c>
      <c r="BP99" s="129">
        <f>IFERROR(AC99/$AI99,"")</f>
        <v/>
      </c>
      <c r="BQ99" s="129">
        <f>IFERROR(AD99/$AI99,"")</f>
        <v/>
      </c>
      <c r="BR99" s="129">
        <f>IFERROR(AE99/$AI99,"")</f>
        <v/>
      </c>
      <c r="BS99" s="129">
        <f>IFERROR(AF99/$AI99,"")</f>
        <v/>
      </c>
      <c r="BT99" s="129">
        <f>IFERROR(AG99/$AI99,"")</f>
        <v/>
      </c>
      <c r="BU99" s="129">
        <f>IFERROR(AH99/$AI99,"")</f>
        <v/>
      </c>
      <c r="BV99" s="126">
        <f>SUM(AQ99:BD99)</f>
        <v/>
      </c>
      <c r="BW99" s="126">
        <f>SUM(BE99:BU99)</f>
        <v/>
      </c>
      <c r="BX99" s="126">
        <f>SUM(AQ99:AU99)</f>
        <v/>
      </c>
    </row>
    <row r="100" ht="12" customHeight="1" s="215">
      <c r="B100" s="127" t="n"/>
      <c r="C100" s="128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  <c r="AG100" s="125" t="n"/>
      <c r="AH100" s="125" t="n"/>
      <c r="AI100" s="127">
        <f>SUM(D100:AG100,AH100)</f>
        <v/>
      </c>
      <c r="AJ100" s="126">
        <f>(SUM($D100:$Q100))/AI100</f>
        <v/>
      </c>
      <c r="AK100" s="126">
        <f>(SUM($D100:$H100))/AI100</f>
        <v/>
      </c>
      <c r="AL100" s="126">
        <f>(SUM($R100:$AH100))/AI100</f>
        <v/>
      </c>
      <c r="AM100" s="161" t="n"/>
      <c r="AN100" s="125">
        <f>YEAR(C100)</f>
        <v/>
      </c>
      <c r="AO100" s="125">
        <f>MONTH(C100)</f>
        <v/>
      </c>
      <c r="AP100" s="125">
        <f>WEEKNUM(C100,2)</f>
        <v/>
      </c>
      <c r="AQ100" s="129">
        <f>IFERROR(D100/$AI100,"")</f>
        <v/>
      </c>
      <c r="AR100" s="129">
        <f>IFERROR(E100/$AI100,"")</f>
        <v/>
      </c>
      <c r="AS100" s="129">
        <f>IFERROR(F100/$AI100,"")</f>
        <v/>
      </c>
      <c r="AT100" s="129">
        <f>IFERROR(H100/$AI100,"")</f>
        <v/>
      </c>
      <c r="AU100" s="129">
        <f>IFERROR(I100/$AI100,"")</f>
        <v/>
      </c>
      <c r="AV100" s="129">
        <f>IFERROR(J100/$AI100,"")</f>
        <v/>
      </c>
      <c r="AW100" s="129">
        <f>IFERROR(K100/$AI100,"")</f>
        <v/>
      </c>
      <c r="AX100" s="129">
        <f>IFERROR(L100/$AI100,"")</f>
        <v/>
      </c>
      <c r="AY100" s="129">
        <f>IFERROR(M100/$AI100,"")</f>
        <v/>
      </c>
      <c r="AZ100" s="129">
        <f>IFERROR(N100/$AI100,"")</f>
        <v/>
      </c>
      <c r="BA100" s="129">
        <f>IFERROR(O100/$AI100,"")</f>
        <v/>
      </c>
      <c r="BB100" s="129">
        <f>IFERROR(P100/$AI100,"")</f>
        <v/>
      </c>
      <c r="BC100" s="129">
        <f>IFERROR(AG100/$AI100,"")</f>
        <v/>
      </c>
      <c r="BD100" s="129">
        <f>IFERROR(AH100/$AI100,"")</f>
        <v/>
      </c>
      <c r="BE100" s="129">
        <f>IFERROR(R100/$AI100,"")</f>
        <v/>
      </c>
      <c r="BF100" s="129">
        <f>IFERROR(S100/$AI100,"")</f>
        <v/>
      </c>
      <c r="BG100" s="129">
        <f>IFERROR(T100/$AI100,"")</f>
        <v/>
      </c>
      <c r="BH100" s="129">
        <f>IFERROR(U100/$AI100,"")</f>
        <v/>
      </c>
      <c r="BI100" s="129">
        <f>IFERROR(V100/$AI100,"")</f>
        <v/>
      </c>
      <c r="BJ100" s="129">
        <f>IFERROR(W100/$AI100,"")</f>
        <v/>
      </c>
      <c r="BK100" s="129">
        <f>IFERROR(X100/$AI100,"")</f>
        <v/>
      </c>
      <c r="BL100" s="129">
        <f>IFERROR(Y100/$AI100,"")</f>
        <v/>
      </c>
      <c r="BM100" s="129">
        <f>IFERROR(Z100/$AI100,"")</f>
        <v/>
      </c>
      <c r="BN100" s="129">
        <f>IFERROR(AA100/$AI100,"")</f>
        <v/>
      </c>
      <c r="BO100" s="129">
        <f>IFERROR(AB100/$AI100,"")</f>
        <v/>
      </c>
      <c r="BP100" s="129">
        <f>IFERROR(AC100/$AI100,"")</f>
        <v/>
      </c>
      <c r="BQ100" s="129">
        <f>IFERROR(AD100/$AI100,"")</f>
        <v/>
      </c>
      <c r="BR100" s="129">
        <f>IFERROR(AE100/$AI100,"")</f>
        <v/>
      </c>
      <c r="BS100" s="129">
        <f>IFERROR(AF100/$AI100,"")</f>
        <v/>
      </c>
      <c r="BT100" s="129">
        <f>IFERROR(AG100/$AI100,"")</f>
        <v/>
      </c>
      <c r="BU100" s="129">
        <f>IFERROR(AH100/$AI100,"")</f>
        <v/>
      </c>
      <c r="BV100" s="126">
        <f>SUM(AQ100:BD100)</f>
        <v/>
      </c>
      <c r="BW100" s="126">
        <f>SUM(BE100:BU100)</f>
        <v/>
      </c>
      <c r="BX100" s="126">
        <f>SUM(AQ100:AU100)</f>
        <v/>
      </c>
    </row>
    <row r="101" ht="12" customHeight="1" s="215">
      <c r="B101" s="127" t="n"/>
      <c r="C101" s="128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  <c r="AG101" s="125" t="n"/>
      <c r="AH101" s="125" t="n"/>
      <c r="AI101" s="127">
        <f>SUM(D101:AG101,AH101)</f>
        <v/>
      </c>
      <c r="AJ101" s="126">
        <f>(SUM($D101:$Q101))/AI101</f>
        <v/>
      </c>
      <c r="AK101" s="126">
        <f>(SUM($D101:$H101))/AI101</f>
        <v/>
      </c>
      <c r="AL101" s="126">
        <f>(SUM($R101:$AH101))/AI101</f>
        <v/>
      </c>
      <c r="AM101" s="161" t="n"/>
      <c r="AN101" s="125">
        <f>YEAR(C101)</f>
        <v/>
      </c>
      <c r="AO101" s="125">
        <f>MONTH(C101)</f>
        <v/>
      </c>
      <c r="AP101" s="125">
        <f>WEEKNUM(C101,2)</f>
        <v/>
      </c>
      <c r="AQ101" s="129">
        <f>IFERROR(D101/$AI101,"")</f>
        <v/>
      </c>
      <c r="AR101" s="129">
        <f>IFERROR(E101/$AI101,"")</f>
        <v/>
      </c>
      <c r="AS101" s="129">
        <f>IFERROR(F101/$AI101,"")</f>
        <v/>
      </c>
      <c r="AT101" s="129">
        <f>IFERROR(H101/$AI101,"")</f>
        <v/>
      </c>
      <c r="AU101" s="129">
        <f>IFERROR(I101/$AI101,"")</f>
        <v/>
      </c>
      <c r="AV101" s="129">
        <f>IFERROR(J101/$AI101,"")</f>
        <v/>
      </c>
      <c r="AW101" s="129">
        <f>IFERROR(K101/$AI101,"")</f>
        <v/>
      </c>
      <c r="AX101" s="129">
        <f>IFERROR(L101/$AI101,"")</f>
        <v/>
      </c>
      <c r="AY101" s="129">
        <f>IFERROR(M101/$AI101,"")</f>
        <v/>
      </c>
      <c r="AZ101" s="129">
        <f>IFERROR(N101/$AI101,"")</f>
        <v/>
      </c>
      <c r="BA101" s="129">
        <f>IFERROR(O101/$AI101,"")</f>
        <v/>
      </c>
      <c r="BB101" s="129">
        <f>IFERROR(P101/$AI101,"")</f>
        <v/>
      </c>
      <c r="BC101" s="129">
        <f>IFERROR(AG101/$AI101,"")</f>
        <v/>
      </c>
      <c r="BD101" s="129">
        <f>IFERROR(AH101/$AI101,"")</f>
        <v/>
      </c>
      <c r="BE101" s="129">
        <f>IFERROR(R101/$AI101,"")</f>
        <v/>
      </c>
      <c r="BF101" s="129">
        <f>IFERROR(S101/$AI101,"")</f>
        <v/>
      </c>
      <c r="BG101" s="129">
        <f>IFERROR(T101/$AI101,"")</f>
        <v/>
      </c>
      <c r="BH101" s="129">
        <f>IFERROR(U101/$AI101,"")</f>
        <v/>
      </c>
      <c r="BI101" s="129">
        <f>IFERROR(V101/$AI101,"")</f>
        <v/>
      </c>
      <c r="BJ101" s="129">
        <f>IFERROR(W101/$AI101,"")</f>
        <v/>
      </c>
      <c r="BK101" s="129">
        <f>IFERROR(X101/$AI101,"")</f>
        <v/>
      </c>
      <c r="BL101" s="129">
        <f>IFERROR(Y101/$AI101,"")</f>
        <v/>
      </c>
      <c r="BM101" s="129">
        <f>IFERROR(Z101/$AI101,"")</f>
        <v/>
      </c>
      <c r="BN101" s="129">
        <f>IFERROR(AA101/$AI101,"")</f>
        <v/>
      </c>
      <c r="BO101" s="129">
        <f>IFERROR(AB101/$AI101,"")</f>
        <v/>
      </c>
      <c r="BP101" s="129">
        <f>IFERROR(AC101/$AI101,"")</f>
        <v/>
      </c>
      <c r="BQ101" s="129">
        <f>IFERROR(AD101/$AI101,"")</f>
        <v/>
      </c>
      <c r="BR101" s="129">
        <f>IFERROR(AE101/$AI101,"")</f>
        <v/>
      </c>
      <c r="BS101" s="129">
        <f>IFERROR(AF101/$AI101,"")</f>
        <v/>
      </c>
      <c r="BT101" s="129">
        <f>IFERROR(AG101/$AI101,"")</f>
        <v/>
      </c>
      <c r="BU101" s="129">
        <f>IFERROR(AH101/$AI101,"")</f>
        <v/>
      </c>
      <c r="BV101" s="126">
        <f>SUM(AQ101:BD101)</f>
        <v/>
      </c>
      <c r="BW101" s="126">
        <f>SUM(BE101:BU101)</f>
        <v/>
      </c>
      <c r="BX101" s="126">
        <f>SUM(AQ101:AU101)</f>
        <v/>
      </c>
    </row>
    <row r="102" ht="12" customHeight="1" s="215">
      <c r="B102" s="127" t="n"/>
      <c r="C102" s="128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  <c r="AG102" s="125" t="n"/>
      <c r="AH102" s="125" t="n"/>
      <c r="AI102" s="127">
        <f>SUM(D102:AG102,AH102)</f>
        <v/>
      </c>
      <c r="AJ102" s="126">
        <f>(SUM($D102:$Q102))/AI102</f>
        <v/>
      </c>
      <c r="AK102" s="126">
        <f>(SUM($D102:$H102))/AI102</f>
        <v/>
      </c>
      <c r="AL102" s="126">
        <f>(SUM($R102:$AH102))/AI102</f>
        <v/>
      </c>
      <c r="AM102" s="161" t="n"/>
      <c r="AN102" s="125">
        <f>YEAR(C102)</f>
        <v/>
      </c>
      <c r="AO102" s="125">
        <f>MONTH(C102)</f>
        <v/>
      </c>
      <c r="AP102" s="125">
        <f>WEEKNUM(C102,2)</f>
        <v/>
      </c>
      <c r="AQ102" s="129">
        <f>IFERROR(D102/$AI102,"")</f>
        <v/>
      </c>
      <c r="AR102" s="129">
        <f>IFERROR(E102/$AI102,"")</f>
        <v/>
      </c>
      <c r="AS102" s="129">
        <f>IFERROR(F102/$AI102,"")</f>
        <v/>
      </c>
      <c r="AT102" s="129">
        <f>IFERROR(H102/$AI102,"")</f>
        <v/>
      </c>
      <c r="AU102" s="129">
        <f>IFERROR(I102/$AI102,"")</f>
        <v/>
      </c>
      <c r="AV102" s="129">
        <f>IFERROR(J102/$AI102,"")</f>
        <v/>
      </c>
      <c r="AW102" s="129">
        <f>IFERROR(K102/$AI102,"")</f>
        <v/>
      </c>
      <c r="AX102" s="129">
        <f>IFERROR(L102/$AI102,"")</f>
        <v/>
      </c>
      <c r="AY102" s="129">
        <f>IFERROR(M102/$AI102,"")</f>
        <v/>
      </c>
      <c r="AZ102" s="129">
        <f>IFERROR(N102/$AI102,"")</f>
        <v/>
      </c>
      <c r="BA102" s="129">
        <f>IFERROR(O102/$AI102,"")</f>
        <v/>
      </c>
      <c r="BB102" s="129">
        <f>IFERROR(P102/$AI102,"")</f>
        <v/>
      </c>
      <c r="BC102" s="129">
        <f>IFERROR(AG102/$AI102,"")</f>
        <v/>
      </c>
      <c r="BD102" s="129">
        <f>IFERROR(AH102/$AI102,"")</f>
        <v/>
      </c>
      <c r="BE102" s="129">
        <f>IFERROR(R102/$AI102,"")</f>
        <v/>
      </c>
      <c r="BF102" s="129">
        <f>IFERROR(S102/$AI102,"")</f>
        <v/>
      </c>
      <c r="BG102" s="129">
        <f>IFERROR(T102/$AI102,"")</f>
        <v/>
      </c>
      <c r="BH102" s="129">
        <f>IFERROR(U102/$AI102,"")</f>
        <v/>
      </c>
      <c r="BI102" s="129">
        <f>IFERROR(V102/$AI102,"")</f>
        <v/>
      </c>
      <c r="BJ102" s="129">
        <f>IFERROR(W102/$AI102,"")</f>
        <v/>
      </c>
      <c r="BK102" s="129">
        <f>IFERROR(X102/$AI102,"")</f>
        <v/>
      </c>
      <c r="BL102" s="129">
        <f>IFERROR(Y102/$AI102,"")</f>
        <v/>
      </c>
      <c r="BM102" s="129">
        <f>IFERROR(Z102/$AI102,"")</f>
        <v/>
      </c>
      <c r="BN102" s="129">
        <f>IFERROR(AA102/$AI102,"")</f>
        <v/>
      </c>
      <c r="BO102" s="129">
        <f>IFERROR(AB102/$AI102,"")</f>
        <v/>
      </c>
      <c r="BP102" s="129">
        <f>IFERROR(AC102/$AI102,"")</f>
        <v/>
      </c>
      <c r="BQ102" s="129">
        <f>IFERROR(AD102/$AI102,"")</f>
        <v/>
      </c>
      <c r="BR102" s="129">
        <f>IFERROR(AE102/$AI102,"")</f>
        <v/>
      </c>
      <c r="BS102" s="129">
        <f>IFERROR(AF102/$AI102,"")</f>
        <v/>
      </c>
      <c r="BT102" s="129">
        <f>IFERROR(AG102/$AI102,"")</f>
        <v/>
      </c>
      <c r="BU102" s="129">
        <f>IFERROR(AH102/$AI102,"")</f>
        <v/>
      </c>
      <c r="BV102" s="126">
        <f>SUM(AQ102:BD102)</f>
        <v/>
      </c>
      <c r="BW102" s="126">
        <f>SUM(BE102:BU102)</f>
        <v/>
      </c>
      <c r="BX102" s="126">
        <f>SUM(AQ102:AU102)</f>
        <v/>
      </c>
    </row>
    <row r="103" ht="12" customHeight="1" s="215">
      <c r="B103" s="127" t="n"/>
      <c r="C103" s="128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  <c r="AG103" s="125" t="n"/>
      <c r="AH103" s="125" t="n"/>
      <c r="AI103" s="127">
        <f>SUM(D103:AG103,AH103)</f>
        <v/>
      </c>
      <c r="AJ103" s="126">
        <f>(SUM($D103:$Q103))/AI103</f>
        <v/>
      </c>
      <c r="AK103" s="126">
        <f>(SUM($D103:$H103))/AI103</f>
        <v/>
      </c>
      <c r="AL103" s="126">
        <f>(SUM($R103:$AH103))/AI103</f>
        <v/>
      </c>
      <c r="AM103" s="161" t="n"/>
      <c r="AN103" s="125">
        <f>YEAR(C103)</f>
        <v/>
      </c>
      <c r="AO103" s="125">
        <f>MONTH(C103)</f>
        <v/>
      </c>
      <c r="AP103" s="125">
        <f>WEEKNUM(C103,2)</f>
        <v/>
      </c>
      <c r="AQ103" s="129">
        <f>IFERROR(D103/$AI103,"")</f>
        <v/>
      </c>
      <c r="AR103" s="129">
        <f>IFERROR(E103/$AI103,"")</f>
        <v/>
      </c>
      <c r="AS103" s="129">
        <f>IFERROR(F103/$AI103,"")</f>
        <v/>
      </c>
      <c r="AT103" s="129">
        <f>IFERROR(H103/$AI103,"")</f>
        <v/>
      </c>
      <c r="AU103" s="129">
        <f>IFERROR(I103/$AI103,"")</f>
        <v/>
      </c>
      <c r="AV103" s="129">
        <f>IFERROR(J103/$AI103,"")</f>
        <v/>
      </c>
      <c r="AW103" s="129">
        <f>IFERROR(K103/$AI103,"")</f>
        <v/>
      </c>
      <c r="AX103" s="129">
        <f>IFERROR(L103/$AI103,"")</f>
        <v/>
      </c>
      <c r="AY103" s="129">
        <f>IFERROR(M103/$AI103,"")</f>
        <v/>
      </c>
      <c r="AZ103" s="129">
        <f>IFERROR(N103/$AI103,"")</f>
        <v/>
      </c>
      <c r="BA103" s="129">
        <f>IFERROR(O103/$AI103,"")</f>
        <v/>
      </c>
      <c r="BB103" s="129">
        <f>IFERROR(P103/$AI103,"")</f>
        <v/>
      </c>
      <c r="BC103" s="129">
        <f>IFERROR(AG103/$AI103,"")</f>
        <v/>
      </c>
      <c r="BD103" s="129">
        <f>IFERROR(AH103/$AI103,"")</f>
        <v/>
      </c>
      <c r="BE103" s="129">
        <f>IFERROR(R103/$AI103,"")</f>
        <v/>
      </c>
      <c r="BF103" s="129">
        <f>IFERROR(S103/$AI103,"")</f>
        <v/>
      </c>
      <c r="BG103" s="129">
        <f>IFERROR(T103/$AI103,"")</f>
        <v/>
      </c>
      <c r="BH103" s="129">
        <f>IFERROR(U103/$AI103,"")</f>
        <v/>
      </c>
      <c r="BI103" s="129">
        <f>IFERROR(V103/$AI103,"")</f>
        <v/>
      </c>
      <c r="BJ103" s="129">
        <f>IFERROR(W103/$AI103,"")</f>
        <v/>
      </c>
      <c r="BK103" s="129">
        <f>IFERROR(X103/$AI103,"")</f>
        <v/>
      </c>
      <c r="BL103" s="129">
        <f>IFERROR(Y103/$AI103,"")</f>
        <v/>
      </c>
      <c r="BM103" s="129">
        <f>IFERROR(Z103/$AI103,"")</f>
        <v/>
      </c>
      <c r="BN103" s="129">
        <f>IFERROR(AA103/$AI103,"")</f>
        <v/>
      </c>
      <c r="BO103" s="129">
        <f>IFERROR(AB103/$AI103,"")</f>
        <v/>
      </c>
      <c r="BP103" s="129">
        <f>IFERROR(AC103/$AI103,"")</f>
        <v/>
      </c>
      <c r="BQ103" s="129">
        <f>IFERROR(AD103/$AI103,"")</f>
        <v/>
      </c>
      <c r="BR103" s="129">
        <f>IFERROR(AE103/$AI103,"")</f>
        <v/>
      </c>
      <c r="BS103" s="129">
        <f>IFERROR(AF103/$AI103,"")</f>
        <v/>
      </c>
      <c r="BT103" s="129">
        <f>IFERROR(AG103/$AI103,"")</f>
        <v/>
      </c>
      <c r="BU103" s="129">
        <f>IFERROR(AH103/$AI103,"")</f>
        <v/>
      </c>
      <c r="BV103" s="126">
        <f>SUM(AQ103:BD103)</f>
        <v/>
      </c>
      <c r="BW103" s="126">
        <f>SUM(BE103:BU103)</f>
        <v/>
      </c>
      <c r="BX103" s="126">
        <f>SUM(AQ103:AU103)</f>
        <v/>
      </c>
    </row>
    <row r="104" ht="12" customHeight="1" s="215">
      <c r="B104" s="127" t="n"/>
      <c r="C104" s="128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  <c r="AG104" s="125" t="n"/>
      <c r="AH104" s="125" t="n"/>
      <c r="AI104" s="127">
        <f>SUM(D104:AG104,AH104)</f>
        <v/>
      </c>
      <c r="AJ104" s="126">
        <f>(SUM($D104:$Q104))/AI104</f>
        <v/>
      </c>
      <c r="AK104" s="126">
        <f>(SUM($D104:$H104))/AI104</f>
        <v/>
      </c>
      <c r="AL104" s="126">
        <f>(SUM($R104:$AH104))/AI104</f>
        <v/>
      </c>
      <c r="AM104" s="161" t="n"/>
      <c r="AN104" s="125">
        <f>YEAR(C104)</f>
        <v/>
      </c>
      <c r="AO104" s="125">
        <f>MONTH(C104)</f>
        <v/>
      </c>
      <c r="AP104" s="125">
        <f>WEEKNUM(C104,2)</f>
        <v/>
      </c>
      <c r="AQ104" s="129">
        <f>IFERROR(D104/$AI104,"")</f>
        <v/>
      </c>
      <c r="AR104" s="129">
        <f>IFERROR(E104/$AI104,"")</f>
        <v/>
      </c>
      <c r="AS104" s="129">
        <f>IFERROR(F104/$AI104,"")</f>
        <v/>
      </c>
      <c r="AT104" s="129">
        <f>IFERROR(H104/$AI104,"")</f>
        <v/>
      </c>
      <c r="AU104" s="129">
        <f>IFERROR(I104/$AI104,"")</f>
        <v/>
      </c>
      <c r="AV104" s="129">
        <f>IFERROR(J104/$AI104,"")</f>
        <v/>
      </c>
      <c r="AW104" s="129">
        <f>IFERROR(K104/$AI104,"")</f>
        <v/>
      </c>
      <c r="AX104" s="129">
        <f>IFERROR(L104/$AI104,"")</f>
        <v/>
      </c>
      <c r="AY104" s="129">
        <f>IFERROR(M104/$AI104,"")</f>
        <v/>
      </c>
      <c r="AZ104" s="129">
        <f>IFERROR(N104/$AI104,"")</f>
        <v/>
      </c>
      <c r="BA104" s="129">
        <f>IFERROR(O104/$AI104,"")</f>
        <v/>
      </c>
      <c r="BB104" s="129">
        <f>IFERROR(P104/$AI104,"")</f>
        <v/>
      </c>
      <c r="BC104" s="129">
        <f>IFERROR(AG104/$AI104,"")</f>
        <v/>
      </c>
      <c r="BD104" s="129">
        <f>IFERROR(AH104/$AI104,"")</f>
        <v/>
      </c>
      <c r="BE104" s="129">
        <f>IFERROR(R104/$AI104,"")</f>
        <v/>
      </c>
      <c r="BF104" s="129">
        <f>IFERROR(S104/$AI104,"")</f>
        <v/>
      </c>
      <c r="BG104" s="129">
        <f>IFERROR(T104/$AI104,"")</f>
        <v/>
      </c>
      <c r="BH104" s="129">
        <f>IFERROR(U104/$AI104,"")</f>
        <v/>
      </c>
      <c r="BI104" s="129">
        <f>IFERROR(V104/$AI104,"")</f>
        <v/>
      </c>
      <c r="BJ104" s="129">
        <f>IFERROR(W104/$AI104,"")</f>
        <v/>
      </c>
      <c r="BK104" s="129">
        <f>IFERROR(X104/$AI104,"")</f>
        <v/>
      </c>
      <c r="BL104" s="129">
        <f>IFERROR(Y104/$AI104,"")</f>
        <v/>
      </c>
      <c r="BM104" s="129">
        <f>IFERROR(Z104/$AI104,"")</f>
        <v/>
      </c>
      <c r="BN104" s="129">
        <f>IFERROR(AA104/$AI104,"")</f>
        <v/>
      </c>
      <c r="BO104" s="129">
        <f>IFERROR(AB104/$AI104,"")</f>
        <v/>
      </c>
      <c r="BP104" s="129">
        <f>IFERROR(AC104/$AI104,"")</f>
        <v/>
      </c>
      <c r="BQ104" s="129">
        <f>IFERROR(AD104/$AI104,"")</f>
        <v/>
      </c>
      <c r="BR104" s="129">
        <f>IFERROR(AE104/$AI104,"")</f>
        <v/>
      </c>
      <c r="BS104" s="129">
        <f>IFERROR(AF104/$AI104,"")</f>
        <v/>
      </c>
      <c r="BT104" s="129">
        <f>IFERROR(AG104/$AI104,"")</f>
        <v/>
      </c>
      <c r="BU104" s="129">
        <f>IFERROR(AH104/$AI104,"")</f>
        <v/>
      </c>
      <c r="BV104" s="126">
        <f>SUM(AQ104:BD104)</f>
        <v/>
      </c>
      <c r="BW104" s="126">
        <f>SUM(BE104:BU104)</f>
        <v/>
      </c>
      <c r="BX104" s="126">
        <f>SUM(AQ104:AU104)</f>
        <v/>
      </c>
    </row>
    <row r="105" ht="12" customHeight="1" s="215">
      <c r="B105" s="127" t="n"/>
      <c r="C105" s="128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  <c r="AG105" s="125" t="n"/>
      <c r="AH105" s="125" t="n"/>
      <c r="AI105" s="127">
        <f>SUM(D105:AG105,AH105)</f>
        <v/>
      </c>
      <c r="AJ105" s="126">
        <f>(SUM($D105:$Q105))/AI105</f>
        <v/>
      </c>
      <c r="AK105" s="126">
        <f>(SUM($D105:$H105))/AI105</f>
        <v/>
      </c>
      <c r="AL105" s="126">
        <f>(SUM($R105:$AH105))/AI105</f>
        <v/>
      </c>
      <c r="AM105" s="161" t="n"/>
      <c r="AN105" s="125">
        <f>YEAR(C105)</f>
        <v/>
      </c>
      <c r="AO105" s="125">
        <f>MONTH(C105)</f>
        <v/>
      </c>
      <c r="AP105" s="125">
        <f>WEEKNUM(C105,2)</f>
        <v/>
      </c>
      <c r="AQ105" s="129">
        <f>IFERROR(D105/$AI105,"")</f>
        <v/>
      </c>
      <c r="AR105" s="129">
        <f>IFERROR(E105/$AI105,"")</f>
        <v/>
      </c>
      <c r="AS105" s="129">
        <f>IFERROR(F105/$AI105,"")</f>
        <v/>
      </c>
      <c r="AT105" s="129">
        <f>IFERROR(H105/$AI105,"")</f>
        <v/>
      </c>
      <c r="AU105" s="129">
        <f>IFERROR(I105/$AI105,"")</f>
        <v/>
      </c>
      <c r="AV105" s="129">
        <f>IFERROR(J105/$AI105,"")</f>
        <v/>
      </c>
      <c r="AW105" s="129">
        <f>IFERROR(K105/$AI105,"")</f>
        <v/>
      </c>
      <c r="AX105" s="129">
        <f>IFERROR(L105/$AI105,"")</f>
        <v/>
      </c>
      <c r="AY105" s="129">
        <f>IFERROR(M105/$AI105,"")</f>
        <v/>
      </c>
      <c r="AZ105" s="129">
        <f>IFERROR(N105/$AI105,"")</f>
        <v/>
      </c>
      <c r="BA105" s="129">
        <f>IFERROR(O105/$AI105,"")</f>
        <v/>
      </c>
      <c r="BB105" s="129">
        <f>IFERROR(P105/$AI105,"")</f>
        <v/>
      </c>
      <c r="BC105" s="129">
        <f>IFERROR(AG105/$AI105,"")</f>
        <v/>
      </c>
      <c r="BD105" s="129">
        <f>IFERROR(AH105/$AI105,"")</f>
        <v/>
      </c>
      <c r="BE105" s="129">
        <f>IFERROR(R105/$AI105,"")</f>
        <v/>
      </c>
      <c r="BF105" s="129">
        <f>IFERROR(S105/$AI105,"")</f>
        <v/>
      </c>
      <c r="BG105" s="129">
        <f>IFERROR(T105/$AI105,"")</f>
        <v/>
      </c>
      <c r="BH105" s="129">
        <f>IFERROR(U105/$AI105,"")</f>
        <v/>
      </c>
      <c r="BI105" s="129">
        <f>IFERROR(V105/$AI105,"")</f>
        <v/>
      </c>
      <c r="BJ105" s="129">
        <f>IFERROR(W105/$AI105,"")</f>
        <v/>
      </c>
      <c r="BK105" s="129">
        <f>IFERROR(X105/$AI105,"")</f>
        <v/>
      </c>
      <c r="BL105" s="129">
        <f>IFERROR(Y105/$AI105,"")</f>
        <v/>
      </c>
      <c r="BM105" s="129">
        <f>IFERROR(Z105/$AI105,"")</f>
        <v/>
      </c>
      <c r="BN105" s="129">
        <f>IFERROR(AA105/$AI105,"")</f>
        <v/>
      </c>
      <c r="BO105" s="129">
        <f>IFERROR(AB105/$AI105,"")</f>
        <v/>
      </c>
      <c r="BP105" s="129">
        <f>IFERROR(AC105/$AI105,"")</f>
        <v/>
      </c>
      <c r="BQ105" s="129">
        <f>IFERROR(AD105/$AI105,"")</f>
        <v/>
      </c>
      <c r="BR105" s="129">
        <f>IFERROR(AE105/$AI105,"")</f>
        <v/>
      </c>
      <c r="BS105" s="129">
        <f>IFERROR(AF105/$AI105,"")</f>
        <v/>
      </c>
      <c r="BT105" s="129">
        <f>IFERROR(AG105/$AI105,"")</f>
        <v/>
      </c>
      <c r="BU105" s="129">
        <f>IFERROR(AH105/$AI105,"")</f>
        <v/>
      </c>
      <c r="BV105" s="126">
        <f>SUM(AQ105:BD105)</f>
        <v/>
      </c>
      <c r="BW105" s="126">
        <f>SUM(BE105:BU105)</f>
        <v/>
      </c>
      <c r="BX105" s="126">
        <f>SUM(AQ105:AU105)</f>
        <v/>
      </c>
    </row>
    <row r="106">
      <c r="B106" s="127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  <c r="AG106" s="125" t="n"/>
      <c r="AH106" s="125" t="n"/>
      <c r="AI106" s="127">
        <f>SUM(D106:AG106,AH106)</f>
        <v/>
      </c>
      <c r="AJ106" s="126">
        <f>(SUM($D106:$Q106))/AI106</f>
        <v/>
      </c>
      <c r="AK106" s="126">
        <f>(SUM($D106:$H106))/AI106</f>
        <v/>
      </c>
      <c r="AL106" s="126">
        <f>(SUM($R106:$AH106))/AI106</f>
        <v/>
      </c>
      <c r="AM106" s="161" t="n"/>
      <c r="AN106" s="125">
        <f>YEAR(C106)</f>
        <v/>
      </c>
      <c r="AO106" s="125">
        <f>MONTH(C106)</f>
        <v/>
      </c>
      <c r="AP106" s="125">
        <f>WEEKNUM(C106,2)</f>
        <v/>
      </c>
      <c r="AQ106" s="129">
        <f>IFERROR(D106/$AI106,"")</f>
        <v/>
      </c>
      <c r="AR106" s="129">
        <f>IFERROR(E106/$AI106,"")</f>
        <v/>
      </c>
      <c r="AS106" s="129">
        <f>IFERROR(F106/$AI106,"")</f>
        <v/>
      </c>
      <c r="AT106" s="129">
        <f>IFERROR(H106/$AI106,"")</f>
        <v/>
      </c>
      <c r="AU106" s="129">
        <f>IFERROR(I106/$AI106,"")</f>
        <v/>
      </c>
      <c r="AV106" s="129">
        <f>IFERROR(J106/$AI106,"")</f>
        <v/>
      </c>
      <c r="AW106" s="129">
        <f>IFERROR(K106/$AI106,"")</f>
        <v/>
      </c>
      <c r="AX106" s="129">
        <f>IFERROR(L106/$AI106,"")</f>
        <v/>
      </c>
      <c r="AY106" s="129">
        <f>IFERROR(M106/$AI106,"")</f>
        <v/>
      </c>
      <c r="AZ106" s="129">
        <f>IFERROR(N106/$AI106,"")</f>
        <v/>
      </c>
      <c r="BA106" s="129">
        <f>IFERROR(O106/$AI106,"")</f>
        <v/>
      </c>
      <c r="BB106" s="129">
        <f>IFERROR(P106/$AI106,"")</f>
        <v/>
      </c>
      <c r="BC106" s="129">
        <f>IFERROR(AG106/$AI106,"")</f>
        <v/>
      </c>
      <c r="BD106" s="129">
        <f>IFERROR(AH106/$AI106,"")</f>
        <v/>
      </c>
      <c r="BE106" s="129">
        <f>IFERROR(R106/$AI106,"")</f>
        <v/>
      </c>
      <c r="BF106" s="129">
        <f>IFERROR(S106/$AI106,"")</f>
        <v/>
      </c>
      <c r="BG106" s="129">
        <f>IFERROR(T106/$AI106,"")</f>
        <v/>
      </c>
      <c r="BH106" s="129">
        <f>IFERROR(U106/$AI106,"")</f>
        <v/>
      </c>
      <c r="BI106" s="129">
        <f>IFERROR(V106/$AI106,"")</f>
        <v/>
      </c>
      <c r="BJ106" s="129">
        <f>IFERROR(W106/$AI106,"")</f>
        <v/>
      </c>
      <c r="BK106" s="129">
        <f>IFERROR(X106/$AI106,"")</f>
        <v/>
      </c>
      <c r="BL106" s="129">
        <f>IFERROR(Y106/$AI106,"")</f>
        <v/>
      </c>
      <c r="BM106" s="129">
        <f>IFERROR(Z106/$AI106,"")</f>
        <v/>
      </c>
      <c r="BN106" s="129">
        <f>IFERROR(AA106/$AI106,"")</f>
        <v/>
      </c>
      <c r="BO106" s="129">
        <f>IFERROR(AB106/$AI106,"")</f>
        <v/>
      </c>
      <c r="BP106" s="129">
        <f>IFERROR(AC106/$AI106,"")</f>
        <v/>
      </c>
      <c r="BQ106" s="129">
        <f>IFERROR(AD106/$AI106,"")</f>
        <v/>
      </c>
      <c r="BR106" s="129">
        <f>IFERROR(AE106/$AI106,"")</f>
        <v/>
      </c>
      <c r="BS106" s="129">
        <f>IFERROR(AF106/$AI106,"")</f>
        <v/>
      </c>
      <c r="BT106" s="129">
        <f>IFERROR(AG106/$AI106,"")</f>
        <v/>
      </c>
      <c r="BU106" s="129">
        <f>IFERROR(AH106/$AI106,"")</f>
        <v/>
      </c>
      <c r="BV106" s="126">
        <f>SUM(AQ106:BD106)</f>
        <v/>
      </c>
      <c r="BW106" s="126">
        <f>SUM(BE106:BU106)</f>
        <v/>
      </c>
      <c r="BX106" s="126">
        <f>SUM(AQ106:AU106)</f>
        <v/>
      </c>
    </row>
    <row r="107">
      <c r="B107" s="127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  <c r="AG107" s="125" t="n"/>
      <c r="AH107" s="125" t="n"/>
      <c r="AI107" s="127">
        <f>SUM(D107:AG107,AH107)</f>
        <v/>
      </c>
      <c r="AJ107" s="126">
        <f>(SUM($D107:$Q107))/AI107</f>
        <v/>
      </c>
      <c r="AK107" s="126">
        <f>(SUM($D107:$H107))/AI107</f>
        <v/>
      </c>
      <c r="AL107" s="126">
        <f>(SUM($R107:$AH107))/AI107</f>
        <v/>
      </c>
      <c r="AM107" s="161" t="n"/>
      <c r="AN107" s="125">
        <f>YEAR(C107)</f>
        <v/>
      </c>
      <c r="AO107" s="125">
        <f>MONTH(C107)</f>
        <v/>
      </c>
      <c r="AP107" s="125">
        <f>WEEKNUM(C107,2)</f>
        <v/>
      </c>
      <c r="AQ107" s="129">
        <f>IFERROR(D107/$AI107,"")</f>
        <v/>
      </c>
      <c r="AR107" s="129">
        <f>IFERROR(E107/$AI107,"")</f>
        <v/>
      </c>
      <c r="AS107" s="129">
        <f>IFERROR(F107/$AI107,"")</f>
        <v/>
      </c>
      <c r="AT107" s="129">
        <f>IFERROR(H107/$AI107,"")</f>
        <v/>
      </c>
      <c r="AU107" s="129">
        <f>IFERROR(I107/$AI107,"")</f>
        <v/>
      </c>
      <c r="AV107" s="129">
        <f>IFERROR(J107/$AI107,"")</f>
        <v/>
      </c>
      <c r="AW107" s="129">
        <f>IFERROR(K107/$AI107,"")</f>
        <v/>
      </c>
      <c r="AX107" s="129">
        <f>IFERROR(L107/$AI107,"")</f>
        <v/>
      </c>
      <c r="AY107" s="129">
        <f>IFERROR(M107/$AI107,"")</f>
        <v/>
      </c>
      <c r="AZ107" s="129">
        <f>IFERROR(N107/$AI107,"")</f>
        <v/>
      </c>
      <c r="BA107" s="129">
        <f>IFERROR(O107/$AI107,"")</f>
        <v/>
      </c>
      <c r="BB107" s="129">
        <f>IFERROR(P107/$AI107,"")</f>
        <v/>
      </c>
      <c r="BC107" s="129">
        <f>IFERROR(AG107/$AI107,"")</f>
        <v/>
      </c>
      <c r="BD107" s="129">
        <f>IFERROR(AH107/$AI107,"")</f>
        <v/>
      </c>
      <c r="BE107" s="129">
        <f>IFERROR(R107/$AI107,"")</f>
        <v/>
      </c>
      <c r="BF107" s="129">
        <f>IFERROR(S107/$AI107,"")</f>
        <v/>
      </c>
      <c r="BG107" s="129">
        <f>IFERROR(T107/$AI107,"")</f>
        <v/>
      </c>
      <c r="BH107" s="129">
        <f>IFERROR(U107/$AI107,"")</f>
        <v/>
      </c>
      <c r="BI107" s="129">
        <f>IFERROR(V107/$AI107,"")</f>
        <v/>
      </c>
      <c r="BJ107" s="129">
        <f>IFERROR(W107/$AI107,"")</f>
        <v/>
      </c>
      <c r="BK107" s="129">
        <f>IFERROR(X107/$AI107,"")</f>
        <v/>
      </c>
      <c r="BL107" s="129">
        <f>IFERROR(Y107/$AI107,"")</f>
        <v/>
      </c>
      <c r="BM107" s="129">
        <f>IFERROR(Z107/$AI107,"")</f>
        <v/>
      </c>
      <c r="BN107" s="129">
        <f>IFERROR(AA107/$AI107,"")</f>
        <v/>
      </c>
      <c r="BO107" s="129">
        <f>IFERROR(AB107/$AI107,"")</f>
        <v/>
      </c>
      <c r="BP107" s="129">
        <f>IFERROR(AC107/$AI107,"")</f>
        <v/>
      </c>
      <c r="BQ107" s="129">
        <f>IFERROR(AD107/$AI107,"")</f>
        <v/>
      </c>
      <c r="BR107" s="129">
        <f>IFERROR(AE107/$AI107,"")</f>
        <v/>
      </c>
      <c r="BS107" s="129">
        <f>IFERROR(AF107/$AI107,"")</f>
        <v/>
      </c>
      <c r="BT107" s="129">
        <f>IFERROR(AG107/$AI107,"")</f>
        <v/>
      </c>
      <c r="BU107" s="129">
        <f>IFERROR(AH107/$AI107,"")</f>
        <v/>
      </c>
      <c r="BV107" s="126">
        <f>SUM(AQ107:BD107)</f>
        <v/>
      </c>
      <c r="BW107" s="126">
        <f>SUM(BE107:BU107)</f>
        <v/>
      </c>
      <c r="BX107" s="126">
        <f>SUM(AQ107:AU107)</f>
        <v/>
      </c>
    </row>
    <row r="108">
      <c r="B108" s="127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  <c r="AG108" s="125" t="n"/>
      <c r="AH108" s="125" t="n"/>
      <c r="AI108" s="127">
        <f>SUM(D108:AG108,AH108)</f>
        <v/>
      </c>
      <c r="AJ108" s="126">
        <f>(SUM($D108:$Q108))/AI108</f>
        <v/>
      </c>
      <c r="AK108" s="126">
        <f>(SUM($D108:$H108))/AI108</f>
        <v/>
      </c>
      <c r="AL108" s="126">
        <f>(SUM($R108:$AH108))/AI108</f>
        <v/>
      </c>
      <c r="AM108" s="161" t="n"/>
      <c r="AN108" s="125">
        <f>YEAR(C108)</f>
        <v/>
      </c>
      <c r="AO108" s="125">
        <f>MONTH(C108)</f>
        <v/>
      </c>
      <c r="AP108" s="125">
        <f>WEEKNUM(C108,2)</f>
        <v/>
      </c>
      <c r="AQ108" s="129">
        <f>IFERROR(D108/$AI108,"")</f>
        <v/>
      </c>
      <c r="AR108" s="129">
        <f>IFERROR(E108/$AI108,"")</f>
        <v/>
      </c>
      <c r="AS108" s="129">
        <f>IFERROR(F108/$AI108,"")</f>
        <v/>
      </c>
      <c r="AT108" s="129">
        <f>IFERROR(H108/$AI108,"")</f>
        <v/>
      </c>
      <c r="AU108" s="129">
        <f>IFERROR(I108/$AI108,"")</f>
        <v/>
      </c>
      <c r="AV108" s="129">
        <f>IFERROR(J108/$AI108,"")</f>
        <v/>
      </c>
      <c r="AW108" s="129">
        <f>IFERROR(K108/$AI108,"")</f>
        <v/>
      </c>
      <c r="AX108" s="129">
        <f>IFERROR(L108/$AI108,"")</f>
        <v/>
      </c>
      <c r="AY108" s="129">
        <f>IFERROR(M108/$AI108,"")</f>
        <v/>
      </c>
      <c r="AZ108" s="129">
        <f>IFERROR(N108/$AI108,"")</f>
        <v/>
      </c>
      <c r="BA108" s="129">
        <f>IFERROR(O108/$AI108,"")</f>
        <v/>
      </c>
      <c r="BB108" s="129">
        <f>IFERROR(P108/$AI108,"")</f>
        <v/>
      </c>
      <c r="BC108" s="129">
        <f>IFERROR(AG108/$AI108,"")</f>
        <v/>
      </c>
      <c r="BD108" s="129">
        <f>IFERROR(AH108/$AI108,"")</f>
        <v/>
      </c>
      <c r="BE108" s="129">
        <f>IFERROR(R108/$AI108,"")</f>
        <v/>
      </c>
      <c r="BF108" s="129">
        <f>IFERROR(S108/$AI108,"")</f>
        <v/>
      </c>
      <c r="BG108" s="129">
        <f>IFERROR(T108/$AI108,"")</f>
        <v/>
      </c>
      <c r="BH108" s="129">
        <f>IFERROR(U108/$AI108,"")</f>
        <v/>
      </c>
      <c r="BI108" s="129">
        <f>IFERROR(V108/$AI108,"")</f>
        <v/>
      </c>
      <c r="BJ108" s="129">
        <f>IFERROR(W108/$AI108,"")</f>
        <v/>
      </c>
      <c r="BK108" s="129">
        <f>IFERROR(X108/$AI108,"")</f>
        <v/>
      </c>
      <c r="BL108" s="129">
        <f>IFERROR(Y108/$AI108,"")</f>
        <v/>
      </c>
      <c r="BM108" s="129">
        <f>IFERROR(Z108/$AI108,"")</f>
        <v/>
      </c>
      <c r="BN108" s="129">
        <f>IFERROR(AA108/$AI108,"")</f>
        <v/>
      </c>
      <c r="BO108" s="129">
        <f>IFERROR(AB108/$AI108,"")</f>
        <v/>
      </c>
      <c r="BP108" s="129">
        <f>IFERROR(AC108/$AI108,"")</f>
        <v/>
      </c>
      <c r="BQ108" s="129">
        <f>IFERROR(AD108/$AI108,"")</f>
        <v/>
      </c>
      <c r="BR108" s="129">
        <f>IFERROR(AE108/$AI108,"")</f>
        <v/>
      </c>
      <c r="BS108" s="129">
        <f>IFERROR(AF108/$AI108,"")</f>
        <v/>
      </c>
      <c r="BT108" s="129">
        <f>IFERROR(AG108/$AI108,"")</f>
        <v/>
      </c>
      <c r="BU108" s="129">
        <f>IFERROR(AH108/$AI108,"")</f>
        <v/>
      </c>
      <c r="BV108" s="126">
        <f>SUM(AQ108:BD108)</f>
        <v/>
      </c>
      <c r="BW108" s="126">
        <f>SUM(BE108:BU108)</f>
        <v/>
      </c>
      <c r="BX108" s="126">
        <f>SUM(AQ108:AU108)</f>
        <v/>
      </c>
    </row>
    <row r="109">
      <c r="B109" s="127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  <c r="AG109" s="125" t="n"/>
      <c r="AH109" s="125" t="n"/>
      <c r="AI109" s="127">
        <f>SUM(D109:AG109,AH109)</f>
        <v/>
      </c>
      <c r="AJ109" s="126">
        <f>(SUM($D109:$Q109))/AI109</f>
        <v/>
      </c>
      <c r="AK109" s="126">
        <f>(SUM($D109:$H109))/AI109</f>
        <v/>
      </c>
      <c r="AL109" s="126">
        <f>(SUM($R109:$AH109))/AI109</f>
        <v/>
      </c>
      <c r="AM109" s="161" t="n"/>
      <c r="AN109" s="125">
        <f>YEAR(C109)</f>
        <v/>
      </c>
      <c r="AO109" s="125">
        <f>MONTH(C109)</f>
        <v/>
      </c>
      <c r="AP109" s="125">
        <f>WEEKNUM(C109,2)</f>
        <v/>
      </c>
      <c r="AQ109" s="129">
        <f>IFERROR(D109/$AI109,"")</f>
        <v/>
      </c>
      <c r="AR109" s="129">
        <f>IFERROR(E109/$AI109,"")</f>
        <v/>
      </c>
      <c r="AS109" s="129">
        <f>IFERROR(F109/$AI109,"")</f>
        <v/>
      </c>
      <c r="AT109" s="129">
        <f>IFERROR(H109/$AI109,"")</f>
        <v/>
      </c>
      <c r="AU109" s="129">
        <f>IFERROR(I109/$AI109,"")</f>
        <v/>
      </c>
      <c r="AV109" s="129">
        <f>IFERROR(J109/$AI109,"")</f>
        <v/>
      </c>
      <c r="AW109" s="129">
        <f>IFERROR(K109/$AI109,"")</f>
        <v/>
      </c>
      <c r="AX109" s="129">
        <f>IFERROR(L109/$AI109,"")</f>
        <v/>
      </c>
      <c r="AY109" s="129">
        <f>IFERROR(M109/$AI109,"")</f>
        <v/>
      </c>
      <c r="AZ109" s="129">
        <f>IFERROR(N109/$AI109,"")</f>
        <v/>
      </c>
      <c r="BA109" s="129">
        <f>IFERROR(O109/$AI109,"")</f>
        <v/>
      </c>
      <c r="BB109" s="129">
        <f>IFERROR(P109/$AI109,"")</f>
        <v/>
      </c>
      <c r="BC109" s="129">
        <f>IFERROR(AG109/$AI109,"")</f>
        <v/>
      </c>
      <c r="BD109" s="129">
        <f>IFERROR(AH109/$AI109,"")</f>
        <v/>
      </c>
      <c r="BE109" s="129">
        <f>IFERROR(R109/$AI109,"")</f>
        <v/>
      </c>
      <c r="BF109" s="129">
        <f>IFERROR(S109/$AI109,"")</f>
        <v/>
      </c>
      <c r="BG109" s="129">
        <f>IFERROR(T109/$AI109,"")</f>
        <v/>
      </c>
      <c r="BH109" s="129">
        <f>IFERROR(U109/$AI109,"")</f>
        <v/>
      </c>
      <c r="BI109" s="129">
        <f>IFERROR(V109/$AI109,"")</f>
        <v/>
      </c>
      <c r="BJ109" s="129">
        <f>IFERROR(W109/$AI109,"")</f>
        <v/>
      </c>
      <c r="BK109" s="129">
        <f>IFERROR(X109/$AI109,"")</f>
        <v/>
      </c>
      <c r="BL109" s="129">
        <f>IFERROR(Y109/$AI109,"")</f>
        <v/>
      </c>
      <c r="BM109" s="129">
        <f>IFERROR(Z109/$AI109,"")</f>
        <v/>
      </c>
      <c r="BN109" s="129">
        <f>IFERROR(AA109/$AI109,"")</f>
        <v/>
      </c>
      <c r="BO109" s="129">
        <f>IFERROR(AB109/$AI109,"")</f>
        <v/>
      </c>
      <c r="BP109" s="129">
        <f>IFERROR(AC109/$AI109,"")</f>
        <v/>
      </c>
      <c r="BQ109" s="129">
        <f>IFERROR(AD109/$AI109,"")</f>
        <v/>
      </c>
      <c r="BR109" s="129">
        <f>IFERROR(AE109/$AI109,"")</f>
        <v/>
      </c>
      <c r="BS109" s="129">
        <f>IFERROR(AF109/$AI109,"")</f>
        <v/>
      </c>
      <c r="BT109" s="129">
        <f>IFERROR(AG109/$AI109,"")</f>
        <v/>
      </c>
      <c r="BU109" s="129">
        <f>IFERROR(AH109/$AI109,"")</f>
        <v/>
      </c>
      <c r="BV109" s="126">
        <f>SUM(AQ109:BD109)</f>
        <v/>
      </c>
      <c r="BW109" s="126">
        <f>SUM(BE109:BU109)</f>
        <v/>
      </c>
      <c r="BX109" s="126">
        <f>SUM(AQ109:AU109)</f>
        <v/>
      </c>
    </row>
    <row r="110">
      <c r="B110" s="127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  <c r="AG110" s="125" t="n"/>
      <c r="AH110" s="125" t="n"/>
      <c r="AI110" s="127">
        <f>SUM(D110:AG110,AH110)</f>
        <v/>
      </c>
      <c r="AJ110" s="126">
        <f>(SUM($D110:$Q110))/AI110</f>
        <v/>
      </c>
      <c r="AK110" s="126">
        <f>(SUM($D110:$H110))/AI110</f>
        <v/>
      </c>
      <c r="AL110" s="126">
        <f>(SUM($R110:$AH110))/AI110</f>
        <v/>
      </c>
      <c r="AM110" s="161" t="n"/>
      <c r="AN110" s="125">
        <f>YEAR(C110)</f>
        <v/>
      </c>
      <c r="AO110" s="125">
        <f>MONTH(C110)</f>
        <v/>
      </c>
      <c r="AP110" s="125">
        <f>WEEKNUM(C110,2)</f>
        <v/>
      </c>
      <c r="AQ110" s="129">
        <f>IFERROR(D110/$AI110,"")</f>
        <v/>
      </c>
      <c r="AR110" s="129">
        <f>IFERROR(E110/$AI110,"")</f>
        <v/>
      </c>
      <c r="AS110" s="129">
        <f>IFERROR(F110/$AI110,"")</f>
        <v/>
      </c>
      <c r="AT110" s="129">
        <f>IFERROR(H110/$AI110,"")</f>
        <v/>
      </c>
      <c r="AU110" s="129">
        <f>IFERROR(I110/$AI110,"")</f>
        <v/>
      </c>
      <c r="AV110" s="129">
        <f>IFERROR(J110/$AI110,"")</f>
        <v/>
      </c>
      <c r="AW110" s="129">
        <f>IFERROR(K110/$AI110,"")</f>
        <v/>
      </c>
      <c r="AX110" s="129">
        <f>IFERROR(L110/$AI110,"")</f>
        <v/>
      </c>
      <c r="AY110" s="129">
        <f>IFERROR(M110/$AI110,"")</f>
        <v/>
      </c>
      <c r="AZ110" s="129">
        <f>IFERROR(N110/$AI110,"")</f>
        <v/>
      </c>
      <c r="BA110" s="129">
        <f>IFERROR(O110/$AI110,"")</f>
        <v/>
      </c>
      <c r="BB110" s="129">
        <f>IFERROR(P110/$AI110,"")</f>
        <v/>
      </c>
      <c r="BC110" s="129">
        <f>IFERROR(AG110/$AI110,"")</f>
        <v/>
      </c>
      <c r="BD110" s="129">
        <f>IFERROR(AH110/$AI110,"")</f>
        <v/>
      </c>
      <c r="BE110" s="129">
        <f>IFERROR(R110/$AI110,"")</f>
        <v/>
      </c>
      <c r="BF110" s="129">
        <f>IFERROR(S110/$AI110,"")</f>
        <v/>
      </c>
      <c r="BG110" s="129">
        <f>IFERROR(T110/$AI110,"")</f>
        <v/>
      </c>
      <c r="BH110" s="129">
        <f>IFERROR(U110/$AI110,"")</f>
        <v/>
      </c>
      <c r="BI110" s="129">
        <f>IFERROR(V110/$AI110,"")</f>
        <v/>
      </c>
      <c r="BJ110" s="129">
        <f>IFERROR(W110/$AI110,"")</f>
        <v/>
      </c>
      <c r="BK110" s="129">
        <f>IFERROR(X110/$AI110,"")</f>
        <v/>
      </c>
      <c r="BL110" s="129">
        <f>IFERROR(Y110/$AI110,"")</f>
        <v/>
      </c>
      <c r="BM110" s="129">
        <f>IFERROR(Z110/$AI110,"")</f>
        <v/>
      </c>
      <c r="BN110" s="129">
        <f>IFERROR(AA110/$AI110,"")</f>
        <v/>
      </c>
      <c r="BO110" s="129">
        <f>IFERROR(AB110/$AI110,"")</f>
        <v/>
      </c>
      <c r="BP110" s="129">
        <f>IFERROR(AC110/$AI110,"")</f>
        <v/>
      </c>
      <c r="BQ110" s="129">
        <f>IFERROR(AD110/$AI110,"")</f>
        <v/>
      </c>
      <c r="BR110" s="129">
        <f>IFERROR(AE110/$AI110,"")</f>
        <v/>
      </c>
      <c r="BS110" s="129">
        <f>IFERROR(AF110/$AI110,"")</f>
        <v/>
      </c>
      <c r="BT110" s="129">
        <f>IFERROR(AG110/$AI110,"")</f>
        <v/>
      </c>
      <c r="BU110" s="129">
        <f>IFERROR(AH110/$AI110,"")</f>
        <v/>
      </c>
      <c r="BV110" s="126">
        <f>SUM(AQ110:BD110)</f>
        <v/>
      </c>
      <c r="BW110" s="126">
        <f>SUM(BE110:BU110)</f>
        <v/>
      </c>
      <c r="BX110" s="126">
        <f>SUM(AQ110:AU110)</f>
        <v/>
      </c>
    </row>
    <row r="111">
      <c r="B111" s="127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  <c r="AG111" s="125" t="n"/>
      <c r="AH111" s="125" t="n"/>
      <c r="AI111" s="127">
        <f>SUM(D111:AG111,AH111)</f>
        <v/>
      </c>
      <c r="AJ111" s="126">
        <f>(SUM($D111:$Q111))/AI111</f>
        <v/>
      </c>
      <c r="AK111" s="126">
        <f>(SUM($D111:$H111))/AI111</f>
        <v/>
      </c>
      <c r="AL111" s="126">
        <f>(SUM($R111:$AH111))/AI111</f>
        <v/>
      </c>
      <c r="AM111" s="161" t="n"/>
      <c r="AN111" s="125">
        <f>YEAR(C111)</f>
        <v/>
      </c>
      <c r="AO111" s="125">
        <f>MONTH(C111)</f>
        <v/>
      </c>
      <c r="AP111" s="125">
        <f>WEEKNUM(C111,2)</f>
        <v/>
      </c>
      <c r="AQ111" s="129">
        <f>IFERROR(D111/$AI111,"")</f>
        <v/>
      </c>
      <c r="AR111" s="129">
        <f>IFERROR(E111/$AI111,"")</f>
        <v/>
      </c>
      <c r="AS111" s="129">
        <f>IFERROR(F111/$AI111,"")</f>
        <v/>
      </c>
      <c r="AT111" s="129">
        <f>IFERROR(H111/$AI111,"")</f>
        <v/>
      </c>
      <c r="AU111" s="129">
        <f>IFERROR(I111/$AI111,"")</f>
        <v/>
      </c>
      <c r="AV111" s="129">
        <f>IFERROR(J111/$AI111,"")</f>
        <v/>
      </c>
      <c r="AW111" s="129">
        <f>IFERROR(K111/$AI111,"")</f>
        <v/>
      </c>
      <c r="AX111" s="129">
        <f>IFERROR(L111/$AI111,"")</f>
        <v/>
      </c>
      <c r="AY111" s="129">
        <f>IFERROR(M111/$AI111,"")</f>
        <v/>
      </c>
      <c r="AZ111" s="129">
        <f>IFERROR(N111/$AI111,"")</f>
        <v/>
      </c>
      <c r="BA111" s="129">
        <f>IFERROR(O111/$AI111,"")</f>
        <v/>
      </c>
      <c r="BB111" s="129">
        <f>IFERROR(P111/$AI111,"")</f>
        <v/>
      </c>
      <c r="BC111" s="129">
        <f>IFERROR(AG111/$AI111,"")</f>
        <v/>
      </c>
      <c r="BD111" s="129">
        <f>IFERROR(AH111/$AI111,"")</f>
        <v/>
      </c>
      <c r="BE111" s="129">
        <f>IFERROR(R111/$AI111,"")</f>
        <v/>
      </c>
      <c r="BF111" s="129">
        <f>IFERROR(S111/$AI111,"")</f>
        <v/>
      </c>
      <c r="BG111" s="129">
        <f>IFERROR(T111/$AI111,"")</f>
        <v/>
      </c>
      <c r="BH111" s="129">
        <f>IFERROR(U111/$AI111,"")</f>
        <v/>
      </c>
      <c r="BI111" s="129">
        <f>IFERROR(V111/$AI111,"")</f>
        <v/>
      </c>
      <c r="BJ111" s="129">
        <f>IFERROR(W111/$AI111,"")</f>
        <v/>
      </c>
      <c r="BK111" s="129">
        <f>IFERROR(X111/$AI111,"")</f>
        <v/>
      </c>
      <c r="BL111" s="129">
        <f>IFERROR(Y111/$AI111,"")</f>
        <v/>
      </c>
      <c r="BM111" s="129">
        <f>IFERROR(Z111/$AI111,"")</f>
        <v/>
      </c>
      <c r="BN111" s="129">
        <f>IFERROR(AA111/$AI111,"")</f>
        <v/>
      </c>
      <c r="BO111" s="129">
        <f>IFERROR(AB111/$AI111,"")</f>
        <v/>
      </c>
      <c r="BP111" s="129">
        <f>IFERROR(AC111/$AI111,"")</f>
        <v/>
      </c>
      <c r="BQ111" s="129">
        <f>IFERROR(AD111/$AI111,"")</f>
        <v/>
      </c>
      <c r="BR111" s="129">
        <f>IFERROR(AE111/$AI111,"")</f>
        <v/>
      </c>
      <c r="BS111" s="129">
        <f>IFERROR(AF111/$AI111,"")</f>
        <v/>
      </c>
      <c r="BT111" s="129">
        <f>IFERROR(AG111/$AI111,"")</f>
        <v/>
      </c>
      <c r="BU111" s="129">
        <f>IFERROR(AH111/$AI111,"")</f>
        <v/>
      </c>
      <c r="BV111" s="126">
        <f>SUM(AQ111:BD111)</f>
        <v/>
      </c>
      <c r="BW111" s="126">
        <f>SUM(BE111:BU111)</f>
        <v/>
      </c>
      <c r="BX111" s="126">
        <f>SUM(AQ111:AU111)</f>
        <v/>
      </c>
    </row>
    <row r="112">
      <c r="B112" s="127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  <c r="AG112" s="125" t="n"/>
      <c r="AH112" s="125" t="n"/>
      <c r="AI112" s="127">
        <f>SUM(D112:AG112,AH112)</f>
        <v/>
      </c>
      <c r="AJ112" s="126">
        <f>(SUM($D112:$Q112))/AI112</f>
        <v/>
      </c>
      <c r="AK112" s="126">
        <f>(SUM($D112:$H112))/AI112</f>
        <v/>
      </c>
      <c r="AL112" s="126">
        <f>(SUM($R112:$AH112))/AI112</f>
        <v/>
      </c>
      <c r="AM112" s="161" t="n"/>
      <c r="AN112" s="125">
        <f>YEAR(C112)</f>
        <v/>
      </c>
      <c r="AO112" s="125">
        <f>MONTH(C112)</f>
        <v/>
      </c>
      <c r="AP112" s="125">
        <f>WEEKNUM(C112,2)</f>
        <v/>
      </c>
      <c r="AQ112" s="129">
        <f>IFERROR(D112/$AI112,"")</f>
        <v/>
      </c>
      <c r="AR112" s="129">
        <f>IFERROR(E112/$AI112,"")</f>
        <v/>
      </c>
      <c r="AS112" s="129">
        <f>IFERROR(F112/$AI112,"")</f>
        <v/>
      </c>
      <c r="AT112" s="129">
        <f>IFERROR(H112/$AI112,"")</f>
        <v/>
      </c>
      <c r="AU112" s="129">
        <f>IFERROR(I112/$AI112,"")</f>
        <v/>
      </c>
      <c r="AV112" s="129">
        <f>IFERROR(J112/$AI112,"")</f>
        <v/>
      </c>
      <c r="AW112" s="129">
        <f>IFERROR(K112/$AI112,"")</f>
        <v/>
      </c>
      <c r="AX112" s="129">
        <f>IFERROR(L112/$AI112,"")</f>
        <v/>
      </c>
      <c r="AY112" s="129">
        <f>IFERROR(M112/$AI112,"")</f>
        <v/>
      </c>
      <c r="AZ112" s="129">
        <f>IFERROR(N112/$AI112,"")</f>
        <v/>
      </c>
      <c r="BA112" s="129">
        <f>IFERROR(O112/$AI112,"")</f>
        <v/>
      </c>
      <c r="BB112" s="129">
        <f>IFERROR(P112/$AI112,"")</f>
        <v/>
      </c>
      <c r="BC112" s="129">
        <f>IFERROR(AG112/$AI112,"")</f>
        <v/>
      </c>
      <c r="BD112" s="129">
        <f>IFERROR(AH112/$AI112,"")</f>
        <v/>
      </c>
      <c r="BE112" s="129">
        <f>IFERROR(R112/$AI112,"")</f>
        <v/>
      </c>
      <c r="BF112" s="129">
        <f>IFERROR(S112/$AI112,"")</f>
        <v/>
      </c>
      <c r="BG112" s="129">
        <f>IFERROR(T112/$AI112,"")</f>
        <v/>
      </c>
      <c r="BH112" s="129">
        <f>IFERROR(U112/$AI112,"")</f>
        <v/>
      </c>
      <c r="BI112" s="129">
        <f>IFERROR(V112/$AI112,"")</f>
        <v/>
      </c>
      <c r="BJ112" s="129">
        <f>IFERROR(W112/$AI112,"")</f>
        <v/>
      </c>
      <c r="BK112" s="129">
        <f>IFERROR(X112/$AI112,"")</f>
        <v/>
      </c>
      <c r="BL112" s="129">
        <f>IFERROR(Y112/$AI112,"")</f>
        <v/>
      </c>
      <c r="BM112" s="129">
        <f>IFERROR(Z112/$AI112,"")</f>
        <v/>
      </c>
      <c r="BN112" s="129">
        <f>IFERROR(AA112/$AI112,"")</f>
        <v/>
      </c>
      <c r="BO112" s="129">
        <f>IFERROR(AB112/$AI112,"")</f>
        <v/>
      </c>
      <c r="BP112" s="129">
        <f>IFERROR(AC112/$AI112,"")</f>
        <v/>
      </c>
      <c r="BQ112" s="129">
        <f>IFERROR(AD112/$AI112,"")</f>
        <v/>
      </c>
      <c r="BR112" s="129">
        <f>IFERROR(AE112/$AI112,"")</f>
        <v/>
      </c>
      <c r="BS112" s="129">
        <f>IFERROR(AF112/$AI112,"")</f>
        <v/>
      </c>
      <c r="BT112" s="129">
        <f>IFERROR(AG112/$AI112,"")</f>
        <v/>
      </c>
      <c r="BU112" s="129">
        <f>IFERROR(AH112/$AI112,"")</f>
        <v/>
      </c>
      <c r="BV112" s="126">
        <f>SUM(AQ112:BD112)</f>
        <v/>
      </c>
      <c r="BW112" s="126">
        <f>SUM(BE112:BU112)</f>
        <v/>
      </c>
      <c r="BX112" s="126">
        <f>SUM(AQ112:AU112)</f>
        <v/>
      </c>
    </row>
    <row r="113">
      <c r="B113" s="127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  <c r="AG113" s="125" t="n"/>
      <c r="AH113" s="125" t="n"/>
      <c r="AI113" s="127">
        <f>SUM(D113:AG113,AH113)</f>
        <v/>
      </c>
      <c r="AJ113" s="126">
        <f>(SUM($D113:$Q113))/AI113</f>
        <v/>
      </c>
      <c r="AK113" s="126">
        <f>(SUM($D113:$H113))/AI113</f>
        <v/>
      </c>
      <c r="AL113" s="126">
        <f>(SUM($R113:$AH113))/AI113</f>
        <v/>
      </c>
      <c r="AM113" s="161" t="n"/>
      <c r="AN113" s="125">
        <f>YEAR(C113)</f>
        <v/>
      </c>
      <c r="AO113" s="125">
        <f>MONTH(C113)</f>
        <v/>
      </c>
      <c r="AP113" s="125">
        <f>WEEKNUM(C113,2)</f>
        <v/>
      </c>
      <c r="AQ113" s="129">
        <f>IFERROR(D113/$AI113,"")</f>
        <v/>
      </c>
      <c r="AR113" s="129">
        <f>IFERROR(E113/$AI113,"")</f>
        <v/>
      </c>
      <c r="AS113" s="129">
        <f>IFERROR(F113/$AI113,"")</f>
        <v/>
      </c>
      <c r="AT113" s="129">
        <f>IFERROR(H113/$AI113,"")</f>
        <v/>
      </c>
      <c r="AU113" s="129">
        <f>IFERROR(I113/$AI113,"")</f>
        <v/>
      </c>
      <c r="AV113" s="129">
        <f>IFERROR(J113/$AI113,"")</f>
        <v/>
      </c>
      <c r="AW113" s="129">
        <f>IFERROR(K113/$AI113,"")</f>
        <v/>
      </c>
      <c r="AX113" s="129">
        <f>IFERROR(L113/$AI113,"")</f>
        <v/>
      </c>
      <c r="AY113" s="129">
        <f>IFERROR(M113/$AI113,"")</f>
        <v/>
      </c>
      <c r="AZ113" s="129">
        <f>IFERROR(N113/$AI113,"")</f>
        <v/>
      </c>
      <c r="BA113" s="129">
        <f>IFERROR(O113/$AI113,"")</f>
        <v/>
      </c>
      <c r="BB113" s="129">
        <f>IFERROR(P113/$AI113,"")</f>
        <v/>
      </c>
      <c r="BC113" s="129">
        <f>IFERROR(AG113/$AI113,"")</f>
        <v/>
      </c>
      <c r="BD113" s="129">
        <f>IFERROR(AH113/$AI113,"")</f>
        <v/>
      </c>
      <c r="BE113" s="129">
        <f>IFERROR(R113/$AI113,"")</f>
        <v/>
      </c>
      <c r="BF113" s="129">
        <f>IFERROR(S113/$AI113,"")</f>
        <v/>
      </c>
      <c r="BG113" s="129">
        <f>IFERROR(T113/$AI113,"")</f>
        <v/>
      </c>
      <c r="BH113" s="129">
        <f>IFERROR(U113/$AI113,"")</f>
        <v/>
      </c>
      <c r="BI113" s="129">
        <f>IFERROR(V113/$AI113,"")</f>
        <v/>
      </c>
      <c r="BJ113" s="129">
        <f>IFERROR(W113/$AI113,"")</f>
        <v/>
      </c>
      <c r="BK113" s="129">
        <f>IFERROR(X113/$AI113,"")</f>
        <v/>
      </c>
      <c r="BL113" s="129">
        <f>IFERROR(Y113/$AI113,"")</f>
        <v/>
      </c>
      <c r="BM113" s="129">
        <f>IFERROR(Z113/$AI113,"")</f>
        <v/>
      </c>
      <c r="BN113" s="129">
        <f>IFERROR(AA113/$AI113,"")</f>
        <v/>
      </c>
      <c r="BO113" s="129">
        <f>IFERROR(AB113/$AI113,"")</f>
        <v/>
      </c>
      <c r="BP113" s="129">
        <f>IFERROR(AC113/$AI113,"")</f>
        <v/>
      </c>
      <c r="BQ113" s="129">
        <f>IFERROR(AD113/$AI113,"")</f>
        <v/>
      </c>
      <c r="BR113" s="129">
        <f>IFERROR(AE113/$AI113,"")</f>
        <v/>
      </c>
      <c r="BS113" s="129">
        <f>IFERROR(AF113/$AI113,"")</f>
        <v/>
      </c>
      <c r="BT113" s="129">
        <f>IFERROR(AG113/$AI113,"")</f>
        <v/>
      </c>
      <c r="BU113" s="129">
        <f>IFERROR(AH113/$AI113,"")</f>
        <v/>
      </c>
      <c r="BV113" s="126">
        <f>SUM(AQ113:BD113)</f>
        <v/>
      </c>
      <c r="BW113" s="126">
        <f>SUM(BE113:BU113)</f>
        <v/>
      </c>
      <c r="BX113" s="126">
        <f>SUM(AQ113:AU113)</f>
        <v/>
      </c>
    </row>
    <row r="114">
      <c r="B114" s="127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  <c r="AG114" s="125" t="n"/>
      <c r="AH114" s="125" t="n"/>
      <c r="AI114" s="127">
        <f>SUM(D114:AG114,AH114)</f>
        <v/>
      </c>
      <c r="AJ114" s="126">
        <f>(SUM($D114:$Q114))/AI114</f>
        <v/>
      </c>
      <c r="AK114" s="126">
        <f>(SUM($D114:$H114))/AI114</f>
        <v/>
      </c>
      <c r="AL114" s="126">
        <f>(SUM($R114:$AH114))/AI114</f>
        <v/>
      </c>
      <c r="AM114" s="161" t="n"/>
      <c r="AN114" s="125">
        <f>YEAR(C114)</f>
        <v/>
      </c>
      <c r="AO114" s="125">
        <f>MONTH(C114)</f>
        <v/>
      </c>
      <c r="AP114" s="125">
        <f>WEEKNUM(C114,2)</f>
        <v/>
      </c>
      <c r="AQ114" s="129">
        <f>IFERROR(D114/$AI114,"")</f>
        <v/>
      </c>
      <c r="AR114" s="129">
        <f>IFERROR(E114/$AI114,"")</f>
        <v/>
      </c>
      <c r="AS114" s="129">
        <f>IFERROR(F114/$AI114,"")</f>
        <v/>
      </c>
      <c r="AT114" s="129">
        <f>IFERROR(H114/$AI114,"")</f>
        <v/>
      </c>
      <c r="AU114" s="129">
        <f>IFERROR(I114/$AI114,"")</f>
        <v/>
      </c>
      <c r="AV114" s="129">
        <f>IFERROR(J114/$AI114,"")</f>
        <v/>
      </c>
      <c r="AW114" s="129">
        <f>IFERROR(K114/$AI114,"")</f>
        <v/>
      </c>
      <c r="AX114" s="129">
        <f>IFERROR(L114/$AI114,"")</f>
        <v/>
      </c>
      <c r="AY114" s="129">
        <f>IFERROR(M114/$AI114,"")</f>
        <v/>
      </c>
      <c r="AZ114" s="129">
        <f>IFERROR(N114/$AI114,"")</f>
        <v/>
      </c>
      <c r="BA114" s="129">
        <f>IFERROR(O114/$AI114,"")</f>
        <v/>
      </c>
      <c r="BB114" s="129">
        <f>IFERROR(P114/$AI114,"")</f>
        <v/>
      </c>
      <c r="BC114" s="129">
        <f>IFERROR(AG114/$AI114,"")</f>
        <v/>
      </c>
      <c r="BD114" s="129">
        <f>IFERROR(AH114/$AI114,"")</f>
        <v/>
      </c>
      <c r="BE114" s="129">
        <f>IFERROR(R114/$AI114,"")</f>
        <v/>
      </c>
      <c r="BF114" s="129">
        <f>IFERROR(S114/$AI114,"")</f>
        <v/>
      </c>
      <c r="BG114" s="129">
        <f>IFERROR(T114/$AI114,"")</f>
        <v/>
      </c>
      <c r="BH114" s="129">
        <f>IFERROR(U114/$AI114,"")</f>
        <v/>
      </c>
      <c r="BI114" s="129">
        <f>IFERROR(V114/$AI114,"")</f>
        <v/>
      </c>
      <c r="BJ114" s="129">
        <f>IFERROR(W114/$AI114,"")</f>
        <v/>
      </c>
      <c r="BK114" s="129">
        <f>IFERROR(X114/$AI114,"")</f>
        <v/>
      </c>
      <c r="BL114" s="129">
        <f>IFERROR(Y114/$AI114,"")</f>
        <v/>
      </c>
      <c r="BM114" s="129">
        <f>IFERROR(Z114/$AI114,"")</f>
        <v/>
      </c>
      <c r="BN114" s="129">
        <f>IFERROR(AA114/$AI114,"")</f>
        <v/>
      </c>
      <c r="BO114" s="129">
        <f>IFERROR(AB114/$AI114,"")</f>
        <v/>
      </c>
      <c r="BP114" s="129">
        <f>IFERROR(AC114/$AI114,"")</f>
        <v/>
      </c>
      <c r="BQ114" s="129">
        <f>IFERROR(AD114/$AI114,"")</f>
        <v/>
      </c>
      <c r="BR114" s="129">
        <f>IFERROR(AE114/$AI114,"")</f>
        <v/>
      </c>
      <c r="BS114" s="129">
        <f>IFERROR(AF114/$AI114,"")</f>
        <v/>
      </c>
      <c r="BT114" s="129">
        <f>IFERROR(AG114/$AI114,"")</f>
        <v/>
      </c>
      <c r="BU114" s="129">
        <f>IFERROR(AH114/$AI114,"")</f>
        <v/>
      </c>
      <c r="BV114" s="126">
        <f>SUM(AQ114:BD114)</f>
        <v/>
      </c>
      <c r="BW114" s="126">
        <f>SUM(BE114:BU114)</f>
        <v/>
      </c>
      <c r="BX114" s="126">
        <f>SUM(AQ114:AU114)</f>
        <v/>
      </c>
    </row>
    <row r="115">
      <c r="B115" s="127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  <c r="AG115" s="125" t="n"/>
      <c r="AH115" s="125" t="n"/>
      <c r="AI115" s="127">
        <f>SUM(D115:AG115,AH115)</f>
        <v/>
      </c>
      <c r="AJ115" s="126">
        <f>(SUM($D115:$Q115))/AI115</f>
        <v/>
      </c>
      <c r="AK115" s="126">
        <f>(SUM($D115:$H115))/AI115</f>
        <v/>
      </c>
      <c r="AL115" s="126">
        <f>(SUM($R115:$AH115))/AI115</f>
        <v/>
      </c>
      <c r="AM115" s="161" t="n"/>
      <c r="AN115" s="125">
        <f>YEAR(C115)</f>
        <v/>
      </c>
      <c r="AO115" s="125">
        <f>MONTH(C115)</f>
        <v/>
      </c>
      <c r="AP115" s="125">
        <f>WEEKNUM(C115,2)</f>
        <v/>
      </c>
      <c r="AQ115" s="129">
        <f>IFERROR(D115/$AI115,"")</f>
        <v/>
      </c>
      <c r="AR115" s="129">
        <f>IFERROR(E115/$AI115,"")</f>
        <v/>
      </c>
      <c r="AS115" s="129">
        <f>IFERROR(F115/$AI115,"")</f>
        <v/>
      </c>
      <c r="AT115" s="129">
        <f>IFERROR(H115/$AI115,"")</f>
        <v/>
      </c>
      <c r="AU115" s="129">
        <f>IFERROR(I115/$AI115,"")</f>
        <v/>
      </c>
      <c r="AV115" s="129">
        <f>IFERROR(J115/$AI115,"")</f>
        <v/>
      </c>
      <c r="AW115" s="129">
        <f>IFERROR(K115/$AI115,"")</f>
        <v/>
      </c>
      <c r="AX115" s="129">
        <f>IFERROR(L115/$AI115,"")</f>
        <v/>
      </c>
      <c r="AY115" s="129">
        <f>IFERROR(M115/$AI115,"")</f>
        <v/>
      </c>
      <c r="AZ115" s="129">
        <f>IFERROR(N115/$AI115,"")</f>
        <v/>
      </c>
      <c r="BA115" s="129">
        <f>IFERROR(O115/$AI115,"")</f>
        <v/>
      </c>
      <c r="BB115" s="129">
        <f>IFERROR(P115/$AI115,"")</f>
        <v/>
      </c>
      <c r="BC115" s="129">
        <f>IFERROR(AG115/$AI115,"")</f>
        <v/>
      </c>
      <c r="BD115" s="129">
        <f>IFERROR(AH115/$AI115,"")</f>
        <v/>
      </c>
      <c r="BE115" s="129">
        <f>IFERROR(R115/$AI115,"")</f>
        <v/>
      </c>
      <c r="BF115" s="129">
        <f>IFERROR(S115/$AI115,"")</f>
        <v/>
      </c>
      <c r="BG115" s="129">
        <f>IFERROR(T115/$AI115,"")</f>
        <v/>
      </c>
      <c r="BH115" s="129">
        <f>IFERROR(U115/$AI115,"")</f>
        <v/>
      </c>
      <c r="BI115" s="129">
        <f>IFERROR(V115/$AI115,"")</f>
        <v/>
      </c>
      <c r="BJ115" s="129">
        <f>IFERROR(W115/$AI115,"")</f>
        <v/>
      </c>
      <c r="BK115" s="129">
        <f>IFERROR(X115/$AI115,"")</f>
        <v/>
      </c>
      <c r="BL115" s="129">
        <f>IFERROR(Y115/$AI115,"")</f>
        <v/>
      </c>
      <c r="BM115" s="129">
        <f>IFERROR(Z115/$AI115,"")</f>
        <v/>
      </c>
      <c r="BN115" s="129">
        <f>IFERROR(AA115/$AI115,"")</f>
        <v/>
      </c>
      <c r="BO115" s="129">
        <f>IFERROR(AB115/$AI115,"")</f>
        <v/>
      </c>
      <c r="BP115" s="129">
        <f>IFERROR(AC115/$AI115,"")</f>
        <v/>
      </c>
      <c r="BQ115" s="129">
        <f>IFERROR(AD115/$AI115,"")</f>
        <v/>
      </c>
      <c r="BR115" s="129">
        <f>IFERROR(AE115/$AI115,"")</f>
        <v/>
      </c>
      <c r="BS115" s="129">
        <f>IFERROR(AF115/$AI115,"")</f>
        <v/>
      </c>
      <c r="BT115" s="129">
        <f>IFERROR(AG115/$AI115,"")</f>
        <v/>
      </c>
      <c r="BU115" s="129">
        <f>IFERROR(AH115/$AI115,"")</f>
        <v/>
      </c>
      <c r="BV115" s="126">
        <f>SUM(AQ115:BD115)</f>
        <v/>
      </c>
      <c r="BW115" s="126">
        <f>SUM(BE115:BU115)</f>
        <v/>
      </c>
      <c r="BX115" s="126">
        <f>SUM(AQ115:AU115)</f>
        <v/>
      </c>
    </row>
    <row r="116">
      <c r="B116" s="127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  <c r="AG116" s="125" t="n"/>
      <c r="AH116" s="125" t="n"/>
      <c r="AI116" s="127">
        <f>SUM(D116:AG116,AH116)</f>
        <v/>
      </c>
      <c r="AJ116" s="126">
        <f>(SUM($D116:$Q116))/AI116</f>
        <v/>
      </c>
      <c r="AK116" s="126">
        <f>(SUM($D116:$H116))/AI116</f>
        <v/>
      </c>
      <c r="AL116" s="126">
        <f>(SUM($R116:$AH116))/AI116</f>
        <v/>
      </c>
      <c r="AM116" s="161" t="n"/>
      <c r="AN116" s="125">
        <f>YEAR(C116)</f>
        <v/>
      </c>
      <c r="AO116" s="125">
        <f>MONTH(C116)</f>
        <v/>
      </c>
      <c r="AP116" s="125">
        <f>WEEKNUM(C116,2)</f>
        <v/>
      </c>
      <c r="AQ116" s="129">
        <f>IFERROR(D116/$AI116,"")</f>
        <v/>
      </c>
      <c r="AR116" s="129">
        <f>IFERROR(E116/$AI116,"")</f>
        <v/>
      </c>
      <c r="AS116" s="129">
        <f>IFERROR(F116/$AI116,"")</f>
        <v/>
      </c>
      <c r="AT116" s="129">
        <f>IFERROR(H116/$AI116,"")</f>
        <v/>
      </c>
      <c r="AU116" s="129">
        <f>IFERROR(I116/$AI116,"")</f>
        <v/>
      </c>
      <c r="AV116" s="129">
        <f>IFERROR(J116/$AI116,"")</f>
        <v/>
      </c>
      <c r="AW116" s="129">
        <f>IFERROR(K116/$AI116,"")</f>
        <v/>
      </c>
      <c r="AX116" s="129">
        <f>IFERROR(L116/$AI116,"")</f>
        <v/>
      </c>
      <c r="AY116" s="129">
        <f>IFERROR(M116/$AI116,"")</f>
        <v/>
      </c>
      <c r="AZ116" s="129">
        <f>IFERROR(N116/$AI116,"")</f>
        <v/>
      </c>
      <c r="BA116" s="129">
        <f>IFERROR(O116/$AI116,"")</f>
        <v/>
      </c>
      <c r="BB116" s="129">
        <f>IFERROR(P116/$AI116,"")</f>
        <v/>
      </c>
      <c r="BC116" s="129">
        <f>IFERROR(AG116/$AI116,"")</f>
        <v/>
      </c>
      <c r="BD116" s="129">
        <f>IFERROR(AH116/$AI116,"")</f>
        <v/>
      </c>
      <c r="BE116" s="129">
        <f>IFERROR(R116/$AI116,"")</f>
        <v/>
      </c>
      <c r="BF116" s="129">
        <f>IFERROR(S116/$AI116,"")</f>
        <v/>
      </c>
      <c r="BG116" s="129">
        <f>IFERROR(T116/$AI116,"")</f>
        <v/>
      </c>
      <c r="BH116" s="129">
        <f>IFERROR(U116/$AI116,"")</f>
        <v/>
      </c>
      <c r="BI116" s="129">
        <f>IFERROR(V116/$AI116,"")</f>
        <v/>
      </c>
      <c r="BJ116" s="129">
        <f>IFERROR(W116/$AI116,"")</f>
        <v/>
      </c>
      <c r="BK116" s="129">
        <f>IFERROR(X116/$AI116,"")</f>
        <v/>
      </c>
      <c r="BL116" s="129">
        <f>IFERROR(Y116/$AI116,"")</f>
        <v/>
      </c>
      <c r="BM116" s="129">
        <f>IFERROR(Z116/$AI116,"")</f>
        <v/>
      </c>
      <c r="BN116" s="129">
        <f>IFERROR(AA116/$AI116,"")</f>
        <v/>
      </c>
      <c r="BO116" s="129">
        <f>IFERROR(AB116/$AI116,"")</f>
        <v/>
      </c>
      <c r="BP116" s="129">
        <f>IFERROR(AC116/$AI116,"")</f>
        <v/>
      </c>
      <c r="BQ116" s="129">
        <f>IFERROR(AD116/$AI116,"")</f>
        <v/>
      </c>
      <c r="BR116" s="129">
        <f>IFERROR(AE116/$AI116,"")</f>
        <v/>
      </c>
      <c r="BS116" s="129">
        <f>IFERROR(AF116/$AI116,"")</f>
        <v/>
      </c>
      <c r="BT116" s="129">
        <f>IFERROR(AG116/$AI116,"")</f>
        <v/>
      </c>
      <c r="BU116" s="129">
        <f>IFERROR(AH116/$AI116,"")</f>
        <v/>
      </c>
      <c r="BV116" s="126">
        <f>SUM(AQ116:BD116)</f>
        <v/>
      </c>
      <c r="BW116" s="126">
        <f>SUM(BE116:BU116)</f>
        <v/>
      </c>
      <c r="BX116" s="126">
        <f>SUM(AQ116:AU116)</f>
        <v/>
      </c>
    </row>
    <row r="117">
      <c r="B117" s="127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  <c r="AG117" s="125" t="n"/>
      <c r="AH117" s="125" t="n"/>
      <c r="AI117" s="127">
        <f>SUM(D117:AG117,AH117)</f>
        <v/>
      </c>
      <c r="AJ117" s="126">
        <f>(SUM($D117:$Q117))/AI117</f>
        <v/>
      </c>
      <c r="AK117" s="126">
        <f>(SUM($D117:$H117))/AI117</f>
        <v/>
      </c>
      <c r="AL117" s="126">
        <f>(SUM($R117:$AH117))/AI117</f>
        <v/>
      </c>
      <c r="AM117" s="161" t="n"/>
      <c r="AN117" s="125">
        <f>YEAR(C117)</f>
        <v/>
      </c>
      <c r="AO117" s="125">
        <f>MONTH(C117)</f>
        <v/>
      </c>
      <c r="AP117" s="125">
        <f>WEEKNUM(C117,2)</f>
        <v/>
      </c>
      <c r="AQ117" s="129">
        <f>IFERROR(D117/$AI117,"")</f>
        <v/>
      </c>
      <c r="AR117" s="129">
        <f>IFERROR(E117/$AI117,"")</f>
        <v/>
      </c>
      <c r="AS117" s="129">
        <f>IFERROR(F117/$AI117,"")</f>
        <v/>
      </c>
      <c r="AT117" s="129">
        <f>IFERROR(H117/$AI117,"")</f>
        <v/>
      </c>
      <c r="AU117" s="129">
        <f>IFERROR(I117/$AI117,"")</f>
        <v/>
      </c>
      <c r="AV117" s="129">
        <f>IFERROR(J117/$AI117,"")</f>
        <v/>
      </c>
      <c r="AW117" s="129">
        <f>IFERROR(K117/$AI117,"")</f>
        <v/>
      </c>
      <c r="AX117" s="129">
        <f>IFERROR(L117/$AI117,"")</f>
        <v/>
      </c>
      <c r="AY117" s="129">
        <f>IFERROR(M117/$AI117,"")</f>
        <v/>
      </c>
      <c r="AZ117" s="129">
        <f>IFERROR(N117/$AI117,"")</f>
        <v/>
      </c>
      <c r="BA117" s="129">
        <f>IFERROR(O117/$AI117,"")</f>
        <v/>
      </c>
      <c r="BB117" s="129">
        <f>IFERROR(P117/$AI117,"")</f>
        <v/>
      </c>
      <c r="BC117" s="129">
        <f>IFERROR(AG117/$AI117,"")</f>
        <v/>
      </c>
      <c r="BD117" s="129">
        <f>IFERROR(AH117/$AI117,"")</f>
        <v/>
      </c>
      <c r="BE117" s="129">
        <f>IFERROR(R117/$AI117,"")</f>
        <v/>
      </c>
      <c r="BF117" s="129">
        <f>IFERROR(S117/$AI117,"")</f>
        <v/>
      </c>
      <c r="BG117" s="129">
        <f>IFERROR(T117/$AI117,"")</f>
        <v/>
      </c>
      <c r="BH117" s="129">
        <f>IFERROR(U117/$AI117,"")</f>
        <v/>
      </c>
      <c r="BI117" s="129">
        <f>IFERROR(V117/$AI117,"")</f>
        <v/>
      </c>
      <c r="BJ117" s="129">
        <f>IFERROR(W117/$AI117,"")</f>
        <v/>
      </c>
      <c r="BK117" s="129">
        <f>IFERROR(X117/$AI117,"")</f>
        <v/>
      </c>
      <c r="BL117" s="129">
        <f>IFERROR(Y117/$AI117,"")</f>
        <v/>
      </c>
      <c r="BM117" s="129">
        <f>IFERROR(Z117/$AI117,"")</f>
        <v/>
      </c>
      <c r="BN117" s="129">
        <f>IFERROR(AA117/$AI117,"")</f>
        <v/>
      </c>
      <c r="BO117" s="129">
        <f>IFERROR(AB117/$AI117,"")</f>
        <v/>
      </c>
      <c r="BP117" s="129">
        <f>IFERROR(AC117/$AI117,"")</f>
        <v/>
      </c>
      <c r="BQ117" s="129">
        <f>IFERROR(AD117/$AI117,"")</f>
        <v/>
      </c>
      <c r="BR117" s="129">
        <f>IFERROR(AE117/$AI117,"")</f>
        <v/>
      </c>
      <c r="BS117" s="129">
        <f>IFERROR(AF117/$AI117,"")</f>
        <v/>
      </c>
      <c r="BT117" s="129">
        <f>IFERROR(AG117/$AI117,"")</f>
        <v/>
      </c>
      <c r="BU117" s="129">
        <f>IFERROR(AH117/$AI117,"")</f>
        <v/>
      </c>
      <c r="BV117" s="126">
        <f>SUM(AQ117:BD117)</f>
        <v/>
      </c>
      <c r="BW117" s="126">
        <f>SUM(BE117:BU117)</f>
        <v/>
      </c>
      <c r="BX117" s="126">
        <f>SUM(AQ117:AU117)</f>
        <v/>
      </c>
    </row>
    <row r="118">
      <c r="B118" s="127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  <c r="AG118" s="125" t="n"/>
      <c r="AH118" s="125" t="n"/>
      <c r="AI118" s="127">
        <f>SUM(D118:AG118,AH118)</f>
        <v/>
      </c>
      <c r="AJ118" s="126">
        <f>(SUM($D118:$Q118))/AI118</f>
        <v/>
      </c>
      <c r="AK118" s="126">
        <f>(SUM($D118:$H118))/AI118</f>
        <v/>
      </c>
      <c r="AL118" s="126">
        <f>(SUM($R118:$AH118))/AI118</f>
        <v/>
      </c>
      <c r="AM118" s="161" t="n"/>
      <c r="AN118" s="125">
        <f>YEAR(C118)</f>
        <v/>
      </c>
      <c r="AO118" s="125">
        <f>MONTH(C118)</f>
        <v/>
      </c>
      <c r="AP118" s="125">
        <f>WEEKNUM(C118,2)</f>
        <v/>
      </c>
      <c r="AQ118" s="129">
        <f>IFERROR(D118/$AI118,"")</f>
        <v/>
      </c>
      <c r="AR118" s="129">
        <f>IFERROR(E118/$AI118,"")</f>
        <v/>
      </c>
      <c r="AS118" s="129">
        <f>IFERROR(F118/$AI118,"")</f>
        <v/>
      </c>
      <c r="AT118" s="129">
        <f>IFERROR(H118/$AI118,"")</f>
        <v/>
      </c>
      <c r="AU118" s="129">
        <f>IFERROR(I118/$AI118,"")</f>
        <v/>
      </c>
      <c r="AV118" s="129">
        <f>IFERROR(J118/$AI118,"")</f>
        <v/>
      </c>
      <c r="AW118" s="129">
        <f>IFERROR(K118/$AI118,"")</f>
        <v/>
      </c>
      <c r="AX118" s="129">
        <f>IFERROR(L118/$AI118,"")</f>
        <v/>
      </c>
      <c r="AY118" s="129">
        <f>IFERROR(M118/$AI118,"")</f>
        <v/>
      </c>
      <c r="AZ118" s="129">
        <f>IFERROR(N118/$AI118,"")</f>
        <v/>
      </c>
      <c r="BA118" s="129">
        <f>IFERROR(O118/$AI118,"")</f>
        <v/>
      </c>
      <c r="BB118" s="129">
        <f>IFERROR(P118/$AI118,"")</f>
        <v/>
      </c>
      <c r="BC118" s="129">
        <f>IFERROR(AG118/$AI118,"")</f>
        <v/>
      </c>
      <c r="BD118" s="129">
        <f>IFERROR(AH118/$AI118,"")</f>
        <v/>
      </c>
      <c r="BE118" s="129">
        <f>IFERROR(R118/$AI118,"")</f>
        <v/>
      </c>
      <c r="BF118" s="129">
        <f>IFERROR(S118/$AI118,"")</f>
        <v/>
      </c>
      <c r="BG118" s="129">
        <f>IFERROR(T118/$AI118,"")</f>
        <v/>
      </c>
      <c r="BH118" s="129">
        <f>IFERROR(U118/$AI118,"")</f>
        <v/>
      </c>
      <c r="BI118" s="129">
        <f>IFERROR(V118/$AI118,"")</f>
        <v/>
      </c>
      <c r="BJ118" s="129">
        <f>IFERROR(W118/$AI118,"")</f>
        <v/>
      </c>
      <c r="BK118" s="129">
        <f>IFERROR(X118/$AI118,"")</f>
        <v/>
      </c>
      <c r="BL118" s="129">
        <f>IFERROR(Y118/$AI118,"")</f>
        <v/>
      </c>
      <c r="BM118" s="129">
        <f>IFERROR(Z118/$AI118,"")</f>
        <v/>
      </c>
      <c r="BN118" s="129">
        <f>IFERROR(AA118/$AI118,"")</f>
        <v/>
      </c>
      <c r="BO118" s="129">
        <f>IFERROR(AB118/$AI118,"")</f>
        <v/>
      </c>
      <c r="BP118" s="129">
        <f>IFERROR(AC118/$AI118,"")</f>
        <v/>
      </c>
      <c r="BQ118" s="129">
        <f>IFERROR(AD118/$AI118,"")</f>
        <v/>
      </c>
      <c r="BR118" s="129">
        <f>IFERROR(AE118/$AI118,"")</f>
        <v/>
      </c>
      <c r="BS118" s="129">
        <f>IFERROR(AF118/$AI118,"")</f>
        <v/>
      </c>
      <c r="BT118" s="129">
        <f>IFERROR(AG118/$AI118,"")</f>
        <v/>
      </c>
      <c r="BU118" s="129">
        <f>IFERROR(AH118/$AI118,"")</f>
        <v/>
      </c>
      <c r="BV118" s="126">
        <f>SUM(AQ118:BD118)</f>
        <v/>
      </c>
      <c r="BW118" s="126">
        <f>SUM(BE118:BU118)</f>
        <v/>
      </c>
      <c r="BX118" s="126">
        <f>SUM(AQ118:AU118)</f>
        <v/>
      </c>
    </row>
    <row r="119">
      <c r="B119" s="127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  <c r="AG119" s="125" t="n"/>
      <c r="AH119" s="125" t="n"/>
      <c r="AI119" s="127">
        <f>SUM(D119:AG119,AH119)</f>
        <v/>
      </c>
      <c r="AJ119" s="126">
        <f>(SUM($D119:$Q119))/AI119</f>
        <v/>
      </c>
      <c r="AK119" s="126">
        <f>(SUM($D119:$H119))/AI119</f>
        <v/>
      </c>
      <c r="AL119" s="126">
        <f>(SUM($R119:$AH119))/AI119</f>
        <v/>
      </c>
      <c r="AM119" s="161" t="n"/>
      <c r="AN119" s="125">
        <f>YEAR(C119)</f>
        <v/>
      </c>
      <c r="AO119" s="125">
        <f>MONTH(C119)</f>
        <v/>
      </c>
      <c r="AP119" s="125">
        <f>WEEKNUM(C119,2)</f>
        <v/>
      </c>
      <c r="AQ119" s="129">
        <f>IFERROR(D119/$AI119,"")</f>
        <v/>
      </c>
      <c r="AR119" s="129">
        <f>IFERROR(E119/$AI119,"")</f>
        <v/>
      </c>
      <c r="AS119" s="129">
        <f>IFERROR(F119/$AI119,"")</f>
        <v/>
      </c>
      <c r="AT119" s="129">
        <f>IFERROR(H119/$AI119,"")</f>
        <v/>
      </c>
      <c r="AU119" s="129">
        <f>IFERROR(I119/$AI119,"")</f>
        <v/>
      </c>
      <c r="AV119" s="129">
        <f>IFERROR(J119/$AI119,"")</f>
        <v/>
      </c>
      <c r="AW119" s="129">
        <f>IFERROR(K119/$AI119,"")</f>
        <v/>
      </c>
      <c r="AX119" s="129">
        <f>IFERROR(L119/$AI119,"")</f>
        <v/>
      </c>
      <c r="AY119" s="129">
        <f>IFERROR(M119/$AI119,"")</f>
        <v/>
      </c>
      <c r="AZ119" s="129">
        <f>IFERROR(N119/$AI119,"")</f>
        <v/>
      </c>
      <c r="BA119" s="129">
        <f>IFERROR(O119/$AI119,"")</f>
        <v/>
      </c>
      <c r="BB119" s="129">
        <f>IFERROR(P119/$AI119,"")</f>
        <v/>
      </c>
      <c r="BC119" s="129">
        <f>IFERROR(AG119/$AI119,"")</f>
        <v/>
      </c>
      <c r="BD119" s="129">
        <f>IFERROR(AH119/$AI119,"")</f>
        <v/>
      </c>
      <c r="BE119" s="129">
        <f>IFERROR(R119/$AI119,"")</f>
        <v/>
      </c>
      <c r="BF119" s="129">
        <f>IFERROR(S119/$AI119,"")</f>
        <v/>
      </c>
      <c r="BG119" s="129">
        <f>IFERROR(T119/$AI119,"")</f>
        <v/>
      </c>
      <c r="BH119" s="129">
        <f>IFERROR(U119/$AI119,"")</f>
        <v/>
      </c>
      <c r="BI119" s="129">
        <f>IFERROR(V119/$AI119,"")</f>
        <v/>
      </c>
      <c r="BJ119" s="129">
        <f>IFERROR(W119/$AI119,"")</f>
        <v/>
      </c>
      <c r="BK119" s="129">
        <f>IFERROR(X119/$AI119,"")</f>
        <v/>
      </c>
      <c r="BL119" s="129">
        <f>IFERROR(Y119/$AI119,"")</f>
        <v/>
      </c>
      <c r="BM119" s="129">
        <f>IFERROR(Z119/$AI119,"")</f>
        <v/>
      </c>
      <c r="BN119" s="129">
        <f>IFERROR(AA119/$AI119,"")</f>
        <v/>
      </c>
      <c r="BO119" s="129">
        <f>IFERROR(AB119/$AI119,"")</f>
        <v/>
      </c>
      <c r="BP119" s="129">
        <f>IFERROR(AC119/$AI119,"")</f>
        <v/>
      </c>
      <c r="BQ119" s="129">
        <f>IFERROR(AD119/$AI119,"")</f>
        <v/>
      </c>
      <c r="BR119" s="129">
        <f>IFERROR(AE119/$AI119,"")</f>
        <v/>
      </c>
      <c r="BS119" s="129">
        <f>IFERROR(AF119/$AI119,"")</f>
        <v/>
      </c>
      <c r="BT119" s="129">
        <f>IFERROR(AG119/$AI119,"")</f>
        <v/>
      </c>
      <c r="BU119" s="129">
        <f>IFERROR(AH119/$AI119,"")</f>
        <v/>
      </c>
      <c r="BV119" s="126">
        <f>SUM(AQ119:BD119)</f>
        <v/>
      </c>
      <c r="BW119" s="126">
        <f>SUM(BE119:BU119)</f>
        <v/>
      </c>
      <c r="BX119" s="126">
        <f>SUM(AQ119:AU119)</f>
        <v/>
      </c>
    </row>
    <row r="120">
      <c r="B120" s="127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  <c r="AG120" s="125" t="n"/>
      <c r="AH120" s="125" t="n"/>
      <c r="AI120" s="127">
        <f>SUM(D120:AG120,AH120)</f>
        <v/>
      </c>
      <c r="AJ120" s="126">
        <f>(SUM($D120:$Q120))/AI120</f>
        <v/>
      </c>
      <c r="AK120" s="126">
        <f>(SUM($D120:$H120))/AI120</f>
        <v/>
      </c>
      <c r="AL120" s="126">
        <f>(SUM($R120:$AH120))/AI120</f>
        <v/>
      </c>
      <c r="AM120" s="161" t="n"/>
      <c r="AN120" s="125">
        <f>YEAR(C120)</f>
        <v/>
      </c>
      <c r="AO120" s="125">
        <f>MONTH(C120)</f>
        <v/>
      </c>
      <c r="AP120" s="125">
        <f>WEEKNUM(C120,2)</f>
        <v/>
      </c>
      <c r="AQ120" s="129">
        <f>IFERROR(D120/$AI120,"")</f>
        <v/>
      </c>
      <c r="AR120" s="129">
        <f>IFERROR(E120/$AI120,"")</f>
        <v/>
      </c>
      <c r="AS120" s="129">
        <f>IFERROR(F120/$AI120,"")</f>
        <v/>
      </c>
      <c r="AT120" s="129">
        <f>IFERROR(H120/$AI120,"")</f>
        <v/>
      </c>
      <c r="AU120" s="129">
        <f>IFERROR(I120/$AI120,"")</f>
        <v/>
      </c>
      <c r="AV120" s="129">
        <f>IFERROR(J120/$AI120,"")</f>
        <v/>
      </c>
      <c r="AW120" s="129">
        <f>IFERROR(K120/$AI120,"")</f>
        <v/>
      </c>
      <c r="AX120" s="129">
        <f>IFERROR(L120/$AI120,"")</f>
        <v/>
      </c>
      <c r="AY120" s="129">
        <f>IFERROR(M120/$AI120,"")</f>
        <v/>
      </c>
      <c r="AZ120" s="129">
        <f>IFERROR(N120/$AI120,"")</f>
        <v/>
      </c>
      <c r="BA120" s="129">
        <f>IFERROR(O120/$AI120,"")</f>
        <v/>
      </c>
      <c r="BB120" s="129">
        <f>IFERROR(P120/$AI120,"")</f>
        <v/>
      </c>
      <c r="BC120" s="129">
        <f>IFERROR(AG120/$AI120,"")</f>
        <v/>
      </c>
      <c r="BD120" s="129">
        <f>IFERROR(AH120/$AI120,"")</f>
        <v/>
      </c>
      <c r="BE120" s="129">
        <f>IFERROR(R120/$AI120,"")</f>
        <v/>
      </c>
      <c r="BF120" s="129">
        <f>IFERROR(S120/$AI120,"")</f>
        <v/>
      </c>
      <c r="BG120" s="129">
        <f>IFERROR(T120/$AI120,"")</f>
        <v/>
      </c>
      <c r="BH120" s="129">
        <f>IFERROR(U120/$AI120,"")</f>
        <v/>
      </c>
      <c r="BI120" s="129">
        <f>IFERROR(V120/$AI120,"")</f>
        <v/>
      </c>
      <c r="BJ120" s="129">
        <f>IFERROR(W120/$AI120,"")</f>
        <v/>
      </c>
      <c r="BK120" s="129">
        <f>IFERROR(X120/$AI120,"")</f>
        <v/>
      </c>
      <c r="BL120" s="129">
        <f>IFERROR(Y120/$AI120,"")</f>
        <v/>
      </c>
      <c r="BM120" s="129">
        <f>IFERROR(Z120/$AI120,"")</f>
        <v/>
      </c>
      <c r="BN120" s="129">
        <f>IFERROR(AA120/$AI120,"")</f>
        <v/>
      </c>
      <c r="BO120" s="129">
        <f>IFERROR(AB120/$AI120,"")</f>
        <v/>
      </c>
      <c r="BP120" s="129">
        <f>IFERROR(AC120/$AI120,"")</f>
        <v/>
      </c>
      <c r="BQ120" s="129">
        <f>IFERROR(AD120/$AI120,"")</f>
        <v/>
      </c>
      <c r="BR120" s="129">
        <f>IFERROR(AE120/$AI120,"")</f>
        <v/>
      </c>
      <c r="BS120" s="129">
        <f>IFERROR(AF120/$AI120,"")</f>
        <v/>
      </c>
      <c r="BT120" s="129">
        <f>IFERROR(AG120/$AI120,"")</f>
        <v/>
      </c>
      <c r="BU120" s="129">
        <f>IFERROR(AH120/$AI120,"")</f>
        <v/>
      </c>
      <c r="BV120" s="126">
        <f>SUM(AQ120:BD120)</f>
        <v/>
      </c>
      <c r="BW120" s="126">
        <f>SUM(BE120:BU120)</f>
        <v/>
      </c>
      <c r="BX120" s="126">
        <f>SUM(AQ120:AU120)</f>
        <v/>
      </c>
    </row>
    <row r="121">
      <c r="B121" s="127" t="n"/>
      <c r="C121" s="125" t="n"/>
      <c r="D121" s="125" t="n"/>
      <c r="E121" s="125" t="n"/>
      <c r="F121" s="125" t="n"/>
      <c r="G121" s="125" t="n"/>
      <c r="H121" s="125" t="n"/>
      <c r="I121" s="125" t="n"/>
      <c r="J121" s="125" t="n"/>
      <c r="K121" s="125" t="n"/>
      <c r="L121" s="125" t="n"/>
      <c r="M121" s="125" t="n"/>
      <c r="N121" s="125" t="n"/>
      <c r="O121" s="125" t="n"/>
      <c r="P121" s="125" t="n"/>
      <c r="Q121" s="125" t="n"/>
      <c r="R121" s="125" t="n"/>
      <c r="S121" s="125" t="n"/>
      <c r="T121" s="125" t="n"/>
      <c r="U121" s="125" t="n"/>
      <c r="V121" s="125" t="n"/>
      <c r="W121" s="125" t="n"/>
      <c r="X121" s="125" t="n"/>
      <c r="Y121" s="125" t="n"/>
      <c r="Z121" s="125" t="n"/>
      <c r="AA121" s="125" t="n"/>
      <c r="AB121" s="125" t="n"/>
      <c r="AC121" s="125" t="n"/>
      <c r="AD121" s="125" t="n"/>
      <c r="AE121" s="125" t="n"/>
      <c r="AF121" s="125" t="n"/>
      <c r="AG121" s="125" t="n"/>
      <c r="AH121" s="125" t="n"/>
      <c r="AI121" s="127">
        <f>SUM(D121:AG121,AH121)</f>
        <v/>
      </c>
      <c r="AJ121" s="126">
        <f>(SUM($D121:$Q121))/AI121</f>
        <v/>
      </c>
      <c r="AK121" s="126">
        <f>(SUM($D121:$H121))/AI121</f>
        <v/>
      </c>
      <c r="AL121" s="126">
        <f>(SUM($R121:$AH121))/AI121</f>
        <v/>
      </c>
      <c r="AM121" s="161" t="n"/>
      <c r="AN121" s="125">
        <f>YEAR(C121)</f>
        <v/>
      </c>
      <c r="AO121" s="125">
        <f>MONTH(C121)</f>
        <v/>
      </c>
      <c r="AP121" s="125">
        <f>WEEKNUM(C121,2)</f>
        <v/>
      </c>
      <c r="AQ121" s="129">
        <f>IFERROR(D121/$AI121,"")</f>
        <v/>
      </c>
      <c r="AR121" s="129">
        <f>IFERROR(E121/$AI121,"")</f>
        <v/>
      </c>
      <c r="AS121" s="129">
        <f>IFERROR(F121/$AI121,"")</f>
        <v/>
      </c>
      <c r="AT121" s="129">
        <f>IFERROR(H121/$AI121,"")</f>
        <v/>
      </c>
      <c r="AU121" s="129">
        <f>IFERROR(I121/$AI121,"")</f>
        <v/>
      </c>
      <c r="AV121" s="129">
        <f>IFERROR(J121/$AI121,"")</f>
        <v/>
      </c>
      <c r="AW121" s="129">
        <f>IFERROR(K121/$AI121,"")</f>
        <v/>
      </c>
      <c r="AX121" s="129">
        <f>IFERROR(L121/$AI121,"")</f>
        <v/>
      </c>
      <c r="AY121" s="129">
        <f>IFERROR(M121/$AI121,"")</f>
        <v/>
      </c>
      <c r="AZ121" s="129">
        <f>IFERROR(N121/$AI121,"")</f>
        <v/>
      </c>
      <c r="BA121" s="129">
        <f>IFERROR(O121/$AI121,"")</f>
        <v/>
      </c>
      <c r="BB121" s="129">
        <f>IFERROR(P121/$AI121,"")</f>
        <v/>
      </c>
      <c r="BC121" s="129">
        <f>IFERROR(AG121/$AI121,"")</f>
        <v/>
      </c>
      <c r="BD121" s="129">
        <f>IFERROR(AH121/$AI121,"")</f>
        <v/>
      </c>
      <c r="BE121" s="129">
        <f>IFERROR(R121/$AI121,"")</f>
        <v/>
      </c>
      <c r="BF121" s="129">
        <f>IFERROR(S121/$AI121,"")</f>
        <v/>
      </c>
      <c r="BG121" s="129">
        <f>IFERROR(T121/$AI121,"")</f>
        <v/>
      </c>
      <c r="BH121" s="129">
        <f>IFERROR(U121/$AI121,"")</f>
        <v/>
      </c>
      <c r="BI121" s="129">
        <f>IFERROR(V121/$AI121,"")</f>
        <v/>
      </c>
      <c r="BJ121" s="129">
        <f>IFERROR(W121/$AI121,"")</f>
        <v/>
      </c>
      <c r="BK121" s="129">
        <f>IFERROR(X121/$AI121,"")</f>
        <v/>
      </c>
      <c r="BL121" s="129">
        <f>IFERROR(Y121/$AI121,"")</f>
        <v/>
      </c>
      <c r="BM121" s="129">
        <f>IFERROR(Z121/$AI121,"")</f>
        <v/>
      </c>
      <c r="BN121" s="129">
        <f>IFERROR(AA121/$AI121,"")</f>
        <v/>
      </c>
      <c r="BO121" s="129">
        <f>IFERROR(AB121/$AI121,"")</f>
        <v/>
      </c>
      <c r="BP121" s="129">
        <f>IFERROR(AC121/$AI121,"")</f>
        <v/>
      </c>
      <c r="BQ121" s="129">
        <f>IFERROR(AD121/$AI121,"")</f>
        <v/>
      </c>
      <c r="BR121" s="129">
        <f>IFERROR(AE121/$AI121,"")</f>
        <v/>
      </c>
      <c r="BS121" s="129">
        <f>IFERROR(AF121/$AI121,"")</f>
        <v/>
      </c>
      <c r="BT121" s="129">
        <f>IFERROR(AG121/$AI121,"")</f>
        <v/>
      </c>
      <c r="BU121" s="129">
        <f>IFERROR(AH121/$AI121,"")</f>
        <v/>
      </c>
      <c r="BV121" s="126">
        <f>SUM(AQ121:BD121)</f>
        <v/>
      </c>
      <c r="BW121" s="126">
        <f>SUM(BE121:BU121)</f>
        <v/>
      </c>
      <c r="BX121" s="126">
        <f>SUM(AQ121:AU121)</f>
        <v/>
      </c>
    </row>
    <row r="122">
      <c r="B122" s="127" t="n"/>
      <c r="C122" s="125" t="n"/>
      <c r="D122" s="125" t="n"/>
      <c r="E122" s="125" t="n"/>
      <c r="F122" s="125" t="n"/>
      <c r="G122" s="125" t="n"/>
      <c r="H122" s="125" t="n"/>
      <c r="I122" s="125" t="n"/>
      <c r="J122" s="125" t="n"/>
      <c r="K122" s="125" t="n"/>
      <c r="L122" s="125" t="n"/>
      <c r="M122" s="125" t="n"/>
      <c r="N122" s="125" t="n"/>
      <c r="O122" s="125" t="n"/>
      <c r="P122" s="125" t="n"/>
      <c r="Q122" s="125" t="n"/>
      <c r="R122" s="125" t="n"/>
      <c r="S122" s="125" t="n"/>
      <c r="T122" s="125" t="n"/>
      <c r="U122" s="125" t="n"/>
      <c r="V122" s="125" t="n"/>
      <c r="W122" s="125" t="n"/>
      <c r="X122" s="125" t="n"/>
      <c r="Y122" s="125" t="n"/>
      <c r="Z122" s="125" t="n"/>
      <c r="AA122" s="125" t="n"/>
      <c r="AB122" s="125" t="n"/>
      <c r="AC122" s="125" t="n"/>
      <c r="AD122" s="125" t="n"/>
      <c r="AE122" s="125" t="n"/>
      <c r="AF122" s="125" t="n"/>
      <c r="AG122" s="125" t="n"/>
      <c r="AH122" s="125" t="n"/>
      <c r="AI122" s="127">
        <f>SUM(D122:AG122,AH122)</f>
        <v/>
      </c>
      <c r="AJ122" s="126">
        <f>(SUM($D122:$Q122))/AI122</f>
        <v/>
      </c>
      <c r="AK122" s="126">
        <f>(SUM($D122:$H122))/AI122</f>
        <v/>
      </c>
      <c r="AL122" s="126">
        <f>(SUM($R122:$AH122))/AI122</f>
        <v/>
      </c>
      <c r="AM122" s="161" t="n"/>
      <c r="AN122" s="125">
        <f>YEAR(C122)</f>
        <v/>
      </c>
      <c r="AO122" s="125">
        <f>MONTH(C122)</f>
        <v/>
      </c>
      <c r="AP122" s="125">
        <f>WEEKNUM(C122,2)</f>
        <v/>
      </c>
      <c r="AQ122" s="129">
        <f>IFERROR(D122/$AI122,"")</f>
        <v/>
      </c>
      <c r="AR122" s="129">
        <f>IFERROR(E122/$AI122,"")</f>
        <v/>
      </c>
      <c r="AS122" s="129">
        <f>IFERROR(F122/$AI122,"")</f>
        <v/>
      </c>
      <c r="AT122" s="129">
        <f>IFERROR(H122/$AI122,"")</f>
        <v/>
      </c>
      <c r="AU122" s="129">
        <f>IFERROR(I122/$AI122,"")</f>
        <v/>
      </c>
      <c r="AV122" s="129">
        <f>IFERROR(J122/$AI122,"")</f>
        <v/>
      </c>
      <c r="AW122" s="129">
        <f>IFERROR(K122/$AI122,"")</f>
        <v/>
      </c>
      <c r="AX122" s="129">
        <f>IFERROR(L122/$AI122,"")</f>
        <v/>
      </c>
      <c r="AY122" s="129">
        <f>IFERROR(M122/$AI122,"")</f>
        <v/>
      </c>
      <c r="AZ122" s="129">
        <f>IFERROR(N122/$AI122,"")</f>
        <v/>
      </c>
      <c r="BA122" s="129">
        <f>IFERROR(O122/$AI122,"")</f>
        <v/>
      </c>
      <c r="BB122" s="129">
        <f>IFERROR(P122/$AI122,"")</f>
        <v/>
      </c>
      <c r="BC122" s="129">
        <f>IFERROR(AG122/$AI122,"")</f>
        <v/>
      </c>
      <c r="BD122" s="129">
        <f>IFERROR(AH122/$AI122,"")</f>
        <v/>
      </c>
      <c r="BE122" s="129">
        <f>IFERROR(R122/$AI122,"")</f>
        <v/>
      </c>
      <c r="BF122" s="129">
        <f>IFERROR(S122/$AI122,"")</f>
        <v/>
      </c>
      <c r="BG122" s="129">
        <f>IFERROR(T122/$AI122,"")</f>
        <v/>
      </c>
      <c r="BH122" s="129">
        <f>IFERROR(U122/$AI122,"")</f>
        <v/>
      </c>
      <c r="BI122" s="129">
        <f>IFERROR(V122/$AI122,"")</f>
        <v/>
      </c>
      <c r="BJ122" s="129">
        <f>IFERROR(W122/$AI122,"")</f>
        <v/>
      </c>
      <c r="BK122" s="129">
        <f>IFERROR(X122/$AI122,"")</f>
        <v/>
      </c>
      <c r="BL122" s="129">
        <f>IFERROR(Y122/$AI122,"")</f>
        <v/>
      </c>
      <c r="BM122" s="129">
        <f>IFERROR(Z122/$AI122,"")</f>
        <v/>
      </c>
      <c r="BN122" s="129">
        <f>IFERROR(AA122/$AI122,"")</f>
        <v/>
      </c>
      <c r="BO122" s="129">
        <f>IFERROR(AB122/$AI122,"")</f>
        <v/>
      </c>
      <c r="BP122" s="129">
        <f>IFERROR(AC122/$AI122,"")</f>
        <v/>
      </c>
      <c r="BQ122" s="129">
        <f>IFERROR(AD122/$AI122,"")</f>
        <v/>
      </c>
      <c r="BR122" s="129">
        <f>IFERROR(AE122/$AI122,"")</f>
        <v/>
      </c>
      <c r="BS122" s="129">
        <f>IFERROR(AF122/$AI122,"")</f>
        <v/>
      </c>
      <c r="BT122" s="129">
        <f>IFERROR(AG122/$AI122,"")</f>
        <v/>
      </c>
      <c r="BU122" s="129">
        <f>IFERROR(AH122/$AI122,"")</f>
        <v/>
      </c>
      <c r="BV122" s="126">
        <f>SUM(AQ122:BD122)</f>
        <v/>
      </c>
      <c r="BW122" s="126">
        <f>SUM(BE122:BU122)</f>
        <v/>
      </c>
      <c r="BX122" s="126">
        <f>SUM(AQ122:AU122)</f>
        <v/>
      </c>
    </row>
    <row r="123">
      <c r="B123" s="127" t="n"/>
      <c r="C123" s="125" t="n"/>
      <c r="D123" s="125" t="n"/>
      <c r="E123" s="125" t="n"/>
      <c r="F123" s="125" t="n"/>
      <c r="G123" s="125" t="n"/>
      <c r="H123" s="125" t="n"/>
      <c r="I123" s="125" t="n"/>
      <c r="J123" s="125" t="n"/>
      <c r="K123" s="125" t="n"/>
      <c r="L123" s="125" t="n"/>
      <c r="M123" s="125" t="n"/>
      <c r="N123" s="125" t="n"/>
      <c r="O123" s="125" t="n"/>
      <c r="P123" s="125" t="n"/>
      <c r="Q123" s="125" t="n"/>
      <c r="R123" s="125" t="n"/>
      <c r="S123" s="125" t="n"/>
      <c r="T123" s="125" t="n"/>
      <c r="U123" s="125" t="n"/>
      <c r="V123" s="125" t="n"/>
      <c r="W123" s="125" t="n"/>
      <c r="X123" s="125" t="n"/>
      <c r="Y123" s="125" t="n"/>
      <c r="Z123" s="125" t="n"/>
      <c r="AA123" s="125" t="n"/>
      <c r="AB123" s="125" t="n"/>
      <c r="AC123" s="125" t="n"/>
      <c r="AD123" s="125" t="n"/>
      <c r="AE123" s="125" t="n"/>
      <c r="AF123" s="125" t="n"/>
      <c r="AG123" s="125" t="n"/>
      <c r="AH123" s="125" t="n"/>
      <c r="AI123" s="127">
        <f>SUM(D123:AG123,AH123)</f>
        <v/>
      </c>
      <c r="AJ123" s="126">
        <f>(SUM($D123:$Q123))/AI123</f>
        <v/>
      </c>
      <c r="AK123" s="126">
        <f>(SUM($D123:$H123))/AI123</f>
        <v/>
      </c>
      <c r="AL123" s="126">
        <f>(SUM($R123:$AH123))/AI123</f>
        <v/>
      </c>
      <c r="AM123" s="161" t="n"/>
      <c r="AN123" s="125">
        <f>YEAR(C123)</f>
        <v/>
      </c>
      <c r="AO123" s="125">
        <f>MONTH(C123)</f>
        <v/>
      </c>
      <c r="AP123" s="125">
        <f>WEEKNUM(C123,2)</f>
        <v/>
      </c>
      <c r="AQ123" s="129">
        <f>IFERROR(D123/$AI123,"")</f>
        <v/>
      </c>
      <c r="AR123" s="129">
        <f>IFERROR(E123/$AI123,"")</f>
        <v/>
      </c>
      <c r="AS123" s="129">
        <f>IFERROR(F123/$AI123,"")</f>
        <v/>
      </c>
      <c r="AT123" s="129">
        <f>IFERROR(H123/$AI123,"")</f>
        <v/>
      </c>
      <c r="AU123" s="129">
        <f>IFERROR(I123/$AI123,"")</f>
        <v/>
      </c>
      <c r="AV123" s="129">
        <f>IFERROR(J123/$AI123,"")</f>
        <v/>
      </c>
      <c r="AW123" s="129">
        <f>IFERROR(K123/$AI123,"")</f>
        <v/>
      </c>
      <c r="AX123" s="129">
        <f>IFERROR(L123/$AI123,"")</f>
        <v/>
      </c>
      <c r="AY123" s="129">
        <f>IFERROR(M123/$AI123,"")</f>
        <v/>
      </c>
      <c r="AZ123" s="129">
        <f>IFERROR(N123/$AI123,"")</f>
        <v/>
      </c>
      <c r="BA123" s="129">
        <f>IFERROR(O123/$AI123,"")</f>
        <v/>
      </c>
      <c r="BB123" s="129">
        <f>IFERROR(P123/$AI123,"")</f>
        <v/>
      </c>
      <c r="BC123" s="129">
        <f>IFERROR(AG123/$AI123,"")</f>
        <v/>
      </c>
      <c r="BD123" s="129">
        <f>IFERROR(AH123/$AI123,"")</f>
        <v/>
      </c>
      <c r="BE123" s="129">
        <f>IFERROR(R123/$AI123,"")</f>
        <v/>
      </c>
      <c r="BF123" s="129">
        <f>IFERROR(S123/$AI123,"")</f>
        <v/>
      </c>
      <c r="BG123" s="129">
        <f>IFERROR(T123/$AI123,"")</f>
        <v/>
      </c>
      <c r="BH123" s="129">
        <f>IFERROR(U123/$AI123,"")</f>
        <v/>
      </c>
      <c r="BI123" s="129">
        <f>IFERROR(V123/$AI123,"")</f>
        <v/>
      </c>
      <c r="BJ123" s="129">
        <f>IFERROR(W123/$AI123,"")</f>
        <v/>
      </c>
      <c r="BK123" s="129">
        <f>IFERROR(X123/$AI123,"")</f>
        <v/>
      </c>
      <c r="BL123" s="129">
        <f>IFERROR(Y123/$AI123,"")</f>
        <v/>
      </c>
      <c r="BM123" s="129">
        <f>IFERROR(Z123/$AI123,"")</f>
        <v/>
      </c>
      <c r="BN123" s="129">
        <f>IFERROR(AA123/$AI123,"")</f>
        <v/>
      </c>
      <c r="BO123" s="129">
        <f>IFERROR(AB123/$AI123,"")</f>
        <v/>
      </c>
      <c r="BP123" s="129">
        <f>IFERROR(AC123/$AI123,"")</f>
        <v/>
      </c>
      <c r="BQ123" s="129">
        <f>IFERROR(AD123/$AI123,"")</f>
        <v/>
      </c>
      <c r="BR123" s="129">
        <f>IFERROR(AE123/$AI123,"")</f>
        <v/>
      </c>
      <c r="BS123" s="129">
        <f>IFERROR(AF123/$AI123,"")</f>
        <v/>
      </c>
      <c r="BT123" s="129">
        <f>IFERROR(AG123/$AI123,"")</f>
        <v/>
      </c>
      <c r="BU123" s="129">
        <f>IFERROR(AH123/$AI123,"")</f>
        <v/>
      </c>
      <c r="BV123" s="126">
        <f>SUM(AQ123:BD123)</f>
        <v/>
      </c>
      <c r="BW123" s="126">
        <f>SUM(BE123:BU123)</f>
        <v/>
      </c>
      <c r="BX123" s="126">
        <f>SUM(AQ123:AU123)</f>
        <v/>
      </c>
    </row>
    <row r="124">
      <c r="B124" s="127" t="n"/>
      <c r="C124" s="125" t="n"/>
      <c r="D124" s="125" t="n"/>
      <c r="E124" s="125" t="n"/>
      <c r="F124" s="125" t="n"/>
      <c r="G124" s="125" t="n"/>
      <c r="H124" s="125" t="n"/>
      <c r="I124" s="125" t="n"/>
      <c r="J124" s="125" t="n"/>
      <c r="K124" s="125" t="n"/>
      <c r="L124" s="125" t="n"/>
      <c r="M124" s="125" t="n"/>
      <c r="N124" s="125" t="n"/>
      <c r="O124" s="125" t="n"/>
      <c r="P124" s="125" t="n"/>
      <c r="Q124" s="125" t="n"/>
      <c r="R124" s="125" t="n"/>
      <c r="S124" s="125" t="n"/>
      <c r="T124" s="125" t="n"/>
      <c r="U124" s="125" t="n"/>
      <c r="V124" s="125" t="n"/>
      <c r="W124" s="125" t="n"/>
      <c r="X124" s="125" t="n"/>
      <c r="Y124" s="125" t="n"/>
      <c r="Z124" s="125" t="n"/>
      <c r="AA124" s="125" t="n"/>
      <c r="AB124" s="125" t="n"/>
      <c r="AC124" s="125" t="n"/>
      <c r="AD124" s="125" t="n"/>
      <c r="AE124" s="125" t="n"/>
      <c r="AF124" s="125" t="n"/>
      <c r="AG124" s="125" t="n"/>
      <c r="AH124" s="125" t="n"/>
      <c r="AI124" s="127">
        <f>SUM(D124:AG124,AH124)</f>
        <v/>
      </c>
      <c r="AJ124" s="126">
        <f>(SUM($D124:$Q124))/AI124</f>
        <v/>
      </c>
      <c r="AK124" s="126">
        <f>(SUM($D124:$H124))/AI124</f>
        <v/>
      </c>
      <c r="AL124" s="126">
        <f>(SUM($R124:$AH124))/AI124</f>
        <v/>
      </c>
      <c r="AM124" s="161" t="n"/>
      <c r="AN124" s="125">
        <f>YEAR(C124)</f>
        <v/>
      </c>
      <c r="AO124" s="125">
        <f>MONTH(C124)</f>
        <v/>
      </c>
      <c r="AP124" s="125">
        <f>WEEKNUM(C124,2)</f>
        <v/>
      </c>
      <c r="AQ124" s="129">
        <f>IFERROR(D124/$AI124,"")</f>
        <v/>
      </c>
      <c r="AR124" s="129">
        <f>IFERROR(E124/$AI124,"")</f>
        <v/>
      </c>
      <c r="AS124" s="129">
        <f>IFERROR(F124/$AI124,"")</f>
        <v/>
      </c>
      <c r="AT124" s="129">
        <f>IFERROR(H124/$AI124,"")</f>
        <v/>
      </c>
      <c r="AU124" s="129">
        <f>IFERROR(I124/$AI124,"")</f>
        <v/>
      </c>
      <c r="AV124" s="129">
        <f>IFERROR(J124/$AI124,"")</f>
        <v/>
      </c>
      <c r="AW124" s="129">
        <f>IFERROR(K124/$AI124,"")</f>
        <v/>
      </c>
      <c r="AX124" s="129">
        <f>IFERROR(L124/$AI124,"")</f>
        <v/>
      </c>
      <c r="AY124" s="129">
        <f>IFERROR(M124/$AI124,"")</f>
        <v/>
      </c>
      <c r="AZ124" s="129">
        <f>IFERROR(N124/$AI124,"")</f>
        <v/>
      </c>
      <c r="BA124" s="129">
        <f>IFERROR(O124/$AI124,"")</f>
        <v/>
      </c>
      <c r="BB124" s="129">
        <f>IFERROR(P124/$AI124,"")</f>
        <v/>
      </c>
      <c r="BC124" s="129">
        <f>IFERROR(AG124/$AI124,"")</f>
        <v/>
      </c>
      <c r="BD124" s="129">
        <f>IFERROR(AH124/$AI124,"")</f>
        <v/>
      </c>
      <c r="BE124" s="129">
        <f>IFERROR(R124/$AI124,"")</f>
        <v/>
      </c>
      <c r="BF124" s="129">
        <f>IFERROR(S124/$AI124,"")</f>
        <v/>
      </c>
      <c r="BG124" s="129">
        <f>IFERROR(T124/$AI124,"")</f>
        <v/>
      </c>
      <c r="BH124" s="129">
        <f>IFERROR(U124/$AI124,"")</f>
        <v/>
      </c>
      <c r="BI124" s="129">
        <f>IFERROR(V124/$AI124,"")</f>
        <v/>
      </c>
      <c r="BJ124" s="129">
        <f>IFERROR(W124/$AI124,"")</f>
        <v/>
      </c>
      <c r="BK124" s="129">
        <f>IFERROR(X124/$AI124,"")</f>
        <v/>
      </c>
      <c r="BL124" s="129">
        <f>IFERROR(Y124/$AI124,"")</f>
        <v/>
      </c>
      <c r="BM124" s="129">
        <f>IFERROR(Z124/$AI124,"")</f>
        <v/>
      </c>
      <c r="BN124" s="129">
        <f>IFERROR(AA124/$AI124,"")</f>
        <v/>
      </c>
      <c r="BO124" s="129">
        <f>IFERROR(AB124/$AI124,"")</f>
        <v/>
      </c>
      <c r="BP124" s="129">
        <f>IFERROR(AC124/$AI124,"")</f>
        <v/>
      </c>
      <c r="BQ124" s="129">
        <f>IFERROR(AD124/$AI124,"")</f>
        <v/>
      </c>
      <c r="BR124" s="129">
        <f>IFERROR(AE124/$AI124,"")</f>
        <v/>
      </c>
      <c r="BS124" s="129">
        <f>IFERROR(AF124/$AI124,"")</f>
        <v/>
      </c>
      <c r="BT124" s="129">
        <f>IFERROR(AG124/$AI124,"")</f>
        <v/>
      </c>
      <c r="BU124" s="129">
        <f>IFERROR(AH124/$AI124,"")</f>
        <v/>
      </c>
      <c r="BV124" s="126">
        <f>SUM(AQ124:BD124)</f>
        <v/>
      </c>
      <c r="BW124" s="126">
        <f>SUM(BE124:BU124)</f>
        <v/>
      </c>
      <c r="BX124" s="126">
        <f>SUM(AQ124:AU124)</f>
        <v/>
      </c>
    </row>
    <row r="125">
      <c r="B125" s="127" t="n"/>
      <c r="C125" s="125" t="n"/>
      <c r="D125" s="125" t="n"/>
      <c r="E125" s="125" t="n"/>
      <c r="F125" s="125" t="n"/>
      <c r="G125" s="125" t="n"/>
      <c r="H125" s="125" t="n"/>
      <c r="I125" s="125" t="n"/>
      <c r="J125" s="125" t="n"/>
      <c r="K125" s="125" t="n"/>
      <c r="L125" s="125" t="n"/>
      <c r="M125" s="125" t="n"/>
      <c r="N125" s="125" t="n"/>
      <c r="O125" s="125" t="n"/>
      <c r="P125" s="125" t="n"/>
      <c r="Q125" s="125" t="n"/>
      <c r="R125" s="125" t="n"/>
      <c r="S125" s="125" t="n"/>
      <c r="T125" s="125" t="n"/>
      <c r="U125" s="125" t="n"/>
      <c r="V125" s="125" t="n"/>
      <c r="W125" s="125" t="n"/>
      <c r="X125" s="125" t="n"/>
      <c r="Y125" s="125" t="n"/>
      <c r="Z125" s="125" t="n"/>
      <c r="AA125" s="125" t="n"/>
      <c r="AB125" s="125" t="n"/>
      <c r="AC125" s="125" t="n"/>
      <c r="AD125" s="125" t="n"/>
      <c r="AE125" s="125" t="n"/>
      <c r="AF125" s="125" t="n"/>
      <c r="AG125" s="125" t="n"/>
      <c r="AH125" s="125" t="n"/>
      <c r="AI125" s="127">
        <f>SUM(D125:AG125,AH125)</f>
        <v/>
      </c>
      <c r="AJ125" s="126">
        <f>(SUM($D125:$Q125))/AI125</f>
        <v/>
      </c>
      <c r="AK125" s="126">
        <f>(SUM($D125:$H125))/AI125</f>
        <v/>
      </c>
      <c r="AL125" s="126">
        <f>(SUM($R125:$AH125))/AI125</f>
        <v/>
      </c>
      <c r="AM125" s="161" t="n"/>
      <c r="AN125" s="125">
        <f>YEAR(C125)</f>
        <v/>
      </c>
      <c r="AO125" s="125">
        <f>MONTH(C125)</f>
        <v/>
      </c>
      <c r="AP125" s="125">
        <f>WEEKNUM(C125,2)</f>
        <v/>
      </c>
      <c r="AQ125" s="129">
        <f>IFERROR(D125/$AI125,"")</f>
        <v/>
      </c>
      <c r="AR125" s="129">
        <f>IFERROR(E125/$AI125,"")</f>
        <v/>
      </c>
      <c r="AS125" s="129">
        <f>IFERROR(F125/$AI125,"")</f>
        <v/>
      </c>
      <c r="AT125" s="129">
        <f>IFERROR(H125/$AI125,"")</f>
        <v/>
      </c>
      <c r="AU125" s="129">
        <f>IFERROR(I125/$AI125,"")</f>
        <v/>
      </c>
      <c r="AV125" s="129">
        <f>IFERROR(J125/$AI125,"")</f>
        <v/>
      </c>
      <c r="AW125" s="129">
        <f>IFERROR(K125/$AI125,"")</f>
        <v/>
      </c>
      <c r="AX125" s="129">
        <f>IFERROR(L125/$AI125,"")</f>
        <v/>
      </c>
      <c r="AY125" s="129">
        <f>IFERROR(M125/$AI125,"")</f>
        <v/>
      </c>
      <c r="AZ125" s="129">
        <f>IFERROR(N125/$AI125,"")</f>
        <v/>
      </c>
      <c r="BA125" s="129">
        <f>IFERROR(O125/$AI125,"")</f>
        <v/>
      </c>
      <c r="BB125" s="129">
        <f>IFERROR(P125/$AI125,"")</f>
        <v/>
      </c>
      <c r="BC125" s="129">
        <f>IFERROR(AG125/$AI125,"")</f>
        <v/>
      </c>
      <c r="BD125" s="129">
        <f>IFERROR(AH125/$AI125,"")</f>
        <v/>
      </c>
      <c r="BE125" s="129">
        <f>IFERROR(R125/$AI125,"")</f>
        <v/>
      </c>
      <c r="BF125" s="129">
        <f>IFERROR(S125/$AI125,"")</f>
        <v/>
      </c>
      <c r="BG125" s="129">
        <f>IFERROR(T125/$AI125,"")</f>
        <v/>
      </c>
      <c r="BH125" s="129">
        <f>IFERROR(U125/$AI125,"")</f>
        <v/>
      </c>
      <c r="BI125" s="129">
        <f>IFERROR(V125/$AI125,"")</f>
        <v/>
      </c>
      <c r="BJ125" s="129">
        <f>IFERROR(W125/$AI125,"")</f>
        <v/>
      </c>
      <c r="BK125" s="129">
        <f>IFERROR(X125/$AI125,"")</f>
        <v/>
      </c>
      <c r="BL125" s="129">
        <f>IFERROR(Y125/$AI125,"")</f>
        <v/>
      </c>
      <c r="BM125" s="129">
        <f>IFERROR(Z125/$AI125,"")</f>
        <v/>
      </c>
      <c r="BN125" s="129">
        <f>IFERROR(AA125/$AI125,"")</f>
        <v/>
      </c>
      <c r="BO125" s="129">
        <f>IFERROR(AB125/$AI125,"")</f>
        <v/>
      </c>
      <c r="BP125" s="129">
        <f>IFERROR(AC125/$AI125,"")</f>
        <v/>
      </c>
      <c r="BQ125" s="129">
        <f>IFERROR(AD125/$AI125,"")</f>
        <v/>
      </c>
      <c r="BR125" s="129">
        <f>IFERROR(AE125/$AI125,"")</f>
        <v/>
      </c>
      <c r="BS125" s="129">
        <f>IFERROR(AF125/$AI125,"")</f>
        <v/>
      </c>
      <c r="BT125" s="129">
        <f>IFERROR(AG125/$AI125,"")</f>
        <v/>
      </c>
      <c r="BU125" s="129">
        <f>IFERROR(AH125/$AI125,"")</f>
        <v/>
      </c>
      <c r="BV125" s="126">
        <f>SUM(AQ125:BD125)</f>
        <v/>
      </c>
      <c r="BW125" s="126">
        <f>SUM(BE125:BU125)</f>
        <v/>
      </c>
      <c r="BX125" s="126">
        <f>SUM(AQ125:AU125)</f>
        <v/>
      </c>
    </row>
    <row r="126">
      <c r="B126" s="127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5" t="n"/>
      <c r="U126" s="125" t="n"/>
      <c r="V126" s="125" t="n"/>
      <c r="W126" s="125" t="n"/>
      <c r="X126" s="125" t="n"/>
      <c r="Y126" s="125" t="n"/>
      <c r="Z126" s="125" t="n"/>
      <c r="AA126" s="125" t="n"/>
      <c r="AB126" s="125" t="n"/>
      <c r="AC126" s="125" t="n"/>
      <c r="AD126" s="125" t="n"/>
      <c r="AE126" s="125" t="n"/>
      <c r="AF126" s="125" t="n"/>
      <c r="AG126" s="125" t="n"/>
      <c r="AH126" s="125" t="n"/>
      <c r="AI126" s="127">
        <f>SUM(D126:AG126,AH126)</f>
        <v/>
      </c>
      <c r="AJ126" s="126">
        <f>(SUM($D126:$Q126))/AI126</f>
        <v/>
      </c>
      <c r="AK126" s="126">
        <f>(SUM($D126:$H126))/AI126</f>
        <v/>
      </c>
      <c r="AL126" s="126">
        <f>(SUM($R126:$AH126))/AI126</f>
        <v/>
      </c>
      <c r="AM126" s="161" t="n"/>
      <c r="AN126" s="125">
        <f>YEAR(C126)</f>
        <v/>
      </c>
      <c r="AO126" s="125">
        <f>MONTH(C126)</f>
        <v/>
      </c>
      <c r="AP126" s="125">
        <f>WEEKNUM(C126,2)</f>
        <v/>
      </c>
      <c r="AQ126" s="129">
        <f>IFERROR(D126/$AI126,"")</f>
        <v/>
      </c>
      <c r="AR126" s="129">
        <f>IFERROR(E126/$AI126,"")</f>
        <v/>
      </c>
      <c r="AS126" s="129">
        <f>IFERROR(F126/$AI126,"")</f>
        <v/>
      </c>
      <c r="AT126" s="129">
        <f>IFERROR(H126/$AI126,"")</f>
        <v/>
      </c>
      <c r="AU126" s="129">
        <f>IFERROR(I126/$AI126,"")</f>
        <v/>
      </c>
      <c r="AV126" s="129">
        <f>IFERROR(J126/$AI126,"")</f>
        <v/>
      </c>
      <c r="AW126" s="129">
        <f>IFERROR(K126/$AI126,"")</f>
        <v/>
      </c>
      <c r="AX126" s="129">
        <f>IFERROR(L126/$AI126,"")</f>
        <v/>
      </c>
      <c r="AY126" s="129">
        <f>IFERROR(M126/$AI126,"")</f>
        <v/>
      </c>
      <c r="AZ126" s="129">
        <f>IFERROR(N126/$AI126,"")</f>
        <v/>
      </c>
      <c r="BA126" s="129">
        <f>IFERROR(O126/$AI126,"")</f>
        <v/>
      </c>
      <c r="BB126" s="129">
        <f>IFERROR(P126/$AI126,"")</f>
        <v/>
      </c>
      <c r="BC126" s="129">
        <f>IFERROR(AG126/$AI126,"")</f>
        <v/>
      </c>
      <c r="BD126" s="129">
        <f>IFERROR(AH126/$AI126,"")</f>
        <v/>
      </c>
      <c r="BE126" s="129">
        <f>IFERROR(R126/$AI126,"")</f>
        <v/>
      </c>
      <c r="BF126" s="129">
        <f>IFERROR(S126/$AI126,"")</f>
        <v/>
      </c>
      <c r="BG126" s="129">
        <f>IFERROR(T126/$AI126,"")</f>
        <v/>
      </c>
      <c r="BH126" s="129">
        <f>IFERROR(U126/$AI126,"")</f>
        <v/>
      </c>
      <c r="BI126" s="129">
        <f>IFERROR(V126/$AI126,"")</f>
        <v/>
      </c>
      <c r="BJ126" s="129">
        <f>IFERROR(W126/$AI126,"")</f>
        <v/>
      </c>
      <c r="BK126" s="129">
        <f>IFERROR(X126/$AI126,"")</f>
        <v/>
      </c>
      <c r="BL126" s="129">
        <f>IFERROR(Y126/$AI126,"")</f>
        <v/>
      </c>
      <c r="BM126" s="129">
        <f>IFERROR(Z126/$AI126,"")</f>
        <v/>
      </c>
      <c r="BN126" s="129">
        <f>IFERROR(AA126/$AI126,"")</f>
        <v/>
      </c>
      <c r="BO126" s="129">
        <f>IFERROR(AB126/$AI126,"")</f>
        <v/>
      </c>
      <c r="BP126" s="129">
        <f>IFERROR(AC126/$AI126,"")</f>
        <v/>
      </c>
      <c r="BQ126" s="129">
        <f>IFERROR(AD126/$AI126,"")</f>
        <v/>
      </c>
      <c r="BR126" s="129">
        <f>IFERROR(AE126/$AI126,"")</f>
        <v/>
      </c>
      <c r="BS126" s="129">
        <f>IFERROR(AF126/$AI126,"")</f>
        <v/>
      </c>
      <c r="BT126" s="129">
        <f>IFERROR(AG126/$AI126,"")</f>
        <v/>
      </c>
      <c r="BU126" s="129">
        <f>IFERROR(AH126/$AI126,"")</f>
        <v/>
      </c>
      <c r="BV126" s="126">
        <f>SUM(AQ126:BD126)</f>
        <v/>
      </c>
      <c r="BW126" s="126">
        <f>SUM(BE126:BU126)</f>
        <v/>
      </c>
      <c r="BX126" s="126">
        <f>SUM(AQ126:AU126)</f>
        <v/>
      </c>
    </row>
    <row r="127">
      <c r="B127" s="127" t="n"/>
      <c r="C127" s="125" t="n"/>
      <c r="D127" s="125" t="n"/>
      <c r="E127" s="125" t="n"/>
      <c r="F127" s="125" t="n"/>
      <c r="G127" s="125" t="n"/>
      <c r="H127" s="125" t="n"/>
      <c r="I127" s="125" t="n"/>
      <c r="J127" s="125" t="n"/>
      <c r="K127" s="125" t="n"/>
      <c r="L127" s="125" t="n"/>
      <c r="M127" s="125" t="n"/>
      <c r="N127" s="125" t="n"/>
      <c r="O127" s="125" t="n"/>
      <c r="P127" s="125" t="n"/>
      <c r="Q127" s="125" t="n"/>
      <c r="R127" s="125" t="n"/>
      <c r="S127" s="125" t="n"/>
      <c r="T127" s="125" t="n"/>
      <c r="U127" s="125" t="n"/>
      <c r="V127" s="125" t="n"/>
      <c r="W127" s="125" t="n"/>
      <c r="X127" s="125" t="n"/>
      <c r="Y127" s="125" t="n"/>
      <c r="Z127" s="125" t="n"/>
      <c r="AA127" s="125" t="n"/>
      <c r="AB127" s="125" t="n"/>
      <c r="AC127" s="125" t="n"/>
      <c r="AD127" s="125" t="n"/>
      <c r="AE127" s="125" t="n"/>
      <c r="AF127" s="125" t="n"/>
      <c r="AG127" s="125" t="n"/>
      <c r="AH127" s="125" t="n"/>
      <c r="AI127" s="127">
        <f>SUM(D127:AG127,AH127)</f>
        <v/>
      </c>
      <c r="AJ127" s="126">
        <f>(SUM($D127:$Q127))/AI127</f>
        <v/>
      </c>
      <c r="AK127" s="126">
        <f>(SUM($D127:$H127))/AI127</f>
        <v/>
      </c>
      <c r="AL127" s="126">
        <f>(SUM($R127:$AH127))/AI127</f>
        <v/>
      </c>
      <c r="AM127" s="161" t="n"/>
      <c r="AN127" s="125">
        <f>YEAR(C127)</f>
        <v/>
      </c>
      <c r="AO127" s="125">
        <f>MONTH(C127)</f>
        <v/>
      </c>
      <c r="AP127" s="125">
        <f>WEEKNUM(C127,2)</f>
        <v/>
      </c>
      <c r="AQ127" s="129">
        <f>IFERROR(D127/$AI127,"")</f>
        <v/>
      </c>
      <c r="AR127" s="129">
        <f>IFERROR(E127/$AI127,"")</f>
        <v/>
      </c>
      <c r="AS127" s="129">
        <f>IFERROR(F127/$AI127,"")</f>
        <v/>
      </c>
      <c r="AT127" s="129">
        <f>IFERROR(H127/$AI127,"")</f>
        <v/>
      </c>
      <c r="AU127" s="129">
        <f>IFERROR(I127/$AI127,"")</f>
        <v/>
      </c>
      <c r="AV127" s="129">
        <f>IFERROR(J127/$AI127,"")</f>
        <v/>
      </c>
      <c r="AW127" s="129">
        <f>IFERROR(K127/$AI127,"")</f>
        <v/>
      </c>
      <c r="AX127" s="129">
        <f>IFERROR(L127/$AI127,"")</f>
        <v/>
      </c>
      <c r="AY127" s="129">
        <f>IFERROR(M127/$AI127,"")</f>
        <v/>
      </c>
      <c r="AZ127" s="129">
        <f>IFERROR(N127/$AI127,"")</f>
        <v/>
      </c>
      <c r="BA127" s="129">
        <f>IFERROR(O127/$AI127,"")</f>
        <v/>
      </c>
      <c r="BB127" s="129">
        <f>IFERROR(P127/$AI127,"")</f>
        <v/>
      </c>
      <c r="BC127" s="129">
        <f>IFERROR(AG127/$AI127,"")</f>
        <v/>
      </c>
      <c r="BD127" s="129">
        <f>IFERROR(AH127/$AI127,"")</f>
        <v/>
      </c>
      <c r="BE127" s="129">
        <f>IFERROR(R127/$AI127,"")</f>
        <v/>
      </c>
      <c r="BF127" s="129">
        <f>IFERROR(S127/$AI127,"")</f>
        <v/>
      </c>
      <c r="BG127" s="129">
        <f>IFERROR(T127/$AI127,"")</f>
        <v/>
      </c>
      <c r="BH127" s="129">
        <f>IFERROR(U127/$AI127,"")</f>
        <v/>
      </c>
      <c r="BI127" s="129">
        <f>IFERROR(V127/$AI127,"")</f>
        <v/>
      </c>
      <c r="BJ127" s="129">
        <f>IFERROR(W127/$AI127,"")</f>
        <v/>
      </c>
      <c r="BK127" s="129">
        <f>IFERROR(X127/$AI127,"")</f>
        <v/>
      </c>
      <c r="BL127" s="129">
        <f>IFERROR(Y127/$AI127,"")</f>
        <v/>
      </c>
      <c r="BM127" s="129">
        <f>IFERROR(Z127/$AI127,"")</f>
        <v/>
      </c>
      <c r="BN127" s="129">
        <f>IFERROR(AA127/$AI127,"")</f>
        <v/>
      </c>
      <c r="BO127" s="129">
        <f>IFERROR(AB127/$AI127,"")</f>
        <v/>
      </c>
      <c r="BP127" s="129">
        <f>IFERROR(AC127/$AI127,"")</f>
        <v/>
      </c>
      <c r="BQ127" s="129">
        <f>IFERROR(AD127/$AI127,"")</f>
        <v/>
      </c>
      <c r="BR127" s="129">
        <f>IFERROR(AE127/$AI127,"")</f>
        <v/>
      </c>
      <c r="BS127" s="129">
        <f>IFERROR(AF127/$AI127,"")</f>
        <v/>
      </c>
      <c r="BT127" s="129">
        <f>IFERROR(AG127/$AI127,"")</f>
        <v/>
      </c>
      <c r="BU127" s="129">
        <f>IFERROR(AH127/$AI127,"")</f>
        <v/>
      </c>
      <c r="BV127" s="126">
        <f>SUM(AQ127:BD127)</f>
        <v/>
      </c>
      <c r="BW127" s="126">
        <f>SUM(BE127:BU127)</f>
        <v/>
      </c>
      <c r="BX127" s="126">
        <f>SUM(AQ127:AU127)</f>
        <v/>
      </c>
    </row>
    <row r="128">
      <c r="B128" s="127" t="n"/>
      <c r="C128" s="125" t="n"/>
      <c r="D128" s="125" t="n"/>
      <c r="E128" s="125" t="n"/>
      <c r="F128" s="125" t="n"/>
      <c r="G128" s="125" t="n"/>
      <c r="H128" s="125" t="n"/>
      <c r="I128" s="125" t="n"/>
      <c r="J128" s="125" t="n"/>
      <c r="K128" s="125" t="n"/>
      <c r="L128" s="125" t="n"/>
      <c r="M128" s="125" t="n"/>
      <c r="N128" s="125" t="n"/>
      <c r="O128" s="125" t="n"/>
      <c r="P128" s="125" t="n"/>
      <c r="Q128" s="125" t="n"/>
      <c r="R128" s="125" t="n"/>
      <c r="S128" s="125" t="n"/>
      <c r="T128" s="125" t="n"/>
      <c r="U128" s="125" t="n"/>
      <c r="V128" s="125" t="n"/>
      <c r="W128" s="125" t="n"/>
      <c r="X128" s="125" t="n"/>
      <c r="Y128" s="125" t="n"/>
      <c r="Z128" s="125" t="n"/>
      <c r="AA128" s="125" t="n"/>
      <c r="AB128" s="125" t="n"/>
      <c r="AC128" s="125" t="n"/>
      <c r="AD128" s="125" t="n"/>
      <c r="AE128" s="125" t="n"/>
      <c r="AF128" s="125" t="n"/>
      <c r="AG128" s="125" t="n"/>
      <c r="AH128" s="125" t="n"/>
      <c r="AI128" s="127">
        <f>SUM(D128:AG128,AH128)</f>
        <v/>
      </c>
      <c r="AJ128" s="126">
        <f>(SUM($D128:$Q128))/AI128</f>
        <v/>
      </c>
      <c r="AK128" s="126">
        <f>(SUM($D128:$H128))/AI128</f>
        <v/>
      </c>
      <c r="AL128" s="126">
        <f>(SUM($R128:$AH128))/AI128</f>
        <v/>
      </c>
      <c r="AM128" s="161" t="n"/>
      <c r="AN128" s="125">
        <f>YEAR(C128)</f>
        <v/>
      </c>
      <c r="AO128" s="125">
        <f>MONTH(C128)</f>
        <v/>
      </c>
      <c r="AP128" s="125">
        <f>WEEKNUM(C128,2)</f>
        <v/>
      </c>
      <c r="AQ128" s="129">
        <f>IFERROR(D128/$AI128,"")</f>
        <v/>
      </c>
      <c r="AR128" s="129">
        <f>IFERROR(E128/$AI128,"")</f>
        <v/>
      </c>
      <c r="AS128" s="129">
        <f>IFERROR(F128/$AI128,"")</f>
        <v/>
      </c>
      <c r="AT128" s="129">
        <f>IFERROR(H128/$AI128,"")</f>
        <v/>
      </c>
      <c r="AU128" s="129">
        <f>IFERROR(I128/$AI128,"")</f>
        <v/>
      </c>
      <c r="AV128" s="129">
        <f>IFERROR(J128/$AI128,"")</f>
        <v/>
      </c>
      <c r="AW128" s="129">
        <f>IFERROR(K128/$AI128,"")</f>
        <v/>
      </c>
      <c r="AX128" s="129">
        <f>IFERROR(L128/$AI128,"")</f>
        <v/>
      </c>
      <c r="AY128" s="129">
        <f>IFERROR(M128/$AI128,"")</f>
        <v/>
      </c>
      <c r="AZ128" s="129">
        <f>IFERROR(N128/$AI128,"")</f>
        <v/>
      </c>
      <c r="BA128" s="129">
        <f>IFERROR(O128/$AI128,"")</f>
        <v/>
      </c>
      <c r="BB128" s="129">
        <f>IFERROR(P128/$AI128,"")</f>
        <v/>
      </c>
      <c r="BC128" s="129">
        <f>IFERROR(AG128/$AI128,"")</f>
        <v/>
      </c>
      <c r="BD128" s="129">
        <f>IFERROR(AH128/$AI128,"")</f>
        <v/>
      </c>
      <c r="BE128" s="129">
        <f>IFERROR(R128/$AI128,"")</f>
        <v/>
      </c>
      <c r="BF128" s="129">
        <f>IFERROR(S128/$AI128,"")</f>
        <v/>
      </c>
      <c r="BG128" s="129">
        <f>IFERROR(T128/$AI128,"")</f>
        <v/>
      </c>
      <c r="BH128" s="129">
        <f>IFERROR(U128/$AI128,"")</f>
        <v/>
      </c>
      <c r="BI128" s="129">
        <f>IFERROR(V128/$AI128,"")</f>
        <v/>
      </c>
      <c r="BJ128" s="129">
        <f>IFERROR(W128/$AI128,"")</f>
        <v/>
      </c>
      <c r="BK128" s="129">
        <f>IFERROR(X128/$AI128,"")</f>
        <v/>
      </c>
      <c r="BL128" s="129">
        <f>IFERROR(Y128/$AI128,"")</f>
        <v/>
      </c>
      <c r="BM128" s="129">
        <f>IFERROR(Z128/$AI128,"")</f>
        <v/>
      </c>
      <c r="BN128" s="129">
        <f>IFERROR(AA128/$AI128,"")</f>
        <v/>
      </c>
      <c r="BO128" s="129">
        <f>IFERROR(AB128/$AI128,"")</f>
        <v/>
      </c>
      <c r="BP128" s="129">
        <f>IFERROR(AC128/$AI128,"")</f>
        <v/>
      </c>
      <c r="BQ128" s="129">
        <f>IFERROR(AD128/$AI128,"")</f>
        <v/>
      </c>
      <c r="BR128" s="129">
        <f>IFERROR(AE128/$AI128,"")</f>
        <v/>
      </c>
      <c r="BS128" s="129">
        <f>IFERROR(AF128/$AI128,"")</f>
        <v/>
      </c>
      <c r="BT128" s="129">
        <f>IFERROR(AG128/$AI128,"")</f>
        <v/>
      </c>
      <c r="BU128" s="129">
        <f>IFERROR(AH128/$AI128,"")</f>
        <v/>
      </c>
      <c r="BV128" s="126">
        <f>SUM(AQ128:BD128)</f>
        <v/>
      </c>
      <c r="BW128" s="126">
        <f>SUM(BE128:BU128)</f>
        <v/>
      </c>
      <c r="BX128" s="126">
        <f>SUM(AQ128:AU128)</f>
        <v/>
      </c>
    </row>
    <row r="129">
      <c r="B129" s="127" t="n"/>
      <c r="C129" s="125" t="n"/>
      <c r="D129" s="125" t="n"/>
      <c r="E129" s="125" t="n"/>
      <c r="F129" s="125" t="n"/>
      <c r="G129" s="125" t="n"/>
      <c r="H129" s="125" t="n"/>
      <c r="I129" s="125" t="n"/>
      <c r="J129" s="125" t="n"/>
      <c r="K129" s="125" t="n"/>
      <c r="L129" s="125" t="n"/>
      <c r="M129" s="125" t="n"/>
      <c r="N129" s="125" t="n"/>
      <c r="O129" s="125" t="n"/>
      <c r="P129" s="125" t="n"/>
      <c r="Q129" s="125" t="n"/>
      <c r="R129" s="125" t="n"/>
      <c r="S129" s="125" t="n"/>
      <c r="T129" s="125" t="n"/>
      <c r="U129" s="125" t="n"/>
      <c r="V129" s="125" t="n"/>
      <c r="W129" s="125" t="n"/>
      <c r="X129" s="125" t="n"/>
      <c r="Y129" s="125" t="n"/>
      <c r="Z129" s="125" t="n"/>
      <c r="AA129" s="125" t="n"/>
      <c r="AB129" s="125" t="n"/>
      <c r="AC129" s="125" t="n"/>
      <c r="AD129" s="125" t="n"/>
      <c r="AE129" s="125" t="n"/>
      <c r="AF129" s="125" t="n"/>
      <c r="AG129" s="125" t="n"/>
      <c r="AH129" s="125" t="n"/>
      <c r="AI129" s="127">
        <f>SUM(D129:AG129,AH129)</f>
        <v/>
      </c>
      <c r="AJ129" s="126">
        <f>(SUM($D129:$Q129))/AI129</f>
        <v/>
      </c>
      <c r="AK129" s="126">
        <f>(SUM($D129:$H129))/AI129</f>
        <v/>
      </c>
      <c r="AL129" s="126">
        <f>(SUM($R129:$AH129))/AI129</f>
        <v/>
      </c>
      <c r="AM129" s="161" t="n"/>
      <c r="AN129" s="125">
        <f>YEAR(C129)</f>
        <v/>
      </c>
      <c r="AO129" s="125">
        <f>MONTH(C129)</f>
        <v/>
      </c>
      <c r="AP129" s="125">
        <f>WEEKNUM(C129,2)</f>
        <v/>
      </c>
      <c r="AQ129" s="129">
        <f>IFERROR(D129/$AI129,"")</f>
        <v/>
      </c>
      <c r="AR129" s="129">
        <f>IFERROR(E129/$AI129,"")</f>
        <v/>
      </c>
      <c r="AS129" s="129">
        <f>IFERROR(F129/$AI129,"")</f>
        <v/>
      </c>
      <c r="AT129" s="129">
        <f>IFERROR(H129/$AI129,"")</f>
        <v/>
      </c>
      <c r="AU129" s="129">
        <f>IFERROR(I129/$AI129,"")</f>
        <v/>
      </c>
      <c r="AV129" s="129">
        <f>IFERROR(J129/$AI129,"")</f>
        <v/>
      </c>
      <c r="AW129" s="129">
        <f>IFERROR(K129/$AI129,"")</f>
        <v/>
      </c>
      <c r="AX129" s="129">
        <f>IFERROR(L129/$AI129,"")</f>
        <v/>
      </c>
      <c r="AY129" s="129">
        <f>IFERROR(M129/$AI129,"")</f>
        <v/>
      </c>
      <c r="AZ129" s="129">
        <f>IFERROR(N129/$AI129,"")</f>
        <v/>
      </c>
      <c r="BA129" s="129">
        <f>IFERROR(O129/$AI129,"")</f>
        <v/>
      </c>
      <c r="BB129" s="129">
        <f>IFERROR(P129/$AI129,"")</f>
        <v/>
      </c>
      <c r="BC129" s="129">
        <f>IFERROR(AG129/$AI129,"")</f>
        <v/>
      </c>
      <c r="BD129" s="129">
        <f>IFERROR(AH129/$AI129,"")</f>
        <v/>
      </c>
      <c r="BE129" s="129">
        <f>IFERROR(R129/$AI129,"")</f>
        <v/>
      </c>
      <c r="BF129" s="129">
        <f>IFERROR(S129/$AI129,"")</f>
        <v/>
      </c>
      <c r="BG129" s="129">
        <f>IFERROR(T129/$AI129,"")</f>
        <v/>
      </c>
      <c r="BH129" s="129">
        <f>IFERROR(U129/$AI129,"")</f>
        <v/>
      </c>
      <c r="BI129" s="129">
        <f>IFERROR(V129/$AI129,"")</f>
        <v/>
      </c>
      <c r="BJ129" s="129">
        <f>IFERROR(W129/$AI129,"")</f>
        <v/>
      </c>
      <c r="BK129" s="129">
        <f>IFERROR(X129/$AI129,"")</f>
        <v/>
      </c>
      <c r="BL129" s="129">
        <f>IFERROR(Y129/$AI129,"")</f>
        <v/>
      </c>
      <c r="BM129" s="129">
        <f>IFERROR(Z129/$AI129,"")</f>
        <v/>
      </c>
      <c r="BN129" s="129">
        <f>IFERROR(AA129/$AI129,"")</f>
        <v/>
      </c>
      <c r="BO129" s="129">
        <f>IFERROR(AB129/$AI129,"")</f>
        <v/>
      </c>
      <c r="BP129" s="129">
        <f>IFERROR(AC129/$AI129,"")</f>
        <v/>
      </c>
      <c r="BQ129" s="129">
        <f>IFERROR(AD129/$AI129,"")</f>
        <v/>
      </c>
      <c r="BR129" s="129">
        <f>IFERROR(AE129/$AI129,"")</f>
        <v/>
      </c>
      <c r="BS129" s="129">
        <f>IFERROR(AF129/$AI129,"")</f>
        <v/>
      </c>
      <c r="BT129" s="129">
        <f>IFERROR(AG129/$AI129,"")</f>
        <v/>
      </c>
      <c r="BU129" s="129">
        <f>IFERROR(AH129/$AI129,"")</f>
        <v/>
      </c>
      <c r="BV129" s="126">
        <f>SUM(AQ129:BD129)</f>
        <v/>
      </c>
      <c r="BW129" s="126">
        <f>SUM(BE129:BU129)</f>
        <v/>
      </c>
      <c r="BX129" s="126">
        <f>SUM(AQ129:AU129)</f>
        <v/>
      </c>
    </row>
    <row r="130">
      <c r="B130" s="127" t="n"/>
      <c r="C130" s="125" t="n"/>
      <c r="D130" s="125" t="n"/>
      <c r="E130" s="125" t="n"/>
      <c r="F130" s="125" t="n"/>
      <c r="G130" s="125" t="n"/>
      <c r="H130" s="125" t="n"/>
      <c r="I130" s="125" t="n"/>
      <c r="J130" s="125" t="n"/>
      <c r="K130" s="125" t="n"/>
      <c r="L130" s="125" t="n"/>
      <c r="M130" s="125" t="n"/>
      <c r="N130" s="125" t="n"/>
      <c r="O130" s="125" t="n"/>
      <c r="P130" s="125" t="n"/>
      <c r="Q130" s="125" t="n"/>
      <c r="R130" s="125" t="n"/>
      <c r="S130" s="125" t="n"/>
      <c r="T130" s="125" t="n"/>
      <c r="U130" s="125" t="n"/>
      <c r="V130" s="125" t="n"/>
      <c r="W130" s="125" t="n"/>
      <c r="X130" s="125" t="n"/>
      <c r="Y130" s="125" t="n"/>
      <c r="Z130" s="125" t="n"/>
      <c r="AA130" s="125" t="n"/>
      <c r="AB130" s="125" t="n"/>
      <c r="AC130" s="125" t="n"/>
      <c r="AD130" s="125" t="n"/>
      <c r="AE130" s="125" t="n"/>
      <c r="AF130" s="125" t="n"/>
      <c r="AG130" s="125" t="n"/>
      <c r="AH130" s="125" t="n"/>
      <c r="AI130" s="127">
        <f>SUM(D130:AG130,AH130)</f>
        <v/>
      </c>
      <c r="AJ130" s="126">
        <f>(SUM($D130:$Q130))/AI130</f>
        <v/>
      </c>
      <c r="AK130" s="126">
        <f>(SUM($D130:$H130))/AI130</f>
        <v/>
      </c>
      <c r="AL130" s="126">
        <f>(SUM($R130:$AH130))/AI130</f>
        <v/>
      </c>
      <c r="AM130" s="161" t="n"/>
      <c r="AN130" s="125">
        <f>YEAR(C130)</f>
        <v/>
      </c>
      <c r="AO130" s="125">
        <f>MONTH(C130)</f>
        <v/>
      </c>
      <c r="AP130" s="125">
        <f>WEEKNUM(C130,2)</f>
        <v/>
      </c>
      <c r="AQ130" s="129">
        <f>IFERROR(D130/$AI130,"")</f>
        <v/>
      </c>
      <c r="AR130" s="129">
        <f>IFERROR(E130/$AI130,"")</f>
        <v/>
      </c>
      <c r="AS130" s="129">
        <f>IFERROR(F130/$AI130,"")</f>
        <v/>
      </c>
      <c r="AT130" s="129">
        <f>IFERROR(H130/$AI130,"")</f>
        <v/>
      </c>
      <c r="AU130" s="129">
        <f>IFERROR(I130/$AI130,"")</f>
        <v/>
      </c>
      <c r="AV130" s="129">
        <f>IFERROR(J130/$AI130,"")</f>
        <v/>
      </c>
      <c r="AW130" s="129">
        <f>IFERROR(K130/$AI130,"")</f>
        <v/>
      </c>
      <c r="AX130" s="129">
        <f>IFERROR(L130/$AI130,"")</f>
        <v/>
      </c>
      <c r="AY130" s="129">
        <f>IFERROR(M130/$AI130,"")</f>
        <v/>
      </c>
      <c r="AZ130" s="129">
        <f>IFERROR(N130/$AI130,"")</f>
        <v/>
      </c>
      <c r="BA130" s="129">
        <f>IFERROR(O130/$AI130,"")</f>
        <v/>
      </c>
      <c r="BB130" s="129">
        <f>IFERROR(P130/$AI130,"")</f>
        <v/>
      </c>
      <c r="BC130" s="129">
        <f>IFERROR(AG130/$AI130,"")</f>
        <v/>
      </c>
      <c r="BD130" s="129">
        <f>IFERROR(AH130/$AI130,"")</f>
        <v/>
      </c>
      <c r="BE130" s="129">
        <f>IFERROR(R130/$AI130,"")</f>
        <v/>
      </c>
      <c r="BF130" s="129">
        <f>IFERROR(S130/$AI130,"")</f>
        <v/>
      </c>
      <c r="BG130" s="129">
        <f>IFERROR(T130/$AI130,"")</f>
        <v/>
      </c>
      <c r="BH130" s="129">
        <f>IFERROR(U130/$AI130,"")</f>
        <v/>
      </c>
      <c r="BI130" s="129">
        <f>IFERROR(V130/$AI130,"")</f>
        <v/>
      </c>
      <c r="BJ130" s="129">
        <f>IFERROR(W130/$AI130,"")</f>
        <v/>
      </c>
      <c r="BK130" s="129">
        <f>IFERROR(X130/$AI130,"")</f>
        <v/>
      </c>
      <c r="BL130" s="129">
        <f>IFERROR(Y130/$AI130,"")</f>
        <v/>
      </c>
      <c r="BM130" s="129">
        <f>IFERROR(Z130/$AI130,"")</f>
        <v/>
      </c>
      <c r="BN130" s="129">
        <f>IFERROR(AA130/$AI130,"")</f>
        <v/>
      </c>
      <c r="BO130" s="129">
        <f>IFERROR(AB130/$AI130,"")</f>
        <v/>
      </c>
      <c r="BP130" s="129">
        <f>IFERROR(AC130/$AI130,"")</f>
        <v/>
      </c>
      <c r="BQ130" s="129">
        <f>IFERROR(AD130/$AI130,"")</f>
        <v/>
      </c>
      <c r="BR130" s="129">
        <f>IFERROR(AE130/$AI130,"")</f>
        <v/>
      </c>
      <c r="BS130" s="129">
        <f>IFERROR(AF130/$AI130,"")</f>
        <v/>
      </c>
      <c r="BT130" s="129">
        <f>IFERROR(AG130/$AI130,"")</f>
        <v/>
      </c>
      <c r="BU130" s="129">
        <f>IFERROR(AH130/$AI130,"")</f>
        <v/>
      </c>
      <c r="BV130" s="126">
        <f>SUM(AQ130:BD130)</f>
        <v/>
      </c>
      <c r="BW130" s="126">
        <f>SUM(BE130:BU130)</f>
        <v/>
      </c>
      <c r="BX130" s="126">
        <f>SUM(AQ130:AU130)</f>
        <v/>
      </c>
    </row>
    <row r="131">
      <c r="B131" s="127" t="n"/>
      <c r="C131" s="125" t="n"/>
      <c r="D131" s="125" t="n"/>
      <c r="E131" s="125" t="n"/>
      <c r="F131" s="125" t="n"/>
      <c r="G131" s="125" t="n"/>
      <c r="H131" s="125" t="n"/>
      <c r="I131" s="125" t="n"/>
      <c r="J131" s="125" t="n"/>
      <c r="K131" s="125" t="n"/>
      <c r="L131" s="125" t="n"/>
      <c r="M131" s="125" t="n"/>
      <c r="N131" s="125" t="n"/>
      <c r="O131" s="125" t="n"/>
      <c r="P131" s="125" t="n"/>
      <c r="Q131" s="125" t="n"/>
      <c r="R131" s="125" t="n"/>
      <c r="S131" s="125" t="n"/>
      <c r="T131" s="125" t="n"/>
      <c r="U131" s="125" t="n"/>
      <c r="V131" s="125" t="n"/>
      <c r="W131" s="125" t="n"/>
      <c r="X131" s="125" t="n"/>
      <c r="Y131" s="125" t="n"/>
      <c r="Z131" s="125" t="n"/>
      <c r="AA131" s="125" t="n"/>
      <c r="AB131" s="125" t="n"/>
      <c r="AC131" s="125" t="n"/>
      <c r="AD131" s="125" t="n"/>
      <c r="AE131" s="125" t="n"/>
      <c r="AF131" s="125" t="n"/>
      <c r="AG131" s="125" t="n"/>
      <c r="AH131" s="125" t="n"/>
      <c r="AI131" s="127">
        <f>SUM(D131:AG131,AH131)</f>
        <v/>
      </c>
      <c r="AJ131" s="126">
        <f>(SUM($D131:$Q131))/AI131</f>
        <v/>
      </c>
      <c r="AK131" s="126">
        <f>(SUM($D131:$H131))/AI131</f>
        <v/>
      </c>
      <c r="AL131" s="126">
        <f>(SUM($R131:$AH131))/AI131</f>
        <v/>
      </c>
      <c r="AM131" s="161" t="n"/>
      <c r="AN131" s="125">
        <f>YEAR(C131)</f>
        <v/>
      </c>
      <c r="AO131" s="125">
        <f>MONTH(C131)</f>
        <v/>
      </c>
      <c r="AP131" s="125">
        <f>WEEKNUM(C131,2)</f>
        <v/>
      </c>
      <c r="AQ131" s="129">
        <f>IFERROR(D131/$AI131,"")</f>
        <v/>
      </c>
      <c r="AR131" s="129">
        <f>IFERROR(E131/$AI131,"")</f>
        <v/>
      </c>
      <c r="AS131" s="129">
        <f>IFERROR(F131/$AI131,"")</f>
        <v/>
      </c>
      <c r="AT131" s="129">
        <f>IFERROR(H131/$AI131,"")</f>
        <v/>
      </c>
      <c r="AU131" s="129">
        <f>IFERROR(I131/$AI131,"")</f>
        <v/>
      </c>
      <c r="AV131" s="129">
        <f>IFERROR(J131/$AI131,"")</f>
        <v/>
      </c>
      <c r="AW131" s="129">
        <f>IFERROR(K131/$AI131,"")</f>
        <v/>
      </c>
      <c r="AX131" s="129">
        <f>IFERROR(L131/$AI131,"")</f>
        <v/>
      </c>
      <c r="AY131" s="129">
        <f>IFERROR(M131/$AI131,"")</f>
        <v/>
      </c>
      <c r="AZ131" s="129">
        <f>IFERROR(N131/$AI131,"")</f>
        <v/>
      </c>
      <c r="BA131" s="129">
        <f>IFERROR(O131/$AI131,"")</f>
        <v/>
      </c>
      <c r="BB131" s="129">
        <f>IFERROR(P131/$AI131,"")</f>
        <v/>
      </c>
      <c r="BC131" s="129">
        <f>IFERROR(AG131/$AI131,"")</f>
        <v/>
      </c>
      <c r="BD131" s="129">
        <f>IFERROR(AH131/$AI131,"")</f>
        <v/>
      </c>
      <c r="BE131" s="129">
        <f>IFERROR(R131/$AI131,"")</f>
        <v/>
      </c>
      <c r="BF131" s="129">
        <f>IFERROR(S131/$AI131,"")</f>
        <v/>
      </c>
      <c r="BG131" s="129">
        <f>IFERROR(T131/$AI131,"")</f>
        <v/>
      </c>
      <c r="BH131" s="129">
        <f>IFERROR(U131/$AI131,"")</f>
        <v/>
      </c>
      <c r="BI131" s="129">
        <f>IFERROR(V131/$AI131,"")</f>
        <v/>
      </c>
      <c r="BJ131" s="129">
        <f>IFERROR(W131/$AI131,"")</f>
        <v/>
      </c>
      <c r="BK131" s="129">
        <f>IFERROR(X131/$AI131,"")</f>
        <v/>
      </c>
      <c r="BL131" s="129">
        <f>IFERROR(Y131/$AI131,"")</f>
        <v/>
      </c>
      <c r="BM131" s="129">
        <f>IFERROR(Z131/$AI131,"")</f>
        <v/>
      </c>
      <c r="BN131" s="129">
        <f>IFERROR(AA131/$AI131,"")</f>
        <v/>
      </c>
      <c r="BO131" s="129">
        <f>IFERROR(AB131/$AI131,"")</f>
        <v/>
      </c>
      <c r="BP131" s="129">
        <f>IFERROR(AC131/$AI131,"")</f>
        <v/>
      </c>
      <c r="BQ131" s="129">
        <f>IFERROR(AD131/$AI131,"")</f>
        <v/>
      </c>
      <c r="BR131" s="129">
        <f>IFERROR(AE131/$AI131,"")</f>
        <v/>
      </c>
      <c r="BS131" s="129">
        <f>IFERROR(AF131/$AI131,"")</f>
        <v/>
      </c>
      <c r="BT131" s="129">
        <f>IFERROR(AG131/$AI131,"")</f>
        <v/>
      </c>
      <c r="BU131" s="129">
        <f>IFERROR(AH131/$AI131,"")</f>
        <v/>
      </c>
      <c r="BV131" s="126">
        <f>SUM(AQ131:BD131)</f>
        <v/>
      </c>
      <c r="BW131" s="126">
        <f>SUM(BE131:BU131)</f>
        <v/>
      </c>
      <c r="BX131" s="126">
        <f>SUM(AQ131:AU131)</f>
        <v/>
      </c>
    </row>
    <row r="132">
      <c r="B132" s="127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125" t="n"/>
      <c r="U132" s="125" t="n"/>
      <c r="V132" s="125" t="n"/>
      <c r="W132" s="125" t="n"/>
      <c r="X132" s="125" t="n"/>
      <c r="Y132" s="125" t="n"/>
      <c r="Z132" s="125" t="n"/>
      <c r="AA132" s="125" t="n"/>
      <c r="AB132" s="125" t="n"/>
      <c r="AC132" s="125" t="n"/>
      <c r="AD132" s="125" t="n"/>
      <c r="AE132" s="125" t="n"/>
      <c r="AF132" s="125" t="n"/>
      <c r="AG132" s="125" t="n"/>
      <c r="AH132" s="125" t="n"/>
      <c r="AI132" s="127">
        <f>SUM(D132:AG132,AH132)</f>
        <v/>
      </c>
      <c r="AJ132" s="126">
        <f>(SUM($D132:$Q132))/AI132</f>
        <v/>
      </c>
      <c r="AK132" s="126">
        <f>(SUM($D132:$H132))/AI132</f>
        <v/>
      </c>
      <c r="AL132" s="126">
        <f>(SUM($R132:$AH132))/AI132</f>
        <v/>
      </c>
      <c r="AM132" s="161" t="n"/>
      <c r="AN132" s="125">
        <f>YEAR(C132)</f>
        <v/>
      </c>
      <c r="AO132" s="125">
        <f>MONTH(C132)</f>
        <v/>
      </c>
      <c r="AP132" s="125">
        <f>WEEKNUM(C132,2)</f>
        <v/>
      </c>
      <c r="AQ132" s="129">
        <f>IFERROR(D132/$AI132,"")</f>
        <v/>
      </c>
      <c r="AR132" s="129">
        <f>IFERROR(E132/$AI132,"")</f>
        <v/>
      </c>
      <c r="AS132" s="129">
        <f>IFERROR(F132/$AI132,"")</f>
        <v/>
      </c>
      <c r="AT132" s="129">
        <f>IFERROR(H132/$AI132,"")</f>
        <v/>
      </c>
      <c r="AU132" s="129">
        <f>IFERROR(I132/$AI132,"")</f>
        <v/>
      </c>
      <c r="AV132" s="129">
        <f>IFERROR(J132/$AI132,"")</f>
        <v/>
      </c>
      <c r="AW132" s="129">
        <f>IFERROR(K132/$AI132,"")</f>
        <v/>
      </c>
      <c r="AX132" s="129">
        <f>IFERROR(L132/$AI132,"")</f>
        <v/>
      </c>
      <c r="AY132" s="129">
        <f>IFERROR(M132/$AI132,"")</f>
        <v/>
      </c>
      <c r="AZ132" s="129">
        <f>IFERROR(N132/$AI132,"")</f>
        <v/>
      </c>
      <c r="BA132" s="129">
        <f>IFERROR(O132/$AI132,"")</f>
        <v/>
      </c>
      <c r="BB132" s="129">
        <f>IFERROR(P132/$AI132,"")</f>
        <v/>
      </c>
      <c r="BC132" s="129">
        <f>IFERROR(AG132/$AI132,"")</f>
        <v/>
      </c>
      <c r="BD132" s="129">
        <f>IFERROR(AH132/$AI132,"")</f>
        <v/>
      </c>
      <c r="BE132" s="129">
        <f>IFERROR(R132/$AI132,"")</f>
        <v/>
      </c>
      <c r="BF132" s="129">
        <f>IFERROR(S132/$AI132,"")</f>
        <v/>
      </c>
      <c r="BG132" s="129">
        <f>IFERROR(T132/$AI132,"")</f>
        <v/>
      </c>
      <c r="BH132" s="129">
        <f>IFERROR(U132/$AI132,"")</f>
        <v/>
      </c>
      <c r="BI132" s="129">
        <f>IFERROR(V132/$AI132,"")</f>
        <v/>
      </c>
      <c r="BJ132" s="129">
        <f>IFERROR(W132/$AI132,"")</f>
        <v/>
      </c>
      <c r="BK132" s="129">
        <f>IFERROR(X132/$AI132,"")</f>
        <v/>
      </c>
      <c r="BL132" s="129">
        <f>IFERROR(Y132/$AI132,"")</f>
        <v/>
      </c>
      <c r="BM132" s="129">
        <f>IFERROR(Z132/$AI132,"")</f>
        <v/>
      </c>
      <c r="BN132" s="129">
        <f>IFERROR(AA132/$AI132,"")</f>
        <v/>
      </c>
      <c r="BO132" s="129">
        <f>IFERROR(AB132/$AI132,"")</f>
        <v/>
      </c>
      <c r="BP132" s="129">
        <f>IFERROR(AC132/$AI132,"")</f>
        <v/>
      </c>
      <c r="BQ132" s="129">
        <f>IFERROR(AD132/$AI132,"")</f>
        <v/>
      </c>
      <c r="BR132" s="129">
        <f>IFERROR(AE132/$AI132,"")</f>
        <v/>
      </c>
      <c r="BS132" s="129">
        <f>IFERROR(AF132/$AI132,"")</f>
        <v/>
      </c>
      <c r="BT132" s="129">
        <f>IFERROR(AG132/$AI132,"")</f>
        <v/>
      </c>
      <c r="BU132" s="129">
        <f>IFERROR(AH132/$AI132,"")</f>
        <v/>
      </c>
      <c r="BV132" s="126">
        <f>SUM(AQ132:BD132)</f>
        <v/>
      </c>
      <c r="BW132" s="126">
        <f>SUM(BE132:BU132)</f>
        <v/>
      </c>
      <c r="BX132" s="126">
        <f>SUM(AQ132:AU132)</f>
        <v/>
      </c>
    </row>
    <row r="133">
      <c r="B133" s="127" t="n"/>
      <c r="C133" s="125" t="n"/>
      <c r="D133" s="125" t="n"/>
      <c r="E133" s="125" t="n"/>
      <c r="F133" s="125" t="n"/>
      <c r="G133" s="125" t="n"/>
      <c r="H133" s="125" t="n"/>
      <c r="I133" s="125" t="n"/>
      <c r="J133" s="125" t="n"/>
      <c r="K133" s="125" t="n"/>
      <c r="L133" s="125" t="n"/>
      <c r="M133" s="125" t="n"/>
      <c r="N133" s="125" t="n"/>
      <c r="O133" s="125" t="n"/>
      <c r="P133" s="125" t="n"/>
      <c r="Q133" s="125" t="n"/>
      <c r="R133" s="125" t="n"/>
      <c r="S133" s="125" t="n"/>
      <c r="T133" s="125" t="n"/>
      <c r="U133" s="125" t="n"/>
      <c r="V133" s="125" t="n"/>
      <c r="W133" s="125" t="n"/>
      <c r="X133" s="125" t="n"/>
      <c r="Y133" s="125" t="n"/>
      <c r="Z133" s="125" t="n"/>
      <c r="AA133" s="125" t="n"/>
      <c r="AB133" s="125" t="n"/>
      <c r="AC133" s="125" t="n"/>
      <c r="AD133" s="125" t="n"/>
      <c r="AE133" s="125" t="n"/>
      <c r="AF133" s="125" t="n"/>
      <c r="AG133" s="125" t="n"/>
      <c r="AH133" s="125" t="n"/>
      <c r="AI133" s="127">
        <f>SUM(D133:AG133,AH133)</f>
        <v/>
      </c>
      <c r="AJ133" s="126">
        <f>(SUM($D133:$Q133))/AI133</f>
        <v/>
      </c>
      <c r="AK133" s="126">
        <f>(SUM($D133:$H133))/AI133</f>
        <v/>
      </c>
      <c r="AL133" s="126">
        <f>(SUM($R133:$AH133))/AI133</f>
        <v/>
      </c>
      <c r="AM133" s="161" t="n"/>
      <c r="AN133" s="125">
        <f>YEAR(C133)</f>
        <v/>
      </c>
      <c r="AO133" s="125">
        <f>MONTH(C133)</f>
        <v/>
      </c>
      <c r="AP133" s="125">
        <f>WEEKNUM(C133,2)</f>
        <v/>
      </c>
      <c r="AQ133" s="129">
        <f>IFERROR(D133/$AI133,"")</f>
        <v/>
      </c>
      <c r="AR133" s="129">
        <f>IFERROR(E133/$AI133,"")</f>
        <v/>
      </c>
      <c r="AS133" s="129">
        <f>IFERROR(F133/$AI133,"")</f>
        <v/>
      </c>
      <c r="AT133" s="129">
        <f>IFERROR(H133/$AI133,"")</f>
        <v/>
      </c>
      <c r="AU133" s="129">
        <f>IFERROR(I133/$AI133,"")</f>
        <v/>
      </c>
      <c r="AV133" s="129">
        <f>IFERROR(J133/$AI133,"")</f>
        <v/>
      </c>
      <c r="AW133" s="129">
        <f>IFERROR(K133/$AI133,"")</f>
        <v/>
      </c>
      <c r="AX133" s="129">
        <f>IFERROR(L133/$AI133,"")</f>
        <v/>
      </c>
      <c r="AY133" s="129">
        <f>IFERROR(M133/$AI133,"")</f>
        <v/>
      </c>
      <c r="AZ133" s="129">
        <f>IFERROR(N133/$AI133,"")</f>
        <v/>
      </c>
      <c r="BA133" s="129">
        <f>IFERROR(O133/$AI133,"")</f>
        <v/>
      </c>
      <c r="BB133" s="129">
        <f>IFERROR(P133/$AI133,"")</f>
        <v/>
      </c>
      <c r="BC133" s="129">
        <f>IFERROR(AG133/$AI133,"")</f>
        <v/>
      </c>
      <c r="BD133" s="129">
        <f>IFERROR(AH133/$AI133,"")</f>
        <v/>
      </c>
      <c r="BE133" s="129">
        <f>IFERROR(R133/$AI133,"")</f>
        <v/>
      </c>
      <c r="BF133" s="129">
        <f>IFERROR(S133/$AI133,"")</f>
        <v/>
      </c>
      <c r="BG133" s="129">
        <f>IFERROR(T133/$AI133,"")</f>
        <v/>
      </c>
      <c r="BH133" s="129">
        <f>IFERROR(U133/$AI133,"")</f>
        <v/>
      </c>
      <c r="BI133" s="129">
        <f>IFERROR(V133/$AI133,"")</f>
        <v/>
      </c>
      <c r="BJ133" s="129">
        <f>IFERROR(W133/$AI133,"")</f>
        <v/>
      </c>
      <c r="BK133" s="129">
        <f>IFERROR(X133/$AI133,"")</f>
        <v/>
      </c>
      <c r="BL133" s="129">
        <f>IFERROR(Y133/$AI133,"")</f>
        <v/>
      </c>
      <c r="BM133" s="129">
        <f>IFERROR(Z133/$AI133,"")</f>
        <v/>
      </c>
      <c r="BN133" s="129">
        <f>IFERROR(AA133/$AI133,"")</f>
        <v/>
      </c>
      <c r="BO133" s="129">
        <f>IFERROR(AB133/$AI133,"")</f>
        <v/>
      </c>
      <c r="BP133" s="129">
        <f>IFERROR(AC133/$AI133,"")</f>
        <v/>
      </c>
      <c r="BQ133" s="129">
        <f>IFERROR(AD133/$AI133,"")</f>
        <v/>
      </c>
      <c r="BR133" s="129">
        <f>IFERROR(AE133/$AI133,"")</f>
        <v/>
      </c>
      <c r="BS133" s="129">
        <f>IFERROR(AF133/$AI133,"")</f>
        <v/>
      </c>
      <c r="BT133" s="129">
        <f>IFERROR(AG133/$AI133,"")</f>
        <v/>
      </c>
      <c r="BU133" s="129">
        <f>IFERROR(AH133/$AI133,"")</f>
        <v/>
      </c>
      <c r="BV133" s="126">
        <f>SUM(AQ133:BD133)</f>
        <v/>
      </c>
      <c r="BW133" s="126">
        <f>SUM(BE133:BU133)</f>
        <v/>
      </c>
      <c r="BX133" s="126">
        <f>SUM(AQ133:AU133)</f>
        <v/>
      </c>
    </row>
    <row r="134">
      <c r="B134" s="127" t="n"/>
      <c r="C134" s="125" t="n"/>
      <c r="D134" s="125" t="n"/>
      <c r="E134" s="125" t="n"/>
      <c r="F134" s="125" t="n"/>
      <c r="G134" s="125" t="n"/>
      <c r="H134" s="125" t="n"/>
      <c r="I134" s="125" t="n"/>
      <c r="J134" s="125" t="n"/>
      <c r="K134" s="125" t="n"/>
      <c r="L134" s="125" t="n"/>
      <c r="M134" s="125" t="n"/>
      <c r="N134" s="125" t="n"/>
      <c r="O134" s="125" t="n"/>
      <c r="P134" s="125" t="n"/>
      <c r="Q134" s="125" t="n"/>
      <c r="R134" s="125" t="n"/>
      <c r="S134" s="125" t="n"/>
      <c r="T134" s="125" t="n"/>
      <c r="U134" s="125" t="n"/>
      <c r="V134" s="125" t="n"/>
      <c r="W134" s="125" t="n"/>
      <c r="X134" s="125" t="n"/>
      <c r="Y134" s="125" t="n"/>
      <c r="Z134" s="125" t="n"/>
      <c r="AA134" s="125" t="n"/>
      <c r="AB134" s="125" t="n"/>
      <c r="AC134" s="125" t="n"/>
      <c r="AD134" s="125" t="n"/>
      <c r="AE134" s="125" t="n"/>
      <c r="AF134" s="125" t="n"/>
      <c r="AG134" s="125" t="n"/>
      <c r="AH134" s="125" t="n"/>
      <c r="AI134" s="127">
        <f>SUM(D134:AG134,AH134)</f>
        <v/>
      </c>
      <c r="AJ134" s="126">
        <f>(SUM($D134:$Q134))/AI134</f>
        <v/>
      </c>
      <c r="AK134" s="126">
        <f>(SUM($D134:$H134))/AI134</f>
        <v/>
      </c>
      <c r="AL134" s="126">
        <f>(SUM($R134:$AH134))/AI134</f>
        <v/>
      </c>
      <c r="AM134" s="161" t="n"/>
      <c r="AN134" s="125">
        <f>YEAR(C134)</f>
        <v/>
      </c>
      <c r="AO134" s="125">
        <f>MONTH(C134)</f>
        <v/>
      </c>
      <c r="AP134" s="125">
        <f>WEEKNUM(C134,2)</f>
        <v/>
      </c>
      <c r="AQ134" s="129">
        <f>IFERROR(D134/$AI134,"")</f>
        <v/>
      </c>
      <c r="AR134" s="129">
        <f>IFERROR(E134/$AI134,"")</f>
        <v/>
      </c>
      <c r="AS134" s="129">
        <f>IFERROR(F134/$AI134,"")</f>
        <v/>
      </c>
      <c r="AT134" s="129">
        <f>IFERROR(H134/$AI134,"")</f>
        <v/>
      </c>
      <c r="AU134" s="129">
        <f>IFERROR(I134/$AI134,"")</f>
        <v/>
      </c>
      <c r="AV134" s="129">
        <f>IFERROR(J134/$AI134,"")</f>
        <v/>
      </c>
      <c r="AW134" s="129">
        <f>IFERROR(K134/$AI134,"")</f>
        <v/>
      </c>
      <c r="AX134" s="129">
        <f>IFERROR(L134/$AI134,"")</f>
        <v/>
      </c>
      <c r="AY134" s="129">
        <f>IFERROR(M134/$AI134,"")</f>
        <v/>
      </c>
      <c r="AZ134" s="129">
        <f>IFERROR(N134/$AI134,"")</f>
        <v/>
      </c>
      <c r="BA134" s="129">
        <f>IFERROR(O134/$AI134,"")</f>
        <v/>
      </c>
      <c r="BB134" s="129">
        <f>IFERROR(P134/$AI134,"")</f>
        <v/>
      </c>
      <c r="BC134" s="129">
        <f>IFERROR(AG134/$AI134,"")</f>
        <v/>
      </c>
      <c r="BD134" s="129">
        <f>IFERROR(AH134/$AI134,"")</f>
        <v/>
      </c>
      <c r="BE134" s="129">
        <f>IFERROR(R134/$AI134,"")</f>
        <v/>
      </c>
      <c r="BF134" s="129">
        <f>IFERROR(S134/$AI134,"")</f>
        <v/>
      </c>
      <c r="BG134" s="129">
        <f>IFERROR(T134/$AI134,"")</f>
        <v/>
      </c>
      <c r="BH134" s="129">
        <f>IFERROR(U134/$AI134,"")</f>
        <v/>
      </c>
      <c r="BI134" s="129">
        <f>IFERROR(V134/$AI134,"")</f>
        <v/>
      </c>
      <c r="BJ134" s="129">
        <f>IFERROR(W134/$AI134,"")</f>
        <v/>
      </c>
      <c r="BK134" s="129">
        <f>IFERROR(X134/$AI134,"")</f>
        <v/>
      </c>
      <c r="BL134" s="129">
        <f>IFERROR(Y134/$AI134,"")</f>
        <v/>
      </c>
      <c r="BM134" s="129">
        <f>IFERROR(Z134/$AI134,"")</f>
        <v/>
      </c>
      <c r="BN134" s="129">
        <f>IFERROR(AA134/$AI134,"")</f>
        <v/>
      </c>
      <c r="BO134" s="129">
        <f>IFERROR(AB134/$AI134,"")</f>
        <v/>
      </c>
      <c r="BP134" s="129">
        <f>IFERROR(AC134/$AI134,"")</f>
        <v/>
      </c>
      <c r="BQ134" s="129">
        <f>IFERROR(AD134/$AI134,"")</f>
        <v/>
      </c>
      <c r="BR134" s="129">
        <f>IFERROR(AE134/$AI134,"")</f>
        <v/>
      </c>
      <c r="BS134" s="129">
        <f>IFERROR(AF134/$AI134,"")</f>
        <v/>
      </c>
      <c r="BT134" s="129">
        <f>IFERROR(AG134/$AI134,"")</f>
        <v/>
      </c>
      <c r="BU134" s="129">
        <f>IFERROR(AH134/$AI134,"")</f>
        <v/>
      </c>
      <c r="BV134" s="126">
        <f>SUM(AQ134:BD134)</f>
        <v/>
      </c>
      <c r="BW134" s="126">
        <f>SUM(BE134:BU134)</f>
        <v/>
      </c>
      <c r="BX134" s="126">
        <f>SUM(AQ134:AU134)</f>
        <v/>
      </c>
    </row>
    <row r="135">
      <c r="B135" s="127" t="n"/>
      <c r="C135" s="125" t="n"/>
      <c r="D135" s="125" t="n"/>
      <c r="E135" s="125" t="n"/>
      <c r="F135" s="125" t="n"/>
      <c r="G135" s="125" t="n"/>
      <c r="H135" s="125" t="n"/>
      <c r="I135" s="125" t="n"/>
      <c r="J135" s="125" t="n"/>
      <c r="K135" s="125" t="n"/>
      <c r="L135" s="125" t="n"/>
      <c r="M135" s="125" t="n"/>
      <c r="N135" s="125" t="n"/>
      <c r="O135" s="125" t="n"/>
      <c r="P135" s="125" t="n"/>
      <c r="Q135" s="125" t="n"/>
      <c r="R135" s="125" t="n"/>
      <c r="S135" s="125" t="n"/>
      <c r="T135" s="125" t="n"/>
      <c r="U135" s="125" t="n"/>
      <c r="V135" s="125" t="n"/>
      <c r="W135" s="125" t="n"/>
      <c r="X135" s="125" t="n"/>
      <c r="Y135" s="125" t="n"/>
      <c r="Z135" s="125" t="n"/>
      <c r="AA135" s="125" t="n"/>
      <c r="AB135" s="125" t="n"/>
      <c r="AC135" s="125" t="n"/>
      <c r="AD135" s="125" t="n"/>
      <c r="AE135" s="125" t="n"/>
      <c r="AF135" s="125" t="n"/>
      <c r="AG135" s="125" t="n"/>
      <c r="AH135" s="125" t="n"/>
      <c r="AI135" s="127">
        <f>SUM(D135:AG135,AH135)</f>
        <v/>
      </c>
      <c r="AJ135" s="126">
        <f>(SUM($D135:$Q135))/AI135</f>
        <v/>
      </c>
      <c r="AK135" s="126">
        <f>(SUM($D135:$H135))/AI135</f>
        <v/>
      </c>
      <c r="AL135" s="126">
        <f>(SUM($R135:$AH135))/AI135</f>
        <v/>
      </c>
      <c r="AM135" s="161" t="n"/>
      <c r="AN135" s="125">
        <f>YEAR(C135)</f>
        <v/>
      </c>
      <c r="AO135" s="125">
        <f>MONTH(C135)</f>
        <v/>
      </c>
      <c r="AP135" s="125">
        <f>WEEKNUM(C135,2)</f>
        <v/>
      </c>
      <c r="AQ135" s="129">
        <f>IFERROR(D135/$AI135,"")</f>
        <v/>
      </c>
      <c r="AR135" s="129">
        <f>IFERROR(E135/$AI135,"")</f>
        <v/>
      </c>
      <c r="AS135" s="129">
        <f>IFERROR(F135/$AI135,"")</f>
        <v/>
      </c>
      <c r="AT135" s="129">
        <f>IFERROR(H135/$AI135,"")</f>
        <v/>
      </c>
      <c r="AU135" s="129">
        <f>IFERROR(I135/$AI135,"")</f>
        <v/>
      </c>
      <c r="AV135" s="129">
        <f>IFERROR(J135/$AI135,"")</f>
        <v/>
      </c>
      <c r="AW135" s="129">
        <f>IFERROR(K135/$AI135,"")</f>
        <v/>
      </c>
      <c r="AX135" s="129">
        <f>IFERROR(L135/$AI135,"")</f>
        <v/>
      </c>
      <c r="AY135" s="129">
        <f>IFERROR(M135/$AI135,"")</f>
        <v/>
      </c>
      <c r="AZ135" s="129">
        <f>IFERROR(N135/$AI135,"")</f>
        <v/>
      </c>
      <c r="BA135" s="129">
        <f>IFERROR(O135/$AI135,"")</f>
        <v/>
      </c>
      <c r="BB135" s="129">
        <f>IFERROR(P135/$AI135,"")</f>
        <v/>
      </c>
      <c r="BC135" s="129">
        <f>IFERROR(AG135/$AI135,"")</f>
        <v/>
      </c>
      <c r="BD135" s="129">
        <f>IFERROR(AH135/$AI135,"")</f>
        <v/>
      </c>
      <c r="BE135" s="129">
        <f>IFERROR(R135/$AI135,"")</f>
        <v/>
      </c>
      <c r="BF135" s="129">
        <f>IFERROR(S135/$AI135,"")</f>
        <v/>
      </c>
      <c r="BG135" s="129">
        <f>IFERROR(T135/$AI135,"")</f>
        <v/>
      </c>
      <c r="BH135" s="129">
        <f>IFERROR(U135/$AI135,"")</f>
        <v/>
      </c>
      <c r="BI135" s="129">
        <f>IFERROR(V135/$AI135,"")</f>
        <v/>
      </c>
      <c r="BJ135" s="129">
        <f>IFERROR(W135/$AI135,"")</f>
        <v/>
      </c>
      <c r="BK135" s="129">
        <f>IFERROR(X135/$AI135,"")</f>
        <v/>
      </c>
      <c r="BL135" s="129">
        <f>IFERROR(Y135/$AI135,"")</f>
        <v/>
      </c>
      <c r="BM135" s="129">
        <f>IFERROR(Z135/$AI135,"")</f>
        <v/>
      </c>
      <c r="BN135" s="129">
        <f>IFERROR(AA135/$AI135,"")</f>
        <v/>
      </c>
      <c r="BO135" s="129">
        <f>IFERROR(AB135/$AI135,"")</f>
        <v/>
      </c>
      <c r="BP135" s="129">
        <f>IFERROR(AC135/$AI135,"")</f>
        <v/>
      </c>
      <c r="BQ135" s="129">
        <f>IFERROR(AD135/$AI135,"")</f>
        <v/>
      </c>
      <c r="BR135" s="129">
        <f>IFERROR(AE135/$AI135,"")</f>
        <v/>
      </c>
      <c r="BS135" s="129">
        <f>IFERROR(AF135/$AI135,"")</f>
        <v/>
      </c>
      <c r="BT135" s="129">
        <f>IFERROR(AG135/$AI135,"")</f>
        <v/>
      </c>
      <c r="BU135" s="129">
        <f>IFERROR(AH135/$AI135,"")</f>
        <v/>
      </c>
      <c r="BV135" s="126">
        <f>SUM(AQ135:BD135)</f>
        <v/>
      </c>
      <c r="BW135" s="126">
        <f>SUM(BE135:BU135)</f>
        <v/>
      </c>
      <c r="BX135" s="126">
        <f>SUM(AQ135:AU135)</f>
        <v/>
      </c>
    </row>
    <row r="136">
      <c r="B136" s="127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5" t="n"/>
      <c r="U136" s="125" t="n"/>
      <c r="V136" s="125" t="n"/>
      <c r="W136" s="125" t="n"/>
      <c r="X136" s="125" t="n"/>
      <c r="Y136" s="125" t="n"/>
      <c r="Z136" s="125" t="n"/>
      <c r="AA136" s="125" t="n"/>
      <c r="AB136" s="125" t="n"/>
      <c r="AC136" s="125" t="n"/>
      <c r="AD136" s="125" t="n"/>
      <c r="AE136" s="125" t="n"/>
      <c r="AF136" s="125" t="n"/>
      <c r="AG136" s="125" t="n"/>
      <c r="AH136" s="125" t="n"/>
      <c r="AI136" s="127">
        <f>SUM(D136:AG136,AH136)</f>
        <v/>
      </c>
      <c r="AJ136" s="126">
        <f>(SUM($D136:$Q136))/AI136</f>
        <v/>
      </c>
      <c r="AK136" s="126">
        <f>(SUM($D136:$H136))/AI136</f>
        <v/>
      </c>
      <c r="AL136" s="126">
        <f>(SUM($R136:$AH136))/AI136</f>
        <v/>
      </c>
      <c r="AM136" s="161" t="n"/>
      <c r="AN136" s="125">
        <f>YEAR(C136)</f>
        <v/>
      </c>
      <c r="AO136" s="125">
        <f>MONTH(C136)</f>
        <v/>
      </c>
      <c r="AP136" s="125">
        <f>WEEKNUM(C136,2)</f>
        <v/>
      </c>
      <c r="AQ136" s="129">
        <f>IFERROR(D136/$AI136,"")</f>
        <v/>
      </c>
      <c r="AR136" s="129">
        <f>IFERROR(E136/$AI136,"")</f>
        <v/>
      </c>
      <c r="AS136" s="129">
        <f>IFERROR(F136/$AI136,"")</f>
        <v/>
      </c>
      <c r="AT136" s="129">
        <f>IFERROR(H136/$AI136,"")</f>
        <v/>
      </c>
      <c r="AU136" s="129">
        <f>IFERROR(I136/$AI136,"")</f>
        <v/>
      </c>
      <c r="AV136" s="129">
        <f>IFERROR(J136/$AI136,"")</f>
        <v/>
      </c>
      <c r="AW136" s="129">
        <f>IFERROR(K136/$AI136,"")</f>
        <v/>
      </c>
      <c r="AX136" s="129">
        <f>IFERROR(L136/$AI136,"")</f>
        <v/>
      </c>
      <c r="AY136" s="129">
        <f>IFERROR(M136/$AI136,"")</f>
        <v/>
      </c>
      <c r="AZ136" s="129">
        <f>IFERROR(N136/$AI136,"")</f>
        <v/>
      </c>
      <c r="BA136" s="129">
        <f>IFERROR(O136/$AI136,"")</f>
        <v/>
      </c>
      <c r="BB136" s="129">
        <f>IFERROR(P136/$AI136,"")</f>
        <v/>
      </c>
      <c r="BC136" s="129">
        <f>IFERROR(AG136/$AI136,"")</f>
        <v/>
      </c>
      <c r="BD136" s="129">
        <f>IFERROR(AH136/$AI136,"")</f>
        <v/>
      </c>
      <c r="BE136" s="129">
        <f>IFERROR(R136/$AI136,"")</f>
        <v/>
      </c>
      <c r="BF136" s="129">
        <f>IFERROR(S136/$AI136,"")</f>
        <v/>
      </c>
      <c r="BG136" s="129">
        <f>IFERROR(T136/$AI136,"")</f>
        <v/>
      </c>
      <c r="BH136" s="129">
        <f>IFERROR(U136/$AI136,"")</f>
        <v/>
      </c>
      <c r="BI136" s="129">
        <f>IFERROR(V136/$AI136,"")</f>
        <v/>
      </c>
      <c r="BJ136" s="129">
        <f>IFERROR(W136/$AI136,"")</f>
        <v/>
      </c>
      <c r="BK136" s="129">
        <f>IFERROR(X136/$AI136,"")</f>
        <v/>
      </c>
      <c r="BL136" s="129">
        <f>IFERROR(Y136/$AI136,"")</f>
        <v/>
      </c>
      <c r="BM136" s="129">
        <f>IFERROR(Z136/$AI136,"")</f>
        <v/>
      </c>
      <c r="BN136" s="129">
        <f>IFERROR(AA136/$AI136,"")</f>
        <v/>
      </c>
      <c r="BO136" s="129">
        <f>IFERROR(AB136/$AI136,"")</f>
        <v/>
      </c>
      <c r="BP136" s="129">
        <f>IFERROR(AC136/$AI136,"")</f>
        <v/>
      </c>
      <c r="BQ136" s="129">
        <f>IFERROR(AD136/$AI136,"")</f>
        <v/>
      </c>
      <c r="BR136" s="129">
        <f>IFERROR(AE136/$AI136,"")</f>
        <v/>
      </c>
      <c r="BS136" s="129">
        <f>IFERROR(AF136/$AI136,"")</f>
        <v/>
      </c>
      <c r="BT136" s="129">
        <f>IFERROR(AG136/$AI136,"")</f>
        <v/>
      </c>
      <c r="BU136" s="129">
        <f>IFERROR(AH136/$AI136,"")</f>
        <v/>
      </c>
      <c r="BV136" s="126">
        <f>SUM(AQ136:BD136)</f>
        <v/>
      </c>
      <c r="BW136" s="126">
        <f>SUM(BE136:BU136)</f>
        <v/>
      </c>
      <c r="BX136" s="126">
        <f>SUM(AQ136:AU136)</f>
        <v/>
      </c>
    </row>
    <row r="137">
      <c r="B137" s="127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5" t="n"/>
      <c r="U137" s="125" t="n"/>
      <c r="V137" s="125" t="n"/>
      <c r="W137" s="125" t="n"/>
      <c r="X137" s="125" t="n"/>
      <c r="Y137" s="125" t="n"/>
      <c r="Z137" s="125" t="n"/>
      <c r="AA137" s="125" t="n"/>
      <c r="AB137" s="125" t="n"/>
      <c r="AC137" s="125" t="n"/>
      <c r="AD137" s="125" t="n"/>
      <c r="AE137" s="125" t="n"/>
      <c r="AF137" s="125" t="n"/>
      <c r="AG137" s="125" t="n"/>
      <c r="AH137" s="125" t="n"/>
      <c r="AI137" s="127">
        <f>SUM(D137:AG137,AH137)</f>
        <v/>
      </c>
      <c r="AJ137" s="126">
        <f>(SUM($D137:$Q137))/AI137</f>
        <v/>
      </c>
      <c r="AK137" s="126">
        <f>(SUM($D137:$H137))/AI137</f>
        <v/>
      </c>
      <c r="AL137" s="126">
        <f>(SUM($R137:$AH137))/AI137</f>
        <v/>
      </c>
      <c r="AM137" s="161" t="n"/>
      <c r="AN137" s="125">
        <f>YEAR(C137)</f>
        <v/>
      </c>
      <c r="AO137" s="125">
        <f>MONTH(C137)</f>
        <v/>
      </c>
      <c r="AP137" s="125">
        <f>WEEKNUM(C137,2)</f>
        <v/>
      </c>
      <c r="AQ137" s="129">
        <f>IFERROR(D137/$AI137,"")</f>
        <v/>
      </c>
      <c r="AR137" s="129">
        <f>IFERROR(E137/$AI137,"")</f>
        <v/>
      </c>
      <c r="AS137" s="129">
        <f>IFERROR(F137/$AI137,"")</f>
        <v/>
      </c>
      <c r="AT137" s="129">
        <f>IFERROR(H137/$AI137,"")</f>
        <v/>
      </c>
      <c r="AU137" s="129">
        <f>IFERROR(I137/$AI137,"")</f>
        <v/>
      </c>
      <c r="AV137" s="129">
        <f>IFERROR(J137/$AI137,"")</f>
        <v/>
      </c>
      <c r="AW137" s="129">
        <f>IFERROR(K137/$AI137,"")</f>
        <v/>
      </c>
      <c r="AX137" s="129">
        <f>IFERROR(L137/$AI137,"")</f>
        <v/>
      </c>
      <c r="AY137" s="129">
        <f>IFERROR(M137/$AI137,"")</f>
        <v/>
      </c>
      <c r="AZ137" s="129">
        <f>IFERROR(N137/$AI137,"")</f>
        <v/>
      </c>
      <c r="BA137" s="129">
        <f>IFERROR(O137/$AI137,"")</f>
        <v/>
      </c>
      <c r="BB137" s="129">
        <f>IFERROR(P137/$AI137,"")</f>
        <v/>
      </c>
      <c r="BC137" s="129">
        <f>IFERROR(AG137/$AI137,"")</f>
        <v/>
      </c>
      <c r="BD137" s="129">
        <f>IFERROR(AH137/$AI137,"")</f>
        <v/>
      </c>
      <c r="BE137" s="129">
        <f>IFERROR(R137/$AI137,"")</f>
        <v/>
      </c>
      <c r="BF137" s="129">
        <f>IFERROR(S137/$AI137,"")</f>
        <v/>
      </c>
      <c r="BG137" s="129">
        <f>IFERROR(T137/$AI137,"")</f>
        <v/>
      </c>
      <c r="BH137" s="129">
        <f>IFERROR(U137/$AI137,"")</f>
        <v/>
      </c>
      <c r="BI137" s="129">
        <f>IFERROR(V137/$AI137,"")</f>
        <v/>
      </c>
      <c r="BJ137" s="129">
        <f>IFERROR(W137/$AI137,"")</f>
        <v/>
      </c>
      <c r="BK137" s="129">
        <f>IFERROR(X137/$AI137,"")</f>
        <v/>
      </c>
      <c r="BL137" s="129">
        <f>IFERROR(Y137/$AI137,"")</f>
        <v/>
      </c>
      <c r="BM137" s="129">
        <f>IFERROR(Z137/$AI137,"")</f>
        <v/>
      </c>
      <c r="BN137" s="129">
        <f>IFERROR(AA137/$AI137,"")</f>
        <v/>
      </c>
      <c r="BO137" s="129">
        <f>IFERROR(AB137/$AI137,"")</f>
        <v/>
      </c>
      <c r="BP137" s="129">
        <f>IFERROR(AC137/$AI137,"")</f>
        <v/>
      </c>
      <c r="BQ137" s="129">
        <f>IFERROR(AD137/$AI137,"")</f>
        <v/>
      </c>
      <c r="BR137" s="129">
        <f>IFERROR(AE137/$AI137,"")</f>
        <v/>
      </c>
      <c r="BS137" s="129">
        <f>IFERROR(AF137/$AI137,"")</f>
        <v/>
      </c>
      <c r="BT137" s="129">
        <f>IFERROR(AG137/$AI137,"")</f>
        <v/>
      </c>
      <c r="BU137" s="129">
        <f>IFERROR(AH137/$AI137,"")</f>
        <v/>
      </c>
      <c r="BV137" s="126">
        <f>SUM(AQ137:BD137)</f>
        <v/>
      </c>
      <c r="BW137" s="126">
        <f>SUM(BE137:BU137)</f>
        <v/>
      </c>
      <c r="BX137" s="126">
        <f>SUM(AQ137:AU137)</f>
        <v/>
      </c>
    </row>
    <row r="138">
      <c r="B138" s="127" t="n"/>
      <c r="C138" s="125" t="n"/>
      <c r="D138" s="125" t="n"/>
      <c r="E138" s="125" t="n"/>
      <c r="F138" s="125" t="n"/>
      <c r="G138" s="125" t="n"/>
      <c r="H138" s="125" t="n"/>
      <c r="I138" s="125" t="n"/>
      <c r="J138" s="125" t="n"/>
      <c r="K138" s="125" t="n"/>
      <c r="L138" s="125" t="n"/>
      <c r="M138" s="125" t="n"/>
      <c r="N138" s="125" t="n"/>
      <c r="O138" s="125" t="n"/>
      <c r="P138" s="125" t="n"/>
      <c r="Q138" s="125" t="n"/>
      <c r="R138" s="125" t="n"/>
      <c r="S138" s="125" t="n"/>
      <c r="T138" s="125" t="n"/>
      <c r="U138" s="125" t="n"/>
      <c r="V138" s="125" t="n"/>
      <c r="W138" s="125" t="n"/>
      <c r="X138" s="125" t="n"/>
      <c r="Y138" s="125" t="n"/>
      <c r="Z138" s="125" t="n"/>
      <c r="AA138" s="125" t="n"/>
      <c r="AB138" s="125" t="n"/>
      <c r="AC138" s="125" t="n"/>
      <c r="AD138" s="125" t="n"/>
      <c r="AE138" s="125" t="n"/>
      <c r="AF138" s="125" t="n"/>
      <c r="AG138" s="125" t="n"/>
      <c r="AH138" s="125" t="n"/>
      <c r="AI138" s="127">
        <f>SUM(D138:AG138,AH138)</f>
        <v/>
      </c>
      <c r="AJ138" s="126">
        <f>(SUM($D138:$Q138))/AI138</f>
        <v/>
      </c>
      <c r="AK138" s="126">
        <f>(SUM($D138:$H138))/AI138</f>
        <v/>
      </c>
      <c r="AL138" s="126">
        <f>(SUM($R138:$AH138))/AI138</f>
        <v/>
      </c>
      <c r="AM138" s="161" t="n"/>
      <c r="AN138" s="125">
        <f>YEAR(C138)</f>
        <v/>
      </c>
      <c r="AO138" s="125">
        <f>MONTH(C138)</f>
        <v/>
      </c>
      <c r="AP138" s="125">
        <f>WEEKNUM(C138,2)</f>
        <v/>
      </c>
      <c r="AQ138" s="129">
        <f>IFERROR(D138/$AI138,"")</f>
        <v/>
      </c>
      <c r="AR138" s="129">
        <f>IFERROR(E138/$AI138,"")</f>
        <v/>
      </c>
      <c r="AS138" s="129">
        <f>IFERROR(F138/$AI138,"")</f>
        <v/>
      </c>
      <c r="AT138" s="129">
        <f>IFERROR(H138/$AI138,"")</f>
        <v/>
      </c>
      <c r="AU138" s="129">
        <f>IFERROR(I138/$AI138,"")</f>
        <v/>
      </c>
      <c r="AV138" s="129">
        <f>IFERROR(J138/$AI138,"")</f>
        <v/>
      </c>
      <c r="AW138" s="129">
        <f>IFERROR(K138/$AI138,"")</f>
        <v/>
      </c>
      <c r="AX138" s="129">
        <f>IFERROR(L138/$AI138,"")</f>
        <v/>
      </c>
      <c r="AY138" s="129">
        <f>IFERROR(M138/$AI138,"")</f>
        <v/>
      </c>
      <c r="AZ138" s="129">
        <f>IFERROR(N138/$AI138,"")</f>
        <v/>
      </c>
      <c r="BA138" s="129">
        <f>IFERROR(O138/$AI138,"")</f>
        <v/>
      </c>
      <c r="BB138" s="129">
        <f>IFERROR(P138/$AI138,"")</f>
        <v/>
      </c>
      <c r="BC138" s="129">
        <f>IFERROR(AG138/$AI138,"")</f>
        <v/>
      </c>
      <c r="BD138" s="129">
        <f>IFERROR(AH138/$AI138,"")</f>
        <v/>
      </c>
      <c r="BE138" s="129">
        <f>IFERROR(R138/$AI138,"")</f>
        <v/>
      </c>
      <c r="BF138" s="129">
        <f>IFERROR(S138/$AI138,"")</f>
        <v/>
      </c>
      <c r="BG138" s="129">
        <f>IFERROR(T138/$AI138,"")</f>
        <v/>
      </c>
      <c r="BH138" s="129">
        <f>IFERROR(U138/$AI138,"")</f>
        <v/>
      </c>
      <c r="BI138" s="129">
        <f>IFERROR(V138/$AI138,"")</f>
        <v/>
      </c>
      <c r="BJ138" s="129">
        <f>IFERROR(W138/$AI138,"")</f>
        <v/>
      </c>
      <c r="BK138" s="129">
        <f>IFERROR(X138/$AI138,"")</f>
        <v/>
      </c>
      <c r="BL138" s="129">
        <f>IFERROR(Y138/$AI138,"")</f>
        <v/>
      </c>
      <c r="BM138" s="129">
        <f>IFERROR(Z138/$AI138,"")</f>
        <v/>
      </c>
      <c r="BN138" s="129">
        <f>IFERROR(AA138/$AI138,"")</f>
        <v/>
      </c>
      <c r="BO138" s="129">
        <f>IFERROR(AB138/$AI138,"")</f>
        <v/>
      </c>
      <c r="BP138" s="129">
        <f>IFERROR(AC138/$AI138,"")</f>
        <v/>
      </c>
      <c r="BQ138" s="129">
        <f>IFERROR(AD138/$AI138,"")</f>
        <v/>
      </c>
      <c r="BR138" s="129">
        <f>IFERROR(AE138/$AI138,"")</f>
        <v/>
      </c>
      <c r="BS138" s="129">
        <f>IFERROR(AF138/$AI138,"")</f>
        <v/>
      </c>
      <c r="BT138" s="129">
        <f>IFERROR(AG138/$AI138,"")</f>
        <v/>
      </c>
      <c r="BU138" s="129">
        <f>IFERROR(AH138/$AI138,"")</f>
        <v/>
      </c>
      <c r="BV138" s="126">
        <f>SUM(AQ138:BD138)</f>
        <v/>
      </c>
      <c r="BW138" s="126">
        <f>SUM(BE138:BU138)</f>
        <v/>
      </c>
      <c r="BX138" s="126">
        <f>SUM(AQ138:AU138)</f>
        <v/>
      </c>
    </row>
    <row r="139">
      <c r="B139" s="127" t="n"/>
      <c r="C139" s="125" t="n"/>
      <c r="D139" s="125" t="n"/>
      <c r="E139" s="125" t="n"/>
      <c r="F139" s="125" t="n"/>
      <c r="G139" s="125" t="n"/>
      <c r="H139" s="125" t="n"/>
      <c r="I139" s="125" t="n"/>
      <c r="J139" s="125" t="n"/>
      <c r="K139" s="125" t="n"/>
      <c r="L139" s="125" t="n"/>
      <c r="M139" s="125" t="n"/>
      <c r="N139" s="125" t="n"/>
      <c r="O139" s="125" t="n"/>
      <c r="P139" s="125" t="n"/>
      <c r="Q139" s="125" t="n"/>
      <c r="R139" s="125" t="n"/>
      <c r="S139" s="125" t="n"/>
      <c r="T139" s="125" t="n"/>
      <c r="U139" s="125" t="n"/>
      <c r="V139" s="125" t="n"/>
      <c r="W139" s="125" t="n"/>
      <c r="X139" s="125" t="n"/>
      <c r="Y139" s="125" t="n"/>
      <c r="Z139" s="125" t="n"/>
      <c r="AA139" s="125" t="n"/>
      <c r="AB139" s="125" t="n"/>
      <c r="AC139" s="125" t="n"/>
      <c r="AD139" s="125" t="n"/>
      <c r="AE139" s="125" t="n"/>
      <c r="AF139" s="125" t="n"/>
      <c r="AG139" s="125" t="n"/>
      <c r="AH139" s="125" t="n"/>
      <c r="AI139" s="127">
        <f>SUM(D139:AG139,AH139)</f>
        <v/>
      </c>
      <c r="AJ139" s="126">
        <f>(SUM($D139:$Q139))/AI139</f>
        <v/>
      </c>
      <c r="AK139" s="126">
        <f>(SUM($D139:$H139))/AI139</f>
        <v/>
      </c>
      <c r="AL139" s="126">
        <f>(SUM($R139:$AH139))/AI139</f>
        <v/>
      </c>
      <c r="AM139" s="161" t="n"/>
      <c r="AN139" s="125">
        <f>YEAR(C139)</f>
        <v/>
      </c>
      <c r="AO139" s="125">
        <f>MONTH(C139)</f>
        <v/>
      </c>
      <c r="AP139" s="125">
        <f>WEEKNUM(C139,2)</f>
        <v/>
      </c>
      <c r="AQ139" s="129">
        <f>IFERROR(D139/$AI139,"")</f>
        <v/>
      </c>
      <c r="AR139" s="129">
        <f>IFERROR(E139/$AI139,"")</f>
        <v/>
      </c>
      <c r="AS139" s="129">
        <f>IFERROR(F139/$AI139,"")</f>
        <v/>
      </c>
      <c r="AT139" s="129">
        <f>IFERROR(H139/$AI139,"")</f>
        <v/>
      </c>
      <c r="AU139" s="129">
        <f>IFERROR(I139/$AI139,"")</f>
        <v/>
      </c>
      <c r="AV139" s="129">
        <f>IFERROR(J139/$AI139,"")</f>
        <v/>
      </c>
      <c r="AW139" s="129">
        <f>IFERROR(K139/$AI139,"")</f>
        <v/>
      </c>
      <c r="AX139" s="129">
        <f>IFERROR(L139/$AI139,"")</f>
        <v/>
      </c>
      <c r="AY139" s="129">
        <f>IFERROR(M139/$AI139,"")</f>
        <v/>
      </c>
      <c r="AZ139" s="129">
        <f>IFERROR(N139/$AI139,"")</f>
        <v/>
      </c>
      <c r="BA139" s="129">
        <f>IFERROR(O139/$AI139,"")</f>
        <v/>
      </c>
      <c r="BB139" s="129">
        <f>IFERROR(P139/$AI139,"")</f>
        <v/>
      </c>
      <c r="BC139" s="129">
        <f>IFERROR(AG139/$AI139,"")</f>
        <v/>
      </c>
      <c r="BD139" s="129">
        <f>IFERROR(AH139/$AI139,"")</f>
        <v/>
      </c>
      <c r="BE139" s="129">
        <f>IFERROR(R139/$AI139,"")</f>
        <v/>
      </c>
      <c r="BF139" s="129">
        <f>IFERROR(S139/$AI139,"")</f>
        <v/>
      </c>
      <c r="BG139" s="129">
        <f>IFERROR(T139/$AI139,"")</f>
        <v/>
      </c>
      <c r="BH139" s="129">
        <f>IFERROR(U139/$AI139,"")</f>
        <v/>
      </c>
      <c r="BI139" s="129">
        <f>IFERROR(V139/$AI139,"")</f>
        <v/>
      </c>
      <c r="BJ139" s="129">
        <f>IFERROR(W139/$AI139,"")</f>
        <v/>
      </c>
      <c r="BK139" s="129">
        <f>IFERROR(X139/$AI139,"")</f>
        <v/>
      </c>
      <c r="BL139" s="129">
        <f>IFERROR(Y139/$AI139,"")</f>
        <v/>
      </c>
      <c r="BM139" s="129">
        <f>IFERROR(Z139/$AI139,"")</f>
        <v/>
      </c>
      <c r="BN139" s="129">
        <f>IFERROR(AA139/$AI139,"")</f>
        <v/>
      </c>
      <c r="BO139" s="129">
        <f>IFERROR(AB139/$AI139,"")</f>
        <v/>
      </c>
      <c r="BP139" s="129">
        <f>IFERROR(AC139/$AI139,"")</f>
        <v/>
      </c>
      <c r="BQ139" s="129">
        <f>IFERROR(AD139/$AI139,"")</f>
        <v/>
      </c>
      <c r="BR139" s="129">
        <f>IFERROR(AE139/$AI139,"")</f>
        <v/>
      </c>
      <c r="BS139" s="129">
        <f>IFERROR(AF139/$AI139,"")</f>
        <v/>
      </c>
      <c r="BT139" s="129">
        <f>IFERROR(AG139/$AI139,"")</f>
        <v/>
      </c>
      <c r="BU139" s="129">
        <f>IFERROR(AH139/$AI139,"")</f>
        <v/>
      </c>
      <c r="BV139" s="126">
        <f>SUM(AQ139:BD139)</f>
        <v/>
      </c>
      <c r="BW139" s="126">
        <f>SUM(BE139:BU139)</f>
        <v/>
      </c>
      <c r="BX139" s="126">
        <f>SUM(AQ139:AU139)</f>
        <v/>
      </c>
    </row>
    <row r="140">
      <c r="B140" s="127" t="n"/>
      <c r="C140" s="125" t="n"/>
      <c r="D140" s="125" t="n"/>
      <c r="E140" s="125" t="n"/>
      <c r="F140" s="125" t="n"/>
      <c r="G140" s="125" t="n"/>
      <c r="H140" s="125" t="n"/>
      <c r="I140" s="125" t="n"/>
      <c r="J140" s="125" t="n"/>
      <c r="K140" s="125" t="n"/>
      <c r="L140" s="125" t="n"/>
      <c r="M140" s="125" t="n"/>
      <c r="N140" s="125" t="n"/>
      <c r="O140" s="125" t="n"/>
      <c r="P140" s="125" t="n"/>
      <c r="Q140" s="125" t="n"/>
      <c r="R140" s="125" t="n"/>
      <c r="S140" s="125" t="n"/>
      <c r="T140" s="125" t="n"/>
      <c r="U140" s="125" t="n"/>
      <c r="V140" s="125" t="n"/>
      <c r="W140" s="125" t="n"/>
      <c r="X140" s="125" t="n"/>
      <c r="Y140" s="125" t="n"/>
      <c r="Z140" s="125" t="n"/>
      <c r="AA140" s="125" t="n"/>
      <c r="AB140" s="125" t="n"/>
      <c r="AC140" s="125" t="n"/>
      <c r="AD140" s="125" t="n"/>
      <c r="AE140" s="125" t="n"/>
      <c r="AF140" s="125" t="n"/>
      <c r="AG140" s="125" t="n"/>
      <c r="AH140" s="125" t="n"/>
      <c r="AI140" s="127">
        <f>SUM(D140:AG140,AH140)</f>
        <v/>
      </c>
      <c r="AJ140" s="126">
        <f>(SUM($D140:$Q140))/AI140</f>
        <v/>
      </c>
      <c r="AK140" s="126">
        <f>(SUM($D140:$H140))/AI140</f>
        <v/>
      </c>
      <c r="AL140" s="126">
        <f>(SUM($R140:$AH140))/AI140</f>
        <v/>
      </c>
      <c r="AM140" s="161" t="n"/>
      <c r="AN140" s="125">
        <f>YEAR(C140)</f>
        <v/>
      </c>
      <c r="AO140" s="125">
        <f>MONTH(C140)</f>
        <v/>
      </c>
      <c r="AP140" s="125">
        <f>WEEKNUM(C140,2)</f>
        <v/>
      </c>
      <c r="AQ140" s="129">
        <f>IFERROR(D140/$AI140,"")</f>
        <v/>
      </c>
      <c r="AR140" s="129">
        <f>IFERROR(E140/$AI140,"")</f>
        <v/>
      </c>
      <c r="AS140" s="129">
        <f>IFERROR(F140/$AI140,"")</f>
        <v/>
      </c>
      <c r="AT140" s="129">
        <f>IFERROR(H140/$AI140,"")</f>
        <v/>
      </c>
      <c r="AU140" s="129">
        <f>IFERROR(I140/$AI140,"")</f>
        <v/>
      </c>
      <c r="AV140" s="129">
        <f>IFERROR(J140/$AI140,"")</f>
        <v/>
      </c>
      <c r="AW140" s="129">
        <f>IFERROR(K140/$AI140,"")</f>
        <v/>
      </c>
      <c r="AX140" s="129">
        <f>IFERROR(L140/$AI140,"")</f>
        <v/>
      </c>
      <c r="AY140" s="129">
        <f>IFERROR(M140/$AI140,"")</f>
        <v/>
      </c>
      <c r="AZ140" s="129">
        <f>IFERROR(N140/$AI140,"")</f>
        <v/>
      </c>
      <c r="BA140" s="129">
        <f>IFERROR(O140/$AI140,"")</f>
        <v/>
      </c>
      <c r="BB140" s="129">
        <f>IFERROR(P140/$AI140,"")</f>
        <v/>
      </c>
      <c r="BC140" s="129">
        <f>IFERROR(AG140/$AI140,"")</f>
        <v/>
      </c>
      <c r="BD140" s="129">
        <f>IFERROR(AH140/$AI140,"")</f>
        <v/>
      </c>
      <c r="BE140" s="129">
        <f>IFERROR(R140/$AI140,"")</f>
        <v/>
      </c>
      <c r="BF140" s="129">
        <f>IFERROR(S140/$AI140,"")</f>
        <v/>
      </c>
      <c r="BG140" s="129">
        <f>IFERROR(T140/$AI140,"")</f>
        <v/>
      </c>
      <c r="BH140" s="129">
        <f>IFERROR(U140/$AI140,"")</f>
        <v/>
      </c>
      <c r="BI140" s="129">
        <f>IFERROR(V140/$AI140,"")</f>
        <v/>
      </c>
      <c r="BJ140" s="129">
        <f>IFERROR(W140/$AI140,"")</f>
        <v/>
      </c>
      <c r="BK140" s="129">
        <f>IFERROR(X140/$AI140,"")</f>
        <v/>
      </c>
      <c r="BL140" s="129">
        <f>IFERROR(Y140/$AI140,"")</f>
        <v/>
      </c>
      <c r="BM140" s="129">
        <f>IFERROR(Z140/$AI140,"")</f>
        <v/>
      </c>
      <c r="BN140" s="129">
        <f>IFERROR(AA140/$AI140,"")</f>
        <v/>
      </c>
      <c r="BO140" s="129">
        <f>IFERROR(AB140/$AI140,"")</f>
        <v/>
      </c>
      <c r="BP140" s="129">
        <f>IFERROR(AC140/$AI140,"")</f>
        <v/>
      </c>
      <c r="BQ140" s="129">
        <f>IFERROR(AD140/$AI140,"")</f>
        <v/>
      </c>
      <c r="BR140" s="129">
        <f>IFERROR(AE140/$AI140,"")</f>
        <v/>
      </c>
      <c r="BS140" s="129">
        <f>IFERROR(AF140/$AI140,"")</f>
        <v/>
      </c>
      <c r="BT140" s="129">
        <f>IFERROR(AG140/$AI140,"")</f>
        <v/>
      </c>
      <c r="BU140" s="129">
        <f>IFERROR(AH140/$AI140,"")</f>
        <v/>
      </c>
      <c r="BV140" s="126">
        <f>SUM(AQ140:BD140)</f>
        <v/>
      </c>
      <c r="BW140" s="126">
        <f>SUM(BE140:BU140)</f>
        <v/>
      </c>
      <c r="BX140" s="126">
        <f>SUM(AQ140:AU140)</f>
        <v/>
      </c>
    </row>
    <row r="141">
      <c r="B141" s="127" t="n"/>
      <c r="C141" s="125" t="n"/>
      <c r="D141" s="125" t="n"/>
      <c r="E141" s="125" t="n"/>
      <c r="F141" s="125" t="n"/>
      <c r="G141" s="125" t="n"/>
      <c r="H141" s="125" t="n"/>
      <c r="I141" s="125" t="n"/>
      <c r="J141" s="125" t="n"/>
      <c r="K141" s="125" t="n"/>
      <c r="L141" s="125" t="n"/>
      <c r="M141" s="125" t="n"/>
      <c r="N141" s="125" t="n"/>
      <c r="O141" s="125" t="n"/>
      <c r="P141" s="125" t="n"/>
      <c r="Q141" s="125" t="n"/>
      <c r="R141" s="125" t="n"/>
      <c r="S141" s="125" t="n"/>
      <c r="T141" s="125" t="n"/>
      <c r="U141" s="125" t="n"/>
      <c r="V141" s="125" t="n"/>
      <c r="W141" s="125" t="n"/>
      <c r="X141" s="125" t="n"/>
      <c r="Y141" s="125" t="n"/>
      <c r="Z141" s="125" t="n"/>
      <c r="AA141" s="125" t="n"/>
      <c r="AB141" s="125" t="n"/>
      <c r="AC141" s="125" t="n"/>
      <c r="AD141" s="125" t="n"/>
      <c r="AE141" s="125" t="n"/>
      <c r="AF141" s="125" t="n"/>
      <c r="AG141" s="125" t="n"/>
      <c r="AH141" s="125" t="n"/>
      <c r="AI141" s="127">
        <f>SUM(D141:AG141,AH141)</f>
        <v/>
      </c>
      <c r="AJ141" s="126">
        <f>(SUM($D141:$Q141))/AI141</f>
        <v/>
      </c>
      <c r="AK141" s="126">
        <f>(SUM($D141:$H141))/AI141</f>
        <v/>
      </c>
      <c r="AL141" s="126">
        <f>(SUM($R141:$AH141))/AI141</f>
        <v/>
      </c>
      <c r="AM141" s="161" t="n"/>
      <c r="AN141" s="125">
        <f>YEAR(C141)</f>
        <v/>
      </c>
      <c r="AO141" s="125">
        <f>MONTH(C141)</f>
        <v/>
      </c>
      <c r="AP141" s="125">
        <f>WEEKNUM(C141,2)</f>
        <v/>
      </c>
      <c r="AQ141" s="129">
        <f>IFERROR(D141/$AI141,"")</f>
        <v/>
      </c>
      <c r="AR141" s="129">
        <f>IFERROR(E141/$AI141,"")</f>
        <v/>
      </c>
      <c r="AS141" s="129">
        <f>IFERROR(F141/$AI141,"")</f>
        <v/>
      </c>
      <c r="AT141" s="129">
        <f>IFERROR(H141/$AI141,"")</f>
        <v/>
      </c>
      <c r="AU141" s="129">
        <f>IFERROR(I141/$AI141,"")</f>
        <v/>
      </c>
      <c r="AV141" s="129">
        <f>IFERROR(J141/$AI141,"")</f>
        <v/>
      </c>
      <c r="AW141" s="129">
        <f>IFERROR(K141/$AI141,"")</f>
        <v/>
      </c>
      <c r="AX141" s="129">
        <f>IFERROR(L141/$AI141,"")</f>
        <v/>
      </c>
      <c r="AY141" s="129">
        <f>IFERROR(M141/$AI141,"")</f>
        <v/>
      </c>
      <c r="AZ141" s="129">
        <f>IFERROR(N141/$AI141,"")</f>
        <v/>
      </c>
      <c r="BA141" s="129">
        <f>IFERROR(O141/$AI141,"")</f>
        <v/>
      </c>
      <c r="BB141" s="129">
        <f>IFERROR(P141/$AI141,"")</f>
        <v/>
      </c>
      <c r="BC141" s="129">
        <f>IFERROR(AG141/$AI141,"")</f>
        <v/>
      </c>
      <c r="BD141" s="129">
        <f>IFERROR(AH141/$AI141,"")</f>
        <v/>
      </c>
      <c r="BE141" s="129">
        <f>IFERROR(R141/$AI141,"")</f>
        <v/>
      </c>
      <c r="BF141" s="129">
        <f>IFERROR(S141/$AI141,"")</f>
        <v/>
      </c>
      <c r="BG141" s="129">
        <f>IFERROR(T141/$AI141,"")</f>
        <v/>
      </c>
      <c r="BH141" s="129">
        <f>IFERROR(U141/$AI141,"")</f>
        <v/>
      </c>
      <c r="BI141" s="129">
        <f>IFERROR(V141/$AI141,"")</f>
        <v/>
      </c>
      <c r="BJ141" s="129">
        <f>IFERROR(W141/$AI141,"")</f>
        <v/>
      </c>
      <c r="BK141" s="129">
        <f>IFERROR(X141/$AI141,"")</f>
        <v/>
      </c>
      <c r="BL141" s="129">
        <f>IFERROR(Y141/$AI141,"")</f>
        <v/>
      </c>
      <c r="BM141" s="129">
        <f>IFERROR(Z141/$AI141,"")</f>
        <v/>
      </c>
      <c r="BN141" s="129">
        <f>IFERROR(AA141/$AI141,"")</f>
        <v/>
      </c>
      <c r="BO141" s="129">
        <f>IFERROR(AB141/$AI141,"")</f>
        <v/>
      </c>
      <c r="BP141" s="129">
        <f>IFERROR(AC141/$AI141,"")</f>
        <v/>
      </c>
      <c r="BQ141" s="129">
        <f>IFERROR(AD141/$AI141,"")</f>
        <v/>
      </c>
      <c r="BR141" s="129">
        <f>IFERROR(AE141/$AI141,"")</f>
        <v/>
      </c>
      <c r="BS141" s="129">
        <f>IFERROR(AF141/$AI141,"")</f>
        <v/>
      </c>
      <c r="BT141" s="129">
        <f>IFERROR(AG141/$AI141,"")</f>
        <v/>
      </c>
      <c r="BU141" s="129">
        <f>IFERROR(AH141/$AI141,"")</f>
        <v/>
      </c>
      <c r="BV141" s="126">
        <f>SUM(AQ141:BD141)</f>
        <v/>
      </c>
      <c r="BW141" s="126">
        <f>SUM(BE141:BU141)</f>
        <v/>
      </c>
      <c r="BX141" s="126">
        <f>SUM(AQ141:AU141)</f>
        <v/>
      </c>
    </row>
    <row r="142">
      <c r="B142" s="127" t="n"/>
      <c r="C142" s="125" t="n"/>
      <c r="D142" s="125" t="n"/>
      <c r="E142" s="125" t="n"/>
      <c r="F142" s="125" t="n"/>
      <c r="G142" s="125" t="n"/>
      <c r="H142" s="125" t="n"/>
      <c r="I142" s="125" t="n"/>
      <c r="J142" s="125" t="n"/>
      <c r="K142" s="125" t="n"/>
      <c r="L142" s="125" t="n"/>
      <c r="M142" s="125" t="n"/>
      <c r="N142" s="125" t="n"/>
      <c r="O142" s="125" t="n"/>
      <c r="P142" s="125" t="n"/>
      <c r="Q142" s="125" t="n"/>
      <c r="R142" s="125" t="n"/>
      <c r="S142" s="125" t="n"/>
      <c r="T142" s="125" t="n"/>
      <c r="U142" s="125" t="n"/>
      <c r="V142" s="125" t="n"/>
      <c r="W142" s="125" t="n"/>
      <c r="X142" s="125" t="n"/>
      <c r="Y142" s="125" t="n"/>
      <c r="Z142" s="125" t="n"/>
      <c r="AA142" s="125" t="n"/>
      <c r="AB142" s="125" t="n"/>
      <c r="AC142" s="125" t="n"/>
      <c r="AD142" s="125" t="n"/>
      <c r="AE142" s="125" t="n"/>
      <c r="AF142" s="125" t="n"/>
      <c r="AG142" s="125" t="n"/>
      <c r="AH142" s="125" t="n"/>
      <c r="AI142" s="127">
        <f>SUM(D142:AG142,AH142)</f>
        <v/>
      </c>
      <c r="AJ142" s="126">
        <f>(SUM($D142:$Q142))/AI142</f>
        <v/>
      </c>
      <c r="AK142" s="126">
        <f>(SUM($D142:$H142))/AI142</f>
        <v/>
      </c>
      <c r="AL142" s="126">
        <f>(SUM($R142:$AH142))/AI142</f>
        <v/>
      </c>
      <c r="AM142" s="161" t="n"/>
      <c r="AN142" s="125">
        <f>YEAR(C142)</f>
        <v/>
      </c>
      <c r="AO142" s="125">
        <f>MONTH(C142)</f>
        <v/>
      </c>
      <c r="AP142" s="125">
        <f>WEEKNUM(C142,2)</f>
        <v/>
      </c>
      <c r="AQ142" s="129">
        <f>IFERROR(D142/$AI142,"")</f>
        <v/>
      </c>
      <c r="AR142" s="129">
        <f>IFERROR(E142/$AI142,"")</f>
        <v/>
      </c>
      <c r="AS142" s="129">
        <f>IFERROR(F142/$AI142,"")</f>
        <v/>
      </c>
      <c r="AT142" s="129">
        <f>IFERROR(H142/$AI142,"")</f>
        <v/>
      </c>
      <c r="AU142" s="129">
        <f>IFERROR(I142/$AI142,"")</f>
        <v/>
      </c>
      <c r="AV142" s="129">
        <f>IFERROR(J142/$AI142,"")</f>
        <v/>
      </c>
      <c r="AW142" s="129">
        <f>IFERROR(K142/$AI142,"")</f>
        <v/>
      </c>
      <c r="AX142" s="129">
        <f>IFERROR(L142/$AI142,"")</f>
        <v/>
      </c>
      <c r="AY142" s="129">
        <f>IFERROR(M142/$AI142,"")</f>
        <v/>
      </c>
      <c r="AZ142" s="129">
        <f>IFERROR(N142/$AI142,"")</f>
        <v/>
      </c>
      <c r="BA142" s="129">
        <f>IFERROR(O142/$AI142,"")</f>
        <v/>
      </c>
      <c r="BB142" s="129">
        <f>IFERROR(P142/$AI142,"")</f>
        <v/>
      </c>
      <c r="BC142" s="129">
        <f>IFERROR(AG142/$AI142,"")</f>
        <v/>
      </c>
      <c r="BD142" s="129">
        <f>IFERROR(AH142/$AI142,"")</f>
        <v/>
      </c>
      <c r="BE142" s="129">
        <f>IFERROR(R142/$AI142,"")</f>
        <v/>
      </c>
      <c r="BF142" s="129">
        <f>IFERROR(S142/$AI142,"")</f>
        <v/>
      </c>
      <c r="BG142" s="129">
        <f>IFERROR(T142/$AI142,"")</f>
        <v/>
      </c>
      <c r="BH142" s="129">
        <f>IFERROR(U142/$AI142,"")</f>
        <v/>
      </c>
      <c r="BI142" s="129">
        <f>IFERROR(V142/$AI142,"")</f>
        <v/>
      </c>
      <c r="BJ142" s="129">
        <f>IFERROR(W142/$AI142,"")</f>
        <v/>
      </c>
      <c r="BK142" s="129">
        <f>IFERROR(X142/$AI142,"")</f>
        <v/>
      </c>
      <c r="BL142" s="129">
        <f>IFERROR(Y142/$AI142,"")</f>
        <v/>
      </c>
      <c r="BM142" s="129">
        <f>IFERROR(Z142/$AI142,"")</f>
        <v/>
      </c>
      <c r="BN142" s="129">
        <f>IFERROR(AA142/$AI142,"")</f>
        <v/>
      </c>
      <c r="BO142" s="129">
        <f>IFERROR(AB142/$AI142,"")</f>
        <v/>
      </c>
      <c r="BP142" s="129">
        <f>IFERROR(AC142/$AI142,"")</f>
        <v/>
      </c>
      <c r="BQ142" s="129">
        <f>IFERROR(AD142/$AI142,"")</f>
        <v/>
      </c>
      <c r="BR142" s="129">
        <f>IFERROR(AE142/$AI142,"")</f>
        <v/>
      </c>
      <c r="BS142" s="129">
        <f>IFERROR(AF142/$AI142,"")</f>
        <v/>
      </c>
      <c r="BT142" s="129">
        <f>IFERROR(AG142/$AI142,"")</f>
        <v/>
      </c>
      <c r="BU142" s="129">
        <f>IFERROR(AH142/$AI142,"")</f>
        <v/>
      </c>
      <c r="BV142" s="126">
        <f>SUM(AQ142:BD142)</f>
        <v/>
      </c>
      <c r="BW142" s="126">
        <f>SUM(BE142:BU142)</f>
        <v/>
      </c>
      <c r="BX142" s="126">
        <f>SUM(AQ142:AU142)</f>
        <v/>
      </c>
    </row>
    <row r="143">
      <c r="B143" s="127" t="n"/>
      <c r="C143" s="125" t="n"/>
      <c r="D143" s="125" t="n"/>
      <c r="E143" s="125" t="n"/>
      <c r="F143" s="125" t="n"/>
      <c r="G143" s="125" t="n"/>
      <c r="H143" s="125" t="n"/>
      <c r="I143" s="125" t="n"/>
      <c r="J143" s="125" t="n"/>
      <c r="K143" s="125" t="n"/>
      <c r="L143" s="125" t="n"/>
      <c r="M143" s="125" t="n"/>
      <c r="N143" s="125" t="n"/>
      <c r="O143" s="125" t="n"/>
      <c r="P143" s="125" t="n"/>
      <c r="Q143" s="125" t="n"/>
      <c r="R143" s="125" t="n"/>
      <c r="S143" s="125" t="n"/>
      <c r="T143" s="125" t="n"/>
      <c r="U143" s="125" t="n"/>
      <c r="V143" s="125" t="n"/>
      <c r="W143" s="125" t="n"/>
      <c r="X143" s="125" t="n"/>
      <c r="Y143" s="125" t="n"/>
      <c r="Z143" s="125" t="n"/>
      <c r="AA143" s="125" t="n"/>
      <c r="AB143" s="125" t="n"/>
      <c r="AC143" s="125" t="n"/>
      <c r="AD143" s="125" t="n"/>
      <c r="AE143" s="125" t="n"/>
      <c r="AF143" s="125" t="n"/>
      <c r="AG143" s="125" t="n"/>
      <c r="AH143" s="125" t="n"/>
      <c r="AI143" s="127">
        <f>SUM(D143:AG143,AH143)</f>
        <v/>
      </c>
      <c r="AJ143" s="126">
        <f>(SUM($D143:$Q143))/AI143</f>
        <v/>
      </c>
      <c r="AK143" s="126">
        <f>(SUM($D143:$H143))/AI143</f>
        <v/>
      </c>
      <c r="AL143" s="126">
        <f>(SUM($R143:$AH143))/AI143</f>
        <v/>
      </c>
      <c r="AM143" s="161" t="n"/>
      <c r="AN143" s="125">
        <f>YEAR(C143)</f>
        <v/>
      </c>
      <c r="AO143" s="125">
        <f>MONTH(C143)</f>
        <v/>
      </c>
      <c r="AP143" s="125">
        <f>WEEKNUM(C143,2)</f>
        <v/>
      </c>
      <c r="AQ143" s="129">
        <f>IFERROR(D143/$AI143,"")</f>
        <v/>
      </c>
      <c r="AR143" s="129">
        <f>IFERROR(E143/$AI143,"")</f>
        <v/>
      </c>
      <c r="AS143" s="129">
        <f>IFERROR(F143/$AI143,"")</f>
        <v/>
      </c>
      <c r="AT143" s="129">
        <f>IFERROR(H143/$AI143,"")</f>
        <v/>
      </c>
      <c r="AU143" s="129">
        <f>IFERROR(I143/$AI143,"")</f>
        <v/>
      </c>
      <c r="AV143" s="129">
        <f>IFERROR(J143/$AI143,"")</f>
        <v/>
      </c>
      <c r="AW143" s="129">
        <f>IFERROR(K143/$AI143,"")</f>
        <v/>
      </c>
      <c r="AX143" s="129">
        <f>IFERROR(L143/$AI143,"")</f>
        <v/>
      </c>
      <c r="AY143" s="129">
        <f>IFERROR(M143/$AI143,"")</f>
        <v/>
      </c>
      <c r="AZ143" s="129">
        <f>IFERROR(N143/$AI143,"")</f>
        <v/>
      </c>
      <c r="BA143" s="129">
        <f>IFERROR(O143/$AI143,"")</f>
        <v/>
      </c>
      <c r="BB143" s="129">
        <f>IFERROR(P143/$AI143,"")</f>
        <v/>
      </c>
      <c r="BC143" s="129">
        <f>IFERROR(AG143/$AI143,"")</f>
        <v/>
      </c>
      <c r="BD143" s="129">
        <f>IFERROR(AH143/$AI143,"")</f>
        <v/>
      </c>
      <c r="BE143" s="129">
        <f>IFERROR(R143/$AI143,"")</f>
        <v/>
      </c>
      <c r="BF143" s="129">
        <f>IFERROR(S143/$AI143,"")</f>
        <v/>
      </c>
      <c r="BG143" s="129">
        <f>IFERROR(T143/$AI143,"")</f>
        <v/>
      </c>
      <c r="BH143" s="129">
        <f>IFERROR(U143/$AI143,"")</f>
        <v/>
      </c>
      <c r="BI143" s="129">
        <f>IFERROR(V143/$AI143,"")</f>
        <v/>
      </c>
      <c r="BJ143" s="129">
        <f>IFERROR(W143/$AI143,"")</f>
        <v/>
      </c>
      <c r="BK143" s="129">
        <f>IFERROR(X143/$AI143,"")</f>
        <v/>
      </c>
      <c r="BL143" s="129">
        <f>IFERROR(Y143/$AI143,"")</f>
        <v/>
      </c>
      <c r="BM143" s="129">
        <f>IFERROR(Z143/$AI143,"")</f>
        <v/>
      </c>
      <c r="BN143" s="129">
        <f>IFERROR(AA143/$AI143,"")</f>
        <v/>
      </c>
      <c r="BO143" s="129">
        <f>IFERROR(AB143/$AI143,"")</f>
        <v/>
      </c>
      <c r="BP143" s="129">
        <f>IFERROR(AC143/$AI143,"")</f>
        <v/>
      </c>
      <c r="BQ143" s="129">
        <f>IFERROR(AD143/$AI143,"")</f>
        <v/>
      </c>
      <c r="BR143" s="129">
        <f>IFERROR(AE143/$AI143,"")</f>
        <v/>
      </c>
      <c r="BS143" s="129">
        <f>IFERROR(AF143/$AI143,"")</f>
        <v/>
      </c>
      <c r="BT143" s="129">
        <f>IFERROR(AG143/$AI143,"")</f>
        <v/>
      </c>
      <c r="BU143" s="129">
        <f>IFERROR(AH143/$AI143,"")</f>
        <v/>
      </c>
      <c r="BV143" s="126">
        <f>SUM(AQ143:BD143)</f>
        <v/>
      </c>
      <c r="BW143" s="126">
        <f>SUM(BE143:BU143)</f>
        <v/>
      </c>
      <c r="BX143" s="126">
        <f>SUM(AQ143:AU143)</f>
        <v/>
      </c>
    </row>
    <row r="144">
      <c r="B144" s="127" t="n"/>
      <c r="C144" s="125" t="n"/>
      <c r="D144" s="125" t="n"/>
      <c r="E144" s="125" t="n"/>
      <c r="F144" s="125" t="n"/>
      <c r="G144" s="125" t="n"/>
      <c r="H144" s="125" t="n"/>
      <c r="I144" s="125" t="n"/>
      <c r="J144" s="125" t="n"/>
      <c r="K144" s="125" t="n"/>
      <c r="L144" s="125" t="n"/>
      <c r="M144" s="125" t="n"/>
      <c r="N144" s="125" t="n"/>
      <c r="O144" s="125" t="n"/>
      <c r="P144" s="125" t="n"/>
      <c r="Q144" s="125" t="n"/>
      <c r="R144" s="125" t="n"/>
      <c r="S144" s="125" t="n"/>
      <c r="T144" s="125" t="n"/>
      <c r="U144" s="125" t="n"/>
      <c r="V144" s="125" t="n"/>
      <c r="W144" s="125" t="n"/>
      <c r="X144" s="125" t="n"/>
      <c r="Y144" s="125" t="n"/>
      <c r="Z144" s="125" t="n"/>
      <c r="AA144" s="125" t="n"/>
      <c r="AB144" s="125" t="n"/>
      <c r="AC144" s="125" t="n"/>
      <c r="AD144" s="125" t="n"/>
      <c r="AE144" s="125" t="n"/>
      <c r="AF144" s="125" t="n"/>
      <c r="AG144" s="125" t="n"/>
      <c r="AH144" s="125" t="n"/>
      <c r="AI144" s="127">
        <f>SUM(D144:AG144,AH144)</f>
        <v/>
      </c>
      <c r="AJ144" s="126">
        <f>(SUM($D144:$Q144))/AI144</f>
        <v/>
      </c>
      <c r="AK144" s="126">
        <f>(SUM($D144:$H144))/AI144</f>
        <v/>
      </c>
      <c r="AL144" s="126">
        <f>(SUM($R144:$AH144))/AI144</f>
        <v/>
      </c>
      <c r="AM144" s="161" t="n"/>
      <c r="AN144" s="125">
        <f>YEAR(C144)</f>
        <v/>
      </c>
      <c r="AO144" s="125">
        <f>MONTH(C144)</f>
        <v/>
      </c>
      <c r="AP144" s="125">
        <f>WEEKNUM(C144,2)</f>
        <v/>
      </c>
      <c r="AQ144" s="129">
        <f>IFERROR(D144/$AI144,"")</f>
        <v/>
      </c>
      <c r="AR144" s="129">
        <f>IFERROR(E144/$AI144,"")</f>
        <v/>
      </c>
      <c r="AS144" s="129">
        <f>IFERROR(F144/$AI144,"")</f>
        <v/>
      </c>
      <c r="AT144" s="129">
        <f>IFERROR(H144/$AI144,"")</f>
        <v/>
      </c>
      <c r="AU144" s="129">
        <f>IFERROR(I144/$AI144,"")</f>
        <v/>
      </c>
      <c r="AV144" s="129">
        <f>IFERROR(J144/$AI144,"")</f>
        <v/>
      </c>
      <c r="AW144" s="129">
        <f>IFERROR(K144/$AI144,"")</f>
        <v/>
      </c>
      <c r="AX144" s="129">
        <f>IFERROR(L144/$AI144,"")</f>
        <v/>
      </c>
      <c r="AY144" s="129">
        <f>IFERROR(M144/$AI144,"")</f>
        <v/>
      </c>
      <c r="AZ144" s="129">
        <f>IFERROR(N144/$AI144,"")</f>
        <v/>
      </c>
      <c r="BA144" s="129">
        <f>IFERROR(O144/$AI144,"")</f>
        <v/>
      </c>
      <c r="BB144" s="129">
        <f>IFERROR(P144/$AI144,"")</f>
        <v/>
      </c>
      <c r="BC144" s="129">
        <f>IFERROR(AG144/$AI144,"")</f>
        <v/>
      </c>
      <c r="BD144" s="129">
        <f>IFERROR(AH144/$AI144,"")</f>
        <v/>
      </c>
      <c r="BE144" s="129">
        <f>IFERROR(R144/$AI144,"")</f>
        <v/>
      </c>
      <c r="BF144" s="129">
        <f>IFERROR(S144/$AI144,"")</f>
        <v/>
      </c>
      <c r="BG144" s="129">
        <f>IFERROR(T144/$AI144,"")</f>
        <v/>
      </c>
      <c r="BH144" s="129">
        <f>IFERROR(U144/$AI144,"")</f>
        <v/>
      </c>
      <c r="BI144" s="129">
        <f>IFERROR(V144/$AI144,"")</f>
        <v/>
      </c>
      <c r="BJ144" s="129">
        <f>IFERROR(W144/$AI144,"")</f>
        <v/>
      </c>
      <c r="BK144" s="129">
        <f>IFERROR(X144/$AI144,"")</f>
        <v/>
      </c>
      <c r="BL144" s="129">
        <f>IFERROR(Y144/$AI144,"")</f>
        <v/>
      </c>
      <c r="BM144" s="129">
        <f>IFERROR(Z144/$AI144,"")</f>
        <v/>
      </c>
      <c r="BN144" s="129">
        <f>IFERROR(AA144/$AI144,"")</f>
        <v/>
      </c>
      <c r="BO144" s="129">
        <f>IFERROR(AB144/$AI144,"")</f>
        <v/>
      </c>
      <c r="BP144" s="129">
        <f>IFERROR(AC144/$AI144,"")</f>
        <v/>
      </c>
      <c r="BQ144" s="129">
        <f>IFERROR(AD144/$AI144,"")</f>
        <v/>
      </c>
      <c r="BR144" s="129">
        <f>IFERROR(AE144/$AI144,"")</f>
        <v/>
      </c>
      <c r="BS144" s="129">
        <f>IFERROR(AF144/$AI144,"")</f>
        <v/>
      </c>
      <c r="BT144" s="129">
        <f>IFERROR(AG144/$AI144,"")</f>
        <v/>
      </c>
      <c r="BU144" s="129">
        <f>IFERROR(AH144/$AI144,"")</f>
        <v/>
      </c>
      <c r="BV144" s="126">
        <f>SUM(AQ144:BD144)</f>
        <v/>
      </c>
      <c r="BW144" s="126">
        <f>SUM(BE144:BU144)</f>
        <v/>
      </c>
      <c r="BX144" s="126">
        <f>SUM(AQ144:AU144)</f>
        <v/>
      </c>
    </row>
    <row r="145">
      <c r="B145" s="127" t="n"/>
      <c r="C145" s="125" t="n"/>
      <c r="D145" s="125" t="n"/>
      <c r="E145" s="125" t="n"/>
      <c r="F145" s="125" t="n"/>
      <c r="G145" s="125" t="n"/>
      <c r="H145" s="125" t="n"/>
      <c r="I145" s="125" t="n"/>
      <c r="J145" s="125" t="n"/>
      <c r="K145" s="125" t="n"/>
      <c r="L145" s="125" t="n"/>
      <c r="M145" s="125" t="n"/>
      <c r="N145" s="125" t="n"/>
      <c r="O145" s="125" t="n"/>
      <c r="P145" s="125" t="n"/>
      <c r="Q145" s="125" t="n"/>
      <c r="R145" s="125" t="n"/>
      <c r="S145" s="125" t="n"/>
      <c r="T145" s="125" t="n"/>
      <c r="U145" s="125" t="n"/>
      <c r="V145" s="125" t="n"/>
      <c r="W145" s="125" t="n"/>
      <c r="X145" s="125" t="n"/>
      <c r="Y145" s="125" t="n"/>
      <c r="Z145" s="125" t="n"/>
      <c r="AA145" s="125" t="n"/>
      <c r="AB145" s="125" t="n"/>
      <c r="AC145" s="125" t="n"/>
      <c r="AD145" s="125" t="n"/>
      <c r="AE145" s="125" t="n"/>
      <c r="AF145" s="125" t="n"/>
      <c r="AG145" s="125" t="n"/>
      <c r="AH145" s="125" t="n"/>
      <c r="AI145" s="127">
        <f>SUM(D145:AG145,AH145)</f>
        <v/>
      </c>
      <c r="AJ145" s="126">
        <f>(SUM($D145:$Q145))/AI145</f>
        <v/>
      </c>
      <c r="AK145" s="126">
        <f>(SUM($D145:$H145))/AI145</f>
        <v/>
      </c>
      <c r="AL145" s="126">
        <f>(SUM($R145:$AH145))/AI145</f>
        <v/>
      </c>
      <c r="AM145" s="161" t="n"/>
      <c r="AN145" s="125">
        <f>YEAR(C145)</f>
        <v/>
      </c>
      <c r="AO145" s="125">
        <f>MONTH(C145)</f>
        <v/>
      </c>
      <c r="AP145" s="125">
        <f>WEEKNUM(C145,2)</f>
        <v/>
      </c>
      <c r="AQ145" s="129">
        <f>IFERROR(D145/$AI145,"")</f>
        <v/>
      </c>
      <c r="AR145" s="129">
        <f>IFERROR(E145/$AI145,"")</f>
        <v/>
      </c>
      <c r="AS145" s="129">
        <f>IFERROR(F145/$AI145,"")</f>
        <v/>
      </c>
      <c r="AT145" s="129">
        <f>IFERROR(H145/$AI145,"")</f>
        <v/>
      </c>
      <c r="AU145" s="129">
        <f>IFERROR(I145/$AI145,"")</f>
        <v/>
      </c>
      <c r="AV145" s="129">
        <f>IFERROR(J145/$AI145,"")</f>
        <v/>
      </c>
      <c r="AW145" s="129">
        <f>IFERROR(K145/$AI145,"")</f>
        <v/>
      </c>
      <c r="AX145" s="129">
        <f>IFERROR(L145/$AI145,"")</f>
        <v/>
      </c>
      <c r="AY145" s="129">
        <f>IFERROR(M145/$AI145,"")</f>
        <v/>
      </c>
      <c r="AZ145" s="129">
        <f>IFERROR(N145/$AI145,"")</f>
        <v/>
      </c>
      <c r="BA145" s="129">
        <f>IFERROR(O145/$AI145,"")</f>
        <v/>
      </c>
      <c r="BB145" s="129">
        <f>IFERROR(P145/$AI145,"")</f>
        <v/>
      </c>
      <c r="BC145" s="129">
        <f>IFERROR(AG145/$AI145,"")</f>
        <v/>
      </c>
      <c r="BD145" s="129">
        <f>IFERROR(AH145/$AI145,"")</f>
        <v/>
      </c>
      <c r="BE145" s="129">
        <f>IFERROR(R145/$AI145,"")</f>
        <v/>
      </c>
      <c r="BF145" s="129">
        <f>IFERROR(S145/$AI145,"")</f>
        <v/>
      </c>
      <c r="BG145" s="129">
        <f>IFERROR(T145/$AI145,"")</f>
        <v/>
      </c>
      <c r="BH145" s="129">
        <f>IFERROR(U145/$AI145,"")</f>
        <v/>
      </c>
      <c r="BI145" s="129">
        <f>IFERROR(V145/$AI145,"")</f>
        <v/>
      </c>
      <c r="BJ145" s="129">
        <f>IFERROR(W145/$AI145,"")</f>
        <v/>
      </c>
      <c r="BK145" s="129">
        <f>IFERROR(X145/$AI145,"")</f>
        <v/>
      </c>
      <c r="BL145" s="129">
        <f>IFERROR(Y145/$AI145,"")</f>
        <v/>
      </c>
      <c r="BM145" s="129">
        <f>IFERROR(Z145/$AI145,"")</f>
        <v/>
      </c>
      <c r="BN145" s="129">
        <f>IFERROR(AA145/$AI145,"")</f>
        <v/>
      </c>
      <c r="BO145" s="129">
        <f>IFERROR(AB145/$AI145,"")</f>
        <v/>
      </c>
      <c r="BP145" s="129">
        <f>IFERROR(AC145/$AI145,"")</f>
        <v/>
      </c>
      <c r="BQ145" s="129">
        <f>IFERROR(AD145/$AI145,"")</f>
        <v/>
      </c>
      <c r="BR145" s="129">
        <f>IFERROR(AE145/$AI145,"")</f>
        <v/>
      </c>
      <c r="BS145" s="129">
        <f>IFERROR(AF145/$AI145,"")</f>
        <v/>
      </c>
      <c r="BT145" s="129">
        <f>IFERROR(AG145/$AI145,"")</f>
        <v/>
      </c>
      <c r="BU145" s="129">
        <f>IFERROR(AH145/$AI145,"")</f>
        <v/>
      </c>
      <c r="BV145" s="126">
        <f>SUM(AQ145:BD145)</f>
        <v/>
      </c>
      <c r="BW145" s="126">
        <f>SUM(BE145:BU145)</f>
        <v/>
      </c>
      <c r="BX145" s="126">
        <f>SUM(AQ145:AU145)</f>
        <v/>
      </c>
    </row>
    <row r="146">
      <c r="B146" s="127" t="n"/>
      <c r="C146" s="125" t="n"/>
      <c r="D146" s="125" t="n"/>
      <c r="E146" s="125" t="n"/>
      <c r="F146" s="125" t="n"/>
      <c r="G146" s="125" t="n"/>
      <c r="H146" s="125" t="n"/>
      <c r="I146" s="125" t="n"/>
      <c r="J146" s="125" t="n"/>
      <c r="K146" s="125" t="n"/>
      <c r="L146" s="125" t="n"/>
      <c r="M146" s="125" t="n"/>
      <c r="N146" s="125" t="n"/>
      <c r="O146" s="125" t="n"/>
      <c r="P146" s="125" t="n"/>
      <c r="Q146" s="125" t="n"/>
      <c r="R146" s="125" t="n"/>
      <c r="S146" s="125" t="n"/>
      <c r="T146" s="125" t="n"/>
      <c r="U146" s="125" t="n"/>
      <c r="V146" s="125" t="n"/>
      <c r="W146" s="125" t="n"/>
      <c r="X146" s="125" t="n"/>
      <c r="Y146" s="125" t="n"/>
      <c r="Z146" s="125" t="n"/>
      <c r="AA146" s="125" t="n"/>
      <c r="AB146" s="125" t="n"/>
      <c r="AC146" s="125" t="n"/>
      <c r="AD146" s="125" t="n"/>
      <c r="AE146" s="125" t="n"/>
      <c r="AF146" s="125" t="n"/>
      <c r="AG146" s="125" t="n"/>
      <c r="AH146" s="125" t="n"/>
      <c r="AI146" s="127">
        <f>SUM(D146:AG146,AH146)</f>
        <v/>
      </c>
      <c r="AJ146" s="126">
        <f>(SUM($D146:$Q146))/AI146</f>
        <v/>
      </c>
      <c r="AK146" s="126">
        <f>(SUM($D146:$H146))/AI146</f>
        <v/>
      </c>
      <c r="AL146" s="126">
        <f>(SUM($R146:$AH146))/AI146</f>
        <v/>
      </c>
      <c r="AM146" s="161" t="n"/>
      <c r="AN146" s="125">
        <f>YEAR(C146)</f>
        <v/>
      </c>
      <c r="AO146" s="125">
        <f>MONTH(C146)</f>
        <v/>
      </c>
      <c r="AP146" s="125">
        <f>WEEKNUM(C146,2)</f>
        <v/>
      </c>
      <c r="AQ146" s="129">
        <f>IFERROR(D146/$AI146,"")</f>
        <v/>
      </c>
      <c r="AR146" s="129">
        <f>IFERROR(E146/$AI146,"")</f>
        <v/>
      </c>
      <c r="AS146" s="129">
        <f>IFERROR(F146/$AI146,"")</f>
        <v/>
      </c>
      <c r="AT146" s="129">
        <f>IFERROR(H146/$AI146,"")</f>
        <v/>
      </c>
      <c r="AU146" s="129">
        <f>IFERROR(I146/$AI146,"")</f>
        <v/>
      </c>
      <c r="AV146" s="129">
        <f>IFERROR(J146/$AI146,"")</f>
        <v/>
      </c>
      <c r="AW146" s="129">
        <f>IFERROR(K146/$AI146,"")</f>
        <v/>
      </c>
      <c r="AX146" s="129">
        <f>IFERROR(L146/$AI146,"")</f>
        <v/>
      </c>
      <c r="AY146" s="129">
        <f>IFERROR(M146/$AI146,"")</f>
        <v/>
      </c>
      <c r="AZ146" s="129">
        <f>IFERROR(N146/$AI146,"")</f>
        <v/>
      </c>
      <c r="BA146" s="129">
        <f>IFERROR(O146/$AI146,"")</f>
        <v/>
      </c>
      <c r="BB146" s="129">
        <f>IFERROR(P146/$AI146,"")</f>
        <v/>
      </c>
      <c r="BC146" s="129">
        <f>IFERROR(AG146/$AI146,"")</f>
        <v/>
      </c>
      <c r="BD146" s="129">
        <f>IFERROR(AH146/$AI146,"")</f>
        <v/>
      </c>
      <c r="BE146" s="129">
        <f>IFERROR(R146/$AI146,"")</f>
        <v/>
      </c>
      <c r="BF146" s="129">
        <f>IFERROR(S146/$AI146,"")</f>
        <v/>
      </c>
      <c r="BG146" s="129">
        <f>IFERROR(T146/$AI146,"")</f>
        <v/>
      </c>
      <c r="BH146" s="129">
        <f>IFERROR(U146/$AI146,"")</f>
        <v/>
      </c>
      <c r="BI146" s="129">
        <f>IFERROR(V146/$AI146,"")</f>
        <v/>
      </c>
      <c r="BJ146" s="129">
        <f>IFERROR(W146/$AI146,"")</f>
        <v/>
      </c>
      <c r="BK146" s="129">
        <f>IFERROR(X146/$AI146,"")</f>
        <v/>
      </c>
      <c r="BL146" s="129">
        <f>IFERROR(Y146/$AI146,"")</f>
        <v/>
      </c>
      <c r="BM146" s="129">
        <f>IFERROR(Z146/$AI146,"")</f>
        <v/>
      </c>
      <c r="BN146" s="129">
        <f>IFERROR(AA146/$AI146,"")</f>
        <v/>
      </c>
      <c r="BO146" s="129">
        <f>IFERROR(AB146/$AI146,"")</f>
        <v/>
      </c>
      <c r="BP146" s="129">
        <f>IFERROR(AC146/$AI146,"")</f>
        <v/>
      </c>
      <c r="BQ146" s="129">
        <f>IFERROR(AD146/$AI146,"")</f>
        <v/>
      </c>
      <c r="BR146" s="129">
        <f>IFERROR(AE146/$AI146,"")</f>
        <v/>
      </c>
      <c r="BS146" s="129">
        <f>IFERROR(AF146/$AI146,"")</f>
        <v/>
      </c>
      <c r="BT146" s="129">
        <f>IFERROR(AG146/$AI146,"")</f>
        <v/>
      </c>
      <c r="BU146" s="129">
        <f>IFERROR(AH146/$AI146,"")</f>
        <v/>
      </c>
      <c r="BV146" s="126">
        <f>SUM(AQ146:BD146)</f>
        <v/>
      </c>
      <c r="BW146" s="126">
        <f>SUM(BE146:BU146)</f>
        <v/>
      </c>
      <c r="BX146" s="126">
        <f>SUM(AQ146:AU146)</f>
        <v/>
      </c>
    </row>
    <row r="147">
      <c r="B147" s="127" t="n"/>
      <c r="C147" s="125" t="n"/>
      <c r="D147" s="125" t="n"/>
      <c r="E147" s="125" t="n"/>
      <c r="F147" s="125" t="n"/>
      <c r="G147" s="125" t="n"/>
      <c r="H147" s="125" t="n"/>
      <c r="I147" s="125" t="n"/>
      <c r="J147" s="125" t="n"/>
      <c r="K147" s="125" t="n"/>
      <c r="L147" s="125" t="n"/>
      <c r="M147" s="125" t="n"/>
      <c r="N147" s="125" t="n"/>
      <c r="O147" s="125" t="n"/>
      <c r="P147" s="125" t="n"/>
      <c r="Q147" s="125" t="n"/>
      <c r="R147" s="125" t="n"/>
      <c r="S147" s="125" t="n"/>
      <c r="T147" s="125" t="n"/>
      <c r="U147" s="125" t="n"/>
      <c r="V147" s="125" t="n"/>
      <c r="W147" s="125" t="n"/>
      <c r="X147" s="125" t="n"/>
      <c r="Y147" s="125" t="n"/>
      <c r="Z147" s="125" t="n"/>
      <c r="AA147" s="125" t="n"/>
      <c r="AB147" s="125" t="n"/>
      <c r="AC147" s="125" t="n"/>
      <c r="AD147" s="125" t="n"/>
      <c r="AE147" s="125" t="n"/>
      <c r="AF147" s="125" t="n"/>
      <c r="AG147" s="125" t="n"/>
      <c r="AH147" s="125" t="n"/>
      <c r="AI147" s="127">
        <f>SUM(D147:AG147,AH147)</f>
        <v/>
      </c>
      <c r="AJ147" s="126">
        <f>(SUM($D147:$Q147))/AI147</f>
        <v/>
      </c>
      <c r="AK147" s="126">
        <f>(SUM($D147:$H147))/AI147</f>
        <v/>
      </c>
      <c r="AL147" s="126">
        <f>(SUM($R147:$AH147))/AI147</f>
        <v/>
      </c>
      <c r="AM147" s="161" t="n"/>
      <c r="AN147" s="125">
        <f>YEAR(C147)</f>
        <v/>
      </c>
      <c r="AO147" s="125">
        <f>MONTH(C147)</f>
        <v/>
      </c>
      <c r="AP147" s="125">
        <f>WEEKNUM(C147,2)</f>
        <v/>
      </c>
      <c r="AQ147" s="129">
        <f>IFERROR(D147/$AI147,"")</f>
        <v/>
      </c>
      <c r="AR147" s="129">
        <f>IFERROR(E147/$AI147,"")</f>
        <v/>
      </c>
      <c r="AS147" s="129">
        <f>IFERROR(F147/$AI147,"")</f>
        <v/>
      </c>
      <c r="AT147" s="129">
        <f>IFERROR(H147/$AI147,"")</f>
        <v/>
      </c>
      <c r="AU147" s="129">
        <f>IFERROR(I147/$AI147,"")</f>
        <v/>
      </c>
      <c r="AV147" s="129">
        <f>IFERROR(J147/$AI147,"")</f>
        <v/>
      </c>
      <c r="AW147" s="129">
        <f>IFERROR(K147/$AI147,"")</f>
        <v/>
      </c>
      <c r="AX147" s="129">
        <f>IFERROR(L147/$AI147,"")</f>
        <v/>
      </c>
      <c r="AY147" s="129">
        <f>IFERROR(M147/$AI147,"")</f>
        <v/>
      </c>
      <c r="AZ147" s="129">
        <f>IFERROR(N147/$AI147,"")</f>
        <v/>
      </c>
      <c r="BA147" s="129">
        <f>IFERROR(O147/$AI147,"")</f>
        <v/>
      </c>
      <c r="BB147" s="129">
        <f>IFERROR(P147/$AI147,"")</f>
        <v/>
      </c>
      <c r="BC147" s="129">
        <f>IFERROR(AG147/$AI147,"")</f>
        <v/>
      </c>
      <c r="BD147" s="129">
        <f>IFERROR(AH147/$AI147,"")</f>
        <v/>
      </c>
      <c r="BE147" s="129">
        <f>IFERROR(R147/$AI147,"")</f>
        <v/>
      </c>
      <c r="BF147" s="129">
        <f>IFERROR(S147/$AI147,"")</f>
        <v/>
      </c>
      <c r="BG147" s="129">
        <f>IFERROR(T147/$AI147,"")</f>
        <v/>
      </c>
      <c r="BH147" s="129">
        <f>IFERROR(U147/$AI147,"")</f>
        <v/>
      </c>
      <c r="BI147" s="129">
        <f>IFERROR(V147/$AI147,"")</f>
        <v/>
      </c>
      <c r="BJ147" s="129">
        <f>IFERROR(W147/$AI147,"")</f>
        <v/>
      </c>
      <c r="BK147" s="129">
        <f>IFERROR(X147/$AI147,"")</f>
        <v/>
      </c>
      <c r="BL147" s="129">
        <f>IFERROR(Y147/$AI147,"")</f>
        <v/>
      </c>
      <c r="BM147" s="129">
        <f>IFERROR(Z147/$AI147,"")</f>
        <v/>
      </c>
      <c r="BN147" s="129">
        <f>IFERROR(AA147/$AI147,"")</f>
        <v/>
      </c>
      <c r="BO147" s="129">
        <f>IFERROR(AB147/$AI147,"")</f>
        <v/>
      </c>
      <c r="BP147" s="129">
        <f>IFERROR(AC147/$AI147,"")</f>
        <v/>
      </c>
      <c r="BQ147" s="129">
        <f>IFERROR(AD147/$AI147,"")</f>
        <v/>
      </c>
      <c r="BR147" s="129">
        <f>IFERROR(AE147/$AI147,"")</f>
        <v/>
      </c>
      <c r="BS147" s="129">
        <f>IFERROR(AF147/$AI147,"")</f>
        <v/>
      </c>
      <c r="BT147" s="129">
        <f>IFERROR(AG147/$AI147,"")</f>
        <v/>
      </c>
      <c r="BU147" s="129">
        <f>IFERROR(AH147/$AI147,"")</f>
        <v/>
      </c>
      <c r="BV147" s="126">
        <f>SUM(AQ147:BD147)</f>
        <v/>
      </c>
      <c r="BW147" s="126">
        <f>SUM(BE147:BU147)</f>
        <v/>
      </c>
      <c r="BX147" s="126">
        <f>SUM(AQ147:AU147)</f>
        <v/>
      </c>
    </row>
    <row r="148">
      <c r="B148" s="127" t="n"/>
      <c r="C148" s="125" t="n"/>
      <c r="D148" s="125" t="n"/>
      <c r="E148" s="125" t="n"/>
      <c r="F148" s="125" t="n"/>
      <c r="G148" s="125" t="n"/>
      <c r="H148" s="125" t="n"/>
      <c r="I148" s="125" t="n"/>
      <c r="J148" s="125" t="n"/>
      <c r="K148" s="125" t="n"/>
      <c r="L148" s="125" t="n"/>
      <c r="M148" s="125" t="n"/>
      <c r="N148" s="125" t="n"/>
      <c r="O148" s="125" t="n"/>
      <c r="P148" s="125" t="n"/>
      <c r="Q148" s="125" t="n"/>
      <c r="R148" s="125" t="n"/>
      <c r="S148" s="125" t="n"/>
      <c r="T148" s="125" t="n"/>
      <c r="U148" s="125" t="n"/>
      <c r="V148" s="125" t="n"/>
      <c r="W148" s="125" t="n"/>
      <c r="X148" s="125" t="n"/>
      <c r="Y148" s="125" t="n"/>
      <c r="Z148" s="125" t="n"/>
      <c r="AA148" s="125" t="n"/>
      <c r="AB148" s="125" t="n"/>
      <c r="AC148" s="125" t="n"/>
      <c r="AD148" s="125" t="n"/>
      <c r="AE148" s="125" t="n"/>
      <c r="AF148" s="125" t="n"/>
      <c r="AG148" s="125" t="n"/>
      <c r="AH148" s="125" t="n"/>
      <c r="AI148" s="127">
        <f>SUM(D148:AG148,AH148)</f>
        <v/>
      </c>
      <c r="AJ148" s="126">
        <f>(SUM($D148:$Q148))/AI148</f>
        <v/>
      </c>
      <c r="AK148" s="126">
        <f>(SUM($D148:$H148))/AI148</f>
        <v/>
      </c>
      <c r="AL148" s="126">
        <f>(SUM($R148:$AH148))/AI148</f>
        <v/>
      </c>
      <c r="AM148" s="161" t="n"/>
      <c r="AN148" s="125">
        <f>YEAR(C148)</f>
        <v/>
      </c>
      <c r="AO148" s="125">
        <f>MONTH(C148)</f>
        <v/>
      </c>
      <c r="AP148" s="125">
        <f>WEEKNUM(C148,2)</f>
        <v/>
      </c>
      <c r="AQ148" s="129">
        <f>IFERROR(D148/$AI148,"")</f>
        <v/>
      </c>
      <c r="AR148" s="129">
        <f>IFERROR(E148/$AI148,"")</f>
        <v/>
      </c>
      <c r="AS148" s="129">
        <f>IFERROR(F148/$AI148,"")</f>
        <v/>
      </c>
      <c r="AT148" s="129">
        <f>IFERROR(H148/$AI148,"")</f>
        <v/>
      </c>
      <c r="AU148" s="129">
        <f>IFERROR(I148/$AI148,"")</f>
        <v/>
      </c>
      <c r="AV148" s="129">
        <f>IFERROR(J148/$AI148,"")</f>
        <v/>
      </c>
      <c r="AW148" s="129">
        <f>IFERROR(K148/$AI148,"")</f>
        <v/>
      </c>
      <c r="AX148" s="129">
        <f>IFERROR(L148/$AI148,"")</f>
        <v/>
      </c>
      <c r="AY148" s="129">
        <f>IFERROR(M148/$AI148,"")</f>
        <v/>
      </c>
      <c r="AZ148" s="129">
        <f>IFERROR(N148/$AI148,"")</f>
        <v/>
      </c>
      <c r="BA148" s="129">
        <f>IFERROR(O148/$AI148,"")</f>
        <v/>
      </c>
      <c r="BB148" s="129">
        <f>IFERROR(P148/$AI148,"")</f>
        <v/>
      </c>
      <c r="BC148" s="129">
        <f>IFERROR(AG148/$AI148,"")</f>
        <v/>
      </c>
      <c r="BD148" s="129">
        <f>IFERROR(AH148/$AI148,"")</f>
        <v/>
      </c>
      <c r="BE148" s="129">
        <f>IFERROR(R148/$AI148,"")</f>
        <v/>
      </c>
      <c r="BF148" s="129">
        <f>IFERROR(S148/$AI148,"")</f>
        <v/>
      </c>
      <c r="BG148" s="129">
        <f>IFERROR(T148/$AI148,"")</f>
        <v/>
      </c>
      <c r="BH148" s="129">
        <f>IFERROR(U148/$AI148,"")</f>
        <v/>
      </c>
      <c r="BI148" s="129">
        <f>IFERROR(V148/$AI148,"")</f>
        <v/>
      </c>
      <c r="BJ148" s="129">
        <f>IFERROR(W148/$AI148,"")</f>
        <v/>
      </c>
      <c r="BK148" s="129">
        <f>IFERROR(X148/$AI148,"")</f>
        <v/>
      </c>
      <c r="BL148" s="129">
        <f>IFERROR(Y148/$AI148,"")</f>
        <v/>
      </c>
      <c r="BM148" s="129">
        <f>IFERROR(Z148/$AI148,"")</f>
        <v/>
      </c>
      <c r="BN148" s="129">
        <f>IFERROR(AA148/$AI148,"")</f>
        <v/>
      </c>
      <c r="BO148" s="129">
        <f>IFERROR(AB148/$AI148,"")</f>
        <v/>
      </c>
      <c r="BP148" s="129">
        <f>IFERROR(AC148/$AI148,"")</f>
        <v/>
      </c>
      <c r="BQ148" s="129">
        <f>IFERROR(AD148/$AI148,"")</f>
        <v/>
      </c>
      <c r="BR148" s="129">
        <f>IFERROR(AE148/$AI148,"")</f>
        <v/>
      </c>
      <c r="BS148" s="129">
        <f>IFERROR(AF148/$AI148,"")</f>
        <v/>
      </c>
      <c r="BT148" s="129">
        <f>IFERROR(AG148/$AI148,"")</f>
        <v/>
      </c>
      <c r="BU148" s="129">
        <f>IFERROR(AH148/$AI148,"")</f>
        <v/>
      </c>
      <c r="BV148" s="126">
        <f>SUM(AQ148:BD148)</f>
        <v/>
      </c>
      <c r="BW148" s="126">
        <f>SUM(BE148:BU148)</f>
        <v/>
      </c>
      <c r="BX148" s="126">
        <f>SUM(AQ148:AU148)</f>
        <v/>
      </c>
    </row>
    <row r="149">
      <c r="B149" s="127" t="n"/>
      <c r="C149" s="125" t="n"/>
      <c r="D149" s="125" t="n"/>
      <c r="E149" s="125" t="n"/>
      <c r="F149" s="125" t="n"/>
      <c r="G149" s="125" t="n"/>
      <c r="H149" s="125" t="n"/>
      <c r="I149" s="125" t="n"/>
      <c r="J149" s="125" t="n"/>
      <c r="K149" s="125" t="n"/>
      <c r="L149" s="125" t="n"/>
      <c r="M149" s="125" t="n"/>
      <c r="N149" s="125" t="n"/>
      <c r="O149" s="125" t="n"/>
      <c r="P149" s="125" t="n"/>
      <c r="Q149" s="125" t="n"/>
      <c r="R149" s="125" t="n"/>
      <c r="S149" s="125" t="n"/>
      <c r="T149" s="125" t="n"/>
      <c r="U149" s="125" t="n"/>
      <c r="V149" s="125" t="n"/>
      <c r="W149" s="125" t="n"/>
      <c r="X149" s="125" t="n"/>
      <c r="Y149" s="125" t="n"/>
      <c r="Z149" s="125" t="n"/>
      <c r="AA149" s="125" t="n"/>
      <c r="AB149" s="125" t="n"/>
      <c r="AC149" s="125" t="n"/>
      <c r="AD149" s="125" t="n"/>
      <c r="AE149" s="125" t="n"/>
      <c r="AF149" s="125" t="n"/>
      <c r="AG149" s="125" t="n"/>
      <c r="AH149" s="125" t="n"/>
      <c r="AI149" s="127">
        <f>SUM(D149:AG149,AH149)</f>
        <v/>
      </c>
      <c r="AJ149" s="126">
        <f>(SUM($D149:$Q149))/AI149</f>
        <v/>
      </c>
      <c r="AK149" s="126">
        <f>(SUM($D149:$H149))/AI149</f>
        <v/>
      </c>
      <c r="AL149" s="126">
        <f>(SUM($R149:$AH149))/AI149</f>
        <v/>
      </c>
      <c r="AM149" s="161" t="n"/>
      <c r="AN149" s="125">
        <f>YEAR(C149)</f>
        <v/>
      </c>
      <c r="AO149" s="125">
        <f>MONTH(C149)</f>
        <v/>
      </c>
      <c r="AP149" s="125">
        <f>WEEKNUM(C149,2)</f>
        <v/>
      </c>
      <c r="AQ149" s="129">
        <f>IFERROR(D149/$AI149,"")</f>
        <v/>
      </c>
      <c r="AR149" s="129">
        <f>IFERROR(E149/$AI149,"")</f>
        <v/>
      </c>
      <c r="AS149" s="129">
        <f>IFERROR(F149/$AI149,"")</f>
        <v/>
      </c>
      <c r="AT149" s="129">
        <f>IFERROR(H149/$AI149,"")</f>
        <v/>
      </c>
      <c r="AU149" s="129">
        <f>IFERROR(I149/$AI149,"")</f>
        <v/>
      </c>
      <c r="AV149" s="129">
        <f>IFERROR(J149/$AI149,"")</f>
        <v/>
      </c>
      <c r="AW149" s="129">
        <f>IFERROR(K149/$AI149,"")</f>
        <v/>
      </c>
      <c r="AX149" s="129">
        <f>IFERROR(L149/$AI149,"")</f>
        <v/>
      </c>
      <c r="AY149" s="129">
        <f>IFERROR(M149/$AI149,"")</f>
        <v/>
      </c>
      <c r="AZ149" s="129">
        <f>IFERROR(N149/$AI149,"")</f>
        <v/>
      </c>
      <c r="BA149" s="129">
        <f>IFERROR(O149/$AI149,"")</f>
        <v/>
      </c>
      <c r="BB149" s="129">
        <f>IFERROR(P149/$AI149,"")</f>
        <v/>
      </c>
      <c r="BC149" s="129">
        <f>IFERROR(AG149/$AI149,"")</f>
        <v/>
      </c>
      <c r="BD149" s="129">
        <f>IFERROR(AH149/$AI149,"")</f>
        <v/>
      </c>
      <c r="BE149" s="129">
        <f>IFERROR(R149/$AI149,"")</f>
        <v/>
      </c>
      <c r="BF149" s="129">
        <f>IFERROR(S149/$AI149,"")</f>
        <v/>
      </c>
      <c r="BG149" s="129">
        <f>IFERROR(T149/$AI149,"")</f>
        <v/>
      </c>
      <c r="BH149" s="129">
        <f>IFERROR(U149/$AI149,"")</f>
        <v/>
      </c>
      <c r="BI149" s="129">
        <f>IFERROR(V149/$AI149,"")</f>
        <v/>
      </c>
      <c r="BJ149" s="129">
        <f>IFERROR(W149/$AI149,"")</f>
        <v/>
      </c>
      <c r="BK149" s="129">
        <f>IFERROR(X149/$AI149,"")</f>
        <v/>
      </c>
      <c r="BL149" s="129">
        <f>IFERROR(Y149/$AI149,"")</f>
        <v/>
      </c>
      <c r="BM149" s="129">
        <f>IFERROR(Z149/$AI149,"")</f>
        <v/>
      </c>
      <c r="BN149" s="129">
        <f>IFERROR(AA149/$AI149,"")</f>
        <v/>
      </c>
      <c r="BO149" s="129">
        <f>IFERROR(AB149/$AI149,"")</f>
        <v/>
      </c>
      <c r="BP149" s="129">
        <f>IFERROR(AC149/$AI149,"")</f>
        <v/>
      </c>
      <c r="BQ149" s="129">
        <f>IFERROR(AD149/$AI149,"")</f>
        <v/>
      </c>
      <c r="BR149" s="129">
        <f>IFERROR(AE149/$AI149,"")</f>
        <v/>
      </c>
      <c r="BS149" s="129">
        <f>IFERROR(AF149/$AI149,"")</f>
        <v/>
      </c>
      <c r="BT149" s="129">
        <f>IFERROR(AG149/$AI149,"")</f>
        <v/>
      </c>
      <c r="BU149" s="129">
        <f>IFERROR(AH149/$AI149,"")</f>
        <v/>
      </c>
      <c r="BV149" s="126">
        <f>SUM(AQ149:BD149)</f>
        <v/>
      </c>
      <c r="BW149" s="126">
        <f>SUM(BE149:BU149)</f>
        <v/>
      </c>
      <c r="BX149" s="126">
        <f>SUM(AQ149:AU149)</f>
        <v/>
      </c>
    </row>
    <row r="150">
      <c r="B150" s="127" t="n"/>
      <c r="C150" s="125" t="n"/>
      <c r="D150" s="125" t="n"/>
      <c r="E150" s="125" t="n"/>
      <c r="F150" s="125" t="n"/>
      <c r="G150" s="125" t="n"/>
      <c r="H150" s="125" t="n"/>
      <c r="I150" s="125" t="n"/>
      <c r="J150" s="125" t="n"/>
      <c r="K150" s="125" t="n"/>
      <c r="L150" s="125" t="n"/>
      <c r="M150" s="125" t="n"/>
      <c r="N150" s="125" t="n"/>
      <c r="O150" s="125" t="n"/>
      <c r="P150" s="125" t="n"/>
      <c r="Q150" s="125" t="n"/>
      <c r="R150" s="125" t="n"/>
      <c r="S150" s="125" t="n"/>
      <c r="T150" s="125" t="n"/>
      <c r="U150" s="125" t="n"/>
      <c r="V150" s="125" t="n"/>
      <c r="W150" s="125" t="n"/>
      <c r="X150" s="125" t="n"/>
      <c r="Y150" s="125" t="n"/>
      <c r="Z150" s="125" t="n"/>
      <c r="AA150" s="125" t="n"/>
      <c r="AB150" s="125" t="n"/>
      <c r="AC150" s="125" t="n"/>
      <c r="AD150" s="125" t="n"/>
      <c r="AE150" s="125" t="n"/>
      <c r="AF150" s="125" t="n"/>
      <c r="AG150" s="125" t="n"/>
      <c r="AH150" s="125" t="n"/>
      <c r="AI150" s="127">
        <f>SUM(D150:AG150,AH150)</f>
        <v/>
      </c>
      <c r="AJ150" s="126">
        <f>(SUM($D150:$Q150))/AI150</f>
        <v/>
      </c>
      <c r="AK150" s="126">
        <f>(SUM($D150:$H150))/AI150</f>
        <v/>
      </c>
      <c r="AL150" s="126">
        <f>(SUM($R150:$AH150))/AI150</f>
        <v/>
      </c>
      <c r="AM150" s="161" t="n"/>
      <c r="AN150" s="125">
        <f>YEAR(C150)</f>
        <v/>
      </c>
      <c r="AO150" s="125">
        <f>MONTH(C150)</f>
        <v/>
      </c>
      <c r="AP150" s="125">
        <f>WEEKNUM(C150,2)</f>
        <v/>
      </c>
      <c r="AQ150" s="129">
        <f>IFERROR(D150/$AI150,"")</f>
        <v/>
      </c>
      <c r="AR150" s="129">
        <f>IFERROR(E150/$AI150,"")</f>
        <v/>
      </c>
      <c r="AS150" s="129">
        <f>IFERROR(F150/$AI150,"")</f>
        <v/>
      </c>
      <c r="AT150" s="129">
        <f>IFERROR(H150/$AI150,"")</f>
        <v/>
      </c>
      <c r="AU150" s="129">
        <f>IFERROR(I150/$AI150,"")</f>
        <v/>
      </c>
      <c r="AV150" s="129">
        <f>IFERROR(J150/$AI150,"")</f>
        <v/>
      </c>
      <c r="AW150" s="129">
        <f>IFERROR(K150/$AI150,"")</f>
        <v/>
      </c>
      <c r="AX150" s="129">
        <f>IFERROR(L150/$AI150,"")</f>
        <v/>
      </c>
      <c r="AY150" s="129">
        <f>IFERROR(M150/$AI150,"")</f>
        <v/>
      </c>
      <c r="AZ150" s="129">
        <f>IFERROR(N150/$AI150,"")</f>
        <v/>
      </c>
      <c r="BA150" s="129">
        <f>IFERROR(O150/$AI150,"")</f>
        <v/>
      </c>
      <c r="BB150" s="129">
        <f>IFERROR(P150/$AI150,"")</f>
        <v/>
      </c>
      <c r="BC150" s="129">
        <f>IFERROR(AG150/$AI150,"")</f>
        <v/>
      </c>
      <c r="BD150" s="129">
        <f>IFERROR(AH150/$AI150,"")</f>
        <v/>
      </c>
      <c r="BE150" s="129">
        <f>IFERROR(R150/$AI150,"")</f>
        <v/>
      </c>
      <c r="BF150" s="129">
        <f>IFERROR(S150/$AI150,"")</f>
        <v/>
      </c>
      <c r="BG150" s="129">
        <f>IFERROR(T150/$AI150,"")</f>
        <v/>
      </c>
      <c r="BH150" s="129">
        <f>IFERROR(U150/$AI150,"")</f>
        <v/>
      </c>
      <c r="BI150" s="129">
        <f>IFERROR(V150/$AI150,"")</f>
        <v/>
      </c>
      <c r="BJ150" s="129">
        <f>IFERROR(W150/$AI150,"")</f>
        <v/>
      </c>
      <c r="BK150" s="129">
        <f>IFERROR(X150/$AI150,"")</f>
        <v/>
      </c>
      <c r="BL150" s="129">
        <f>IFERROR(Y150/$AI150,"")</f>
        <v/>
      </c>
      <c r="BM150" s="129">
        <f>IFERROR(Z150/$AI150,"")</f>
        <v/>
      </c>
      <c r="BN150" s="129">
        <f>IFERROR(AA150/$AI150,"")</f>
        <v/>
      </c>
      <c r="BO150" s="129">
        <f>IFERROR(AB150/$AI150,"")</f>
        <v/>
      </c>
      <c r="BP150" s="129">
        <f>IFERROR(AC150/$AI150,"")</f>
        <v/>
      </c>
      <c r="BQ150" s="129">
        <f>IFERROR(AD150/$AI150,"")</f>
        <v/>
      </c>
      <c r="BR150" s="129">
        <f>IFERROR(AE150/$AI150,"")</f>
        <v/>
      </c>
      <c r="BS150" s="129">
        <f>IFERROR(AF150/$AI150,"")</f>
        <v/>
      </c>
      <c r="BT150" s="129">
        <f>IFERROR(AG150/$AI150,"")</f>
        <v/>
      </c>
      <c r="BU150" s="129">
        <f>IFERROR(AH150/$AI150,"")</f>
        <v/>
      </c>
      <c r="BV150" s="126">
        <f>SUM(AQ150:BD150)</f>
        <v/>
      </c>
      <c r="BW150" s="126">
        <f>SUM(BE150:BU150)</f>
        <v/>
      </c>
      <c r="BX150" s="126">
        <f>SUM(AQ150:AU150)</f>
        <v/>
      </c>
    </row>
    <row r="151">
      <c r="B151" s="127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5" t="n"/>
      <c r="U151" s="125" t="n"/>
      <c r="V151" s="125" t="n"/>
      <c r="W151" s="125" t="n"/>
      <c r="X151" s="125" t="n"/>
      <c r="Y151" s="125" t="n"/>
      <c r="Z151" s="125" t="n"/>
      <c r="AA151" s="125" t="n"/>
      <c r="AB151" s="125" t="n"/>
      <c r="AC151" s="125" t="n"/>
      <c r="AD151" s="125" t="n"/>
      <c r="AE151" s="125" t="n"/>
      <c r="AF151" s="125" t="n"/>
      <c r="AG151" s="125" t="n"/>
      <c r="AH151" s="125" t="n"/>
      <c r="AI151" s="127">
        <f>SUM(D151:AG151,AH151)</f>
        <v/>
      </c>
      <c r="AJ151" s="126">
        <f>(SUM($D151:$Q151))/AI151</f>
        <v/>
      </c>
      <c r="AK151" s="126">
        <f>(SUM($D151:$H151))/AI151</f>
        <v/>
      </c>
      <c r="AL151" s="126">
        <f>(SUM($R151:$AH151))/AI151</f>
        <v/>
      </c>
      <c r="AM151" s="161" t="n"/>
      <c r="AN151" s="125">
        <f>YEAR(C151)</f>
        <v/>
      </c>
      <c r="AO151" s="125">
        <f>MONTH(C151)</f>
        <v/>
      </c>
      <c r="AP151" s="125">
        <f>WEEKNUM(C151,2)</f>
        <v/>
      </c>
      <c r="AQ151" s="129">
        <f>IFERROR(D151/$AI151,"")</f>
        <v/>
      </c>
      <c r="AR151" s="129">
        <f>IFERROR(E151/$AI151,"")</f>
        <v/>
      </c>
      <c r="AS151" s="129">
        <f>IFERROR(F151/$AI151,"")</f>
        <v/>
      </c>
      <c r="AT151" s="129">
        <f>IFERROR(H151/$AI151,"")</f>
        <v/>
      </c>
      <c r="AU151" s="129">
        <f>IFERROR(I151/$AI151,"")</f>
        <v/>
      </c>
      <c r="AV151" s="129">
        <f>IFERROR(J151/$AI151,"")</f>
        <v/>
      </c>
      <c r="AW151" s="129">
        <f>IFERROR(K151/$AI151,"")</f>
        <v/>
      </c>
      <c r="AX151" s="129">
        <f>IFERROR(L151/$AI151,"")</f>
        <v/>
      </c>
      <c r="AY151" s="129">
        <f>IFERROR(M151/$AI151,"")</f>
        <v/>
      </c>
      <c r="AZ151" s="129">
        <f>IFERROR(N151/$AI151,"")</f>
        <v/>
      </c>
      <c r="BA151" s="129">
        <f>IFERROR(O151/$AI151,"")</f>
        <v/>
      </c>
      <c r="BB151" s="129">
        <f>IFERROR(P151/$AI151,"")</f>
        <v/>
      </c>
      <c r="BC151" s="129">
        <f>IFERROR(AG151/$AI151,"")</f>
        <v/>
      </c>
      <c r="BD151" s="129">
        <f>IFERROR(AH151/$AI151,"")</f>
        <v/>
      </c>
      <c r="BE151" s="129">
        <f>IFERROR(R151/$AI151,"")</f>
        <v/>
      </c>
      <c r="BF151" s="129">
        <f>IFERROR(S151/$AI151,"")</f>
        <v/>
      </c>
      <c r="BG151" s="129">
        <f>IFERROR(T151/$AI151,"")</f>
        <v/>
      </c>
      <c r="BH151" s="129">
        <f>IFERROR(U151/$AI151,"")</f>
        <v/>
      </c>
      <c r="BI151" s="129">
        <f>IFERROR(V151/$AI151,"")</f>
        <v/>
      </c>
      <c r="BJ151" s="129">
        <f>IFERROR(W151/$AI151,"")</f>
        <v/>
      </c>
      <c r="BK151" s="129">
        <f>IFERROR(X151/$AI151,"")</f>
        <v/>
      </c>
      <c r="BL151" s="129">
        <f>IFERROR(Y151/$AI151,"")</f>
        <v/>
      </c>
      <c r="BM151" s="129">
        <f>IFERROR(Z151/$AI151,"")</f>
        <v/>
      </c>
      <c r="BN151" s="129">
        <f>IFERROR(AA151/$AI151,"")</f>
        <v/>
      </c>
      <c r="BO151" s="129">
        <f>IFERROR(AB151/$AI151,"")</f>
        <v/>
      </c>
      <c r="BP151" s="129">
        <f>IFERROR(AC151/$AI151,"")</f>
        <v/>
      </c>
      <c r="BQ151" s="129">
        <f>IFERROR(AD151/$AI151,"")</f>
        <v/>
      </c>
      <c r="BR151" s="129">
        <f>IFERROR(AE151/$AI151,"")</f>
        <v/>
      </c>
      <c r="BS151" s="129">
        <f>IFERROR(AF151/$AI151,"")</f>
        <v/>
      </c>
      <c r="BT151" s="129">
        <f>IFERROR(AG151/$AI151,"")</f>
        <v/>
      </c>
      <c r="BU151" s="129">
        <f>IFERROR(AH151/$AI151,"")</f>
        <v/>
      </c>
      <c r="BV151" s="126">
        <f>SUM(AQ151:BD151)</f>
        <v/>
      </c>
      <c r="BW151" s="126">
        <f>SUM(BE151:BU151)</f>
        <v/>
      </c>
      <c r="BX151" s="126">
        <f>SUM(AQ151:AU151)</f>
        <v/>
      </c>
    </row>
    <row r="152">
      <c r="B152" s="127" t="n"/>
      <c r="C152" s="125" t="n"/>
      <c r="D152" s="125" t="n"/>
      <c r="E152" s="125" t="n"/>
      <c r="F152" s="125" t="n"/>
      <c r="G152" s="125" t="n"/>
      <c r="H152" s="125" t="n"/>
      <c r="I152" s="125" t="n"/>
      <c r="J152" s="125" t="n"/>
      <c r="K152" s="125" t="n"/>
      <c r="L152" s="125" t="n"/>
      <c r="M152" s="125" t="n"/>
      <c r="N152" s="125" t="n"/>
      <c r="O152" s="125" t="n"/>
      <c r="P152" s="125" t="n"/>
      <c r="Q152" s="125" t="n"/>
      <c r="R152" s="125" t="n"/>
      <c r="S152" s="125" t="n"/>
      <c r="T152" s="125" t="n"/>
      <c r="U152" s="125" t="n"/>
      <c r="V152" s="125" t="n"/>
      <c r="W152" s="125" t="n"/>
      <c r="X152" s="125" t="n"/>
      <c r="Y152" s="125" t="n"/>
      <c r="Z152" s="125" t="n"/>
      <c r="AA152" s="125" t="n"/>
      <c r="AB152" s="125" t="n"/>
      <c r="AC152" s="125" t="n"/>
      <c r="AD152" s="125" t="n"/>
      <c r="AE152" s="125" t="n"/>
      <c r="AF152" s="125" t="n"/>
      <c r="AG152" s="125" t="n"/>
      <c r="AH152" s="125" t="n"/>
      <c r="AI152" s="127">
        <f>SUM(D152:AG152,AH152)</f>
        <v/>
      </c>
      <c r="AJ152" s="126">
        <f>(SUM($D152:$Q152))/AI152</f>
        <v/>
      </c>
      <c r="AK152" s="126">
        <f>(SUM($D152:$H152))/AI152</f>
        <v/>
      </c>
      <c r="AL152" s="126">
        <f>(SUM($R152:$AH152))/AI152</f>
        <v/>
      </c>
      <c r="AM152" s="161" t="n"/>
      <c r="AN152" s="125">
        <f>YEAR(C152)</f>
        <v/>
      </c>
      <c r="AO152" s="125">
        <f>MONTH(C152)</f>
        <v/>
      </c>
      <c r="AP152" s="125">
        <f>WEEKNUM(C152,2)</f>
        <v/>
      </c>
      <c r="AQ152" s="129">
        <f>IFERROR(D152/$AI152,"")</f>
        <v/>
      </c>
      <c r="AR152" s="129">
        <f>IFERROR(E152/$AI152,"")</f>
        <v/>
      </c>
      <c r="AS152" s="129">
        <f>IFERROR(F152/$AI152,"")</f>
        <v/>
      </c>
      <c r="AT152" s="129">
        <f>IFERROR(H152/$AI152,"")</f>
        <v/>
      </c>
      <c r="AU152" s="129">
        <f>IFERROR(I152/$AI152,"")</f>
        <v/>
      </c>
      <c r="AV152" s="129">
        <f>IFERROR(J152/$AI152,"")</f>
        <v/>
      </c>
      <c r="AW152" s="129">
        <f>IFERROR(K152/$AI152,"")</f>
        <v/>
      </c>
      <c r="AX152" s="129">
        <f>IFERROR(L152/$AI152,"")</f>
        <v/>
      </c>
      <c r="AY152" s="129">
        <f>IFERROR(M152/$AI152,"")</f>
        <v/>
      </c>
      <c r="AZ152" s="129">
        <f>IFERROR(N152/$AI152,"")</f>
        <v/>
      </c>
      <c r="BA152" s="129">
        <f>IFERROR(O152/$AI152,"")</f>
        <v/>
      </c>
      <c r="BB152" s="129">
        <f>IFERROR(P152/$AI152,"")</f>
        <v/>
      </c>
      <c r="BC152" s="129">
        <f>IFERROR(AG152/$AI152,"")</f>
        <v/>
      </c>
      <c r="BD152" s="129">
        <f>IFERROR(AH152/$AI152,"")</f>
        <v/>
      </c>
      <c r="BE152" s="129">
        <f>IFERROR(R152/$AI152,"")</f>
        <v/>
      </c>
      <c r="BF152" s="129">
        <f>IFERROR(S152/$AI152,"")</f>
        <v/>
      </c>
      <c r="BG152" s="129">
        <f>IFERROR(T152/$AI152,"")</f>
        <v/>
      </c>
      <c r="BH152" s="129">
        <f>IFERROR(U152/$AI152,"")</f>
        <v/>
      </c>
      <c r="BI152" s="129">
        <f>IFERROR(V152/$AI152,"")</f>
        <v/>
      </c>
      <c r="BJ152" s="129">
        <f>IFERROR(W152/$AI152,"")</f>
        <v/>
      </c>
      <c r="BK152" s="129">
        <f>IFERROR(X152/$AI152,"")</f>
        <v/>
      </c>
      <c r="BL152" s="129">
        <f>IFERROR(Y152/$AI152,"")</f>
        <v/>
      </c>
      <c r="BM152" s="129">
        <f>IFERROR(Z152/$AI152,"")</f>
        <v/>
      </c>
      <c r="BN152" s="129">
        <f>IFERROR(AA152/$AI152,"")</f>
        <v/>
      </c>
      <c r="BO152" s="129">
        <f>IFERROR(AB152/$AI152,"")</f>
        <v/>
      </c>
      <c r="BP152" s="129">
        <f>IFERROR(AC152/$AI152,"")</f>
        <v/>
      </c>
      <c r="BQ152" s="129">
        <f>IFERROR(AD152/$AI152,"")</f>
        <v/>
      </c>
      <c r="BR152" s="129">
        <f>IFERROR(AE152/$AI152,"")</f>
        <v/>
      </c>
      <c r="BS152" s="129">
        <f>IFERROR(AF152/$AI152,"")</f>
        <v/>
      </c>
      <c r="BT152" s="129">
        <f>IFERROR(AG152/$AI152,"")</f>
        <v/>
      </c>
      <c r="BU152" s="129">
        <f>IFERROR(AH152/$AI152,"")</f>
        <v/>
      </c>
      <c r="BV152" s="126">
        <f>SUM(AQ152:BD152)</f>
        <v/>
      </c>
      <c r="BW152" s="126">
        <f>SUM(BE152:BU152)</f>
        <v/>
      </c>
      <c r="BX152" s="126">
        <f>SUM(AQ152:AU152)</f>
        <v/>
      </c>
    </row>
    <row r="153">
      <c r="B153" s="127" t="n"/>
      <c r="C153" s="125" t="n"/>
      <c r="D153" s="125" t="n"/>
      <c r="E153" s="125" t="n"/>
      <c r="F153" s="125" t="n"/>
      <c r="G153" s="125" t="n"/>
      <c r="H153" s="125" t="n"/>
      <c r="I153" s="125" t="n"/>
      <c r="J153" s="125" t="n"/>
      <c r="K153" s="125" t="n"/>
      <c r="L153" s="125" t="n"/>
      <c r="M153" s="125" t="n"/>
      <c r="N153" s="125" t="n"/>
      <c r="O153" s="125" t="n"/>
      <c r="P153" s="125" t="n"/>
      <c r="Q153" s="125" t="n"/>
      <c r="R153" s="125" t="n"/>
      <c r="S153" s="125" t="n"/>
      <c r="T153" s="125" t="n"/>
      <c r="U153" s="125" t="n"/>
      <c r="V153" s="125" t="n"/>
      <c r="W153" s="125" t="n"/>
      <c r="X153" s="125" t="n"/>
      <c r="Y153" s="125" t="n"/>
      <c r="Z153" s="125" t="n"/>
      <c r="AA153" s="125" t="n"/>
      <c r="AB153" s="125" t="n"/>
      <c r="AC153" s="125" t="n"/>
      <c r="AD153" s="125" t="n"/>
      <c r="AE153" s="125" t="n"/>
      <c r="AF153" s="125" t="n"/>
      <c r="AG153" s="125" t="n"/>
      <c r="AH153" s="125" t="n"/>
      <c r="AI153" s="127">
        <f>SUM(D153:AG153,AH153)</f>
        <v/>
      </c>
      <c r="AJ153" s="126">
        <f>(SUM($D153:$Q153))/AI153</f>
        <v/>
      </c>
      <c r="AK153" s="126">
        <f>(SUM($D153:$H153))/AI153</f>
        <v/>
      </c>
      <c r="AL153" s="126">
        <f>(SUM($R153:$AH153))/AI153</f>
        <v/>
      </c>
      <c r="AM153" s="161" t="n"/>
      <c r="AN153" s="125">
        <f>YEAR(C153)</f>
        <v/>
      </c>
      <c r="AO153" s="125">
        <f>MONTH(C153)</f>
        <v/>
      </c>
      <c r="AP153" s="125">
        <f>WEEKNUM(C153,2)</f>
        <v/>
      </c>
      <c r="AQ153" s="129">
        <f>IFERROR(D153/$AI153,"")</f>
        <v/>
      </c>
      <c r="AR153" s="129">
        <f>IFERROR(E153/$AI153,"")</f>
        <v/>
      </c>
      <c r="AS153" s="129">
        <f>IFERROR(F153/$AI153,"")</f>
        <v/>
      </c>
      <c r="AT153" s="129">
        <f>IFERROR(H153/$AI153,"")</f>
        <v/>
      </c>
      <c r="AU153" s="129">
        <f>IFERROR(I153/$AI153,"")</f>
        <v/>
      </c>
      <c r="AV153" s="129">
        <f>IFERROR(J153/$AI153,"")</f>
        <v/>
      </c>
      <c r="AW153" s="129">
        <f>IFERROR(K153/$AI153,"")</f>
        <v/>
      </c>
      <c r="AX153" s="129">
        <f>IFERROR(L153/$AI153,"")</f>
        <v/>
      </c>
      <c r="AY153" s="129">
        <f>IFERROR(M153/$AI153,"")</f>
        <v/>
      </c>
      <c r="AZ153" s="129">
        <f>IFERROR(N153/$AI153,"")</f>
        <v/>
      </c>
      <c r="BA153" s="129">
        <f>IFERROR(O153/$AI153,"")</f>
        <v/>
      </c>
      <c r="BB153" s="129">
        <f>IFERROR(P153/$AI153,"")</f>
        <v/>
      </c>
      <c r="BC153" s="129">
        <f>IFERROR(AG153/$AI153,"")</f>
        <v/>
      </c>
      <c r="BD153" s="129">
        <f>IFERROR(AH153/$AI153,"")</f>
        <v/>
      </c>
      <c r="BE153" s="129">
        <f>IFERROR(R153/$AI153,"")</f>
        <v/>
      </c>
      <c r="BF153" s="129">
        <f>IFERROR(S153/$AI153,"")</f>
        <v/>
      </c>
      <c r="BG153" s="129">
        <f>IFERROR(T153/$AI153,"")</f>
        <v/>
      </c>
      <c r="BH153" s="129">
        <f>IFERROR(U153/$AI153,"")</f>
        <v/>
      </c>
      <c r="BI153" s="129">
        <f>IFERROR(V153/$AI153,"")</f>
        <v/>
      </c>
      <c r="BJ153" s="129">
        <f>IFERROR(W153/$AI153,"")</f>
        <v/>
      </c>
      <c r="BK153" s="129">
        <f>IFERROR(X153/$AI153,"")</f>
        <v/>
      </c>
      <c r="BL153" s="129">
        <f>IFERROR(Y153/$AI153,"")</f>
        <v/>
      </c>
      <c r="BM153" s="129">
        <f>IFERROR(Z153/$AI153,"")</f>
        <v/>
      </c>
      <c r="BN153" s="129">
        <f>IFERROR(AA153/$AI153,"")</f>
        <v/>
      </c>
      <c r="BO153" s="129">
        <f>IFERROR(AB153/$AI153,"")</f>
        <v/>
      </c>
      <c r="BP153" s="129">
        <f>IFERROR(AC153/$AI153,"")</f>
        <v/>
      </c>
      <c r="BQ153" s="129">
        <f>IFERROR(AD153/$AI153,"")</f>
        <v/>
      </c>
      <c r="BR153" s="129">
        <f>IFERROR(AE153/$AI153,"")</f>
        <v/>
      </c>
      <c r="BS153" s="129">
        <f>IFERROR(AF153/$AI153,"")</f>
        <v/>
      </c>
      <c r="BT153" s="129">
        <f>IFERROR(AG153/$AI153,"")</f>
        <v/>
      </c>
      <c r="BU153" s="129">
        <f>IFERROR(AH153/$AI153,"")</f>
        <v/>
      </c>
      <c r="BV153" s="126">
        <f>SUM(AQ153:BD153)</f>
        <v/>
      </c>
      <c r="BW153" s="126">
        <f>SUM(BE153:BU153)</f>
        <v/>
      </c>
      <c r="BX153" s="126">
        <f>SUM(AQ153:AU153)</f>
        <v/>
      </c>
    </row>
    <row r="154">
      <c r="B154" s="127" t="n"/>
      <c r="C154" s="125" t="n"/>
      <c r="D154" s="125" t="n"/>
      <c r="E154" s="125" t="n"/>
      <c r="F154" s="125" t="n"/>
      <c r="G154" s="125" t="n"/>
      <c r="H154" s="125" t="n"/>
      <c r="I154" s="125" t="n"/>
      <c r="J154" s="125" t="n"/>
      <c r="K154" s="125" t="n"/>
      <c r="L154" s="125" t="n"/>
      <c r="M154" s="125" t="n"/>
      <c r="N154" s="125" t="n"/>
      <c r="O154" s="125" t="n"/>
      <c r="P154" s="125" t="n"/>
      <c r="Q154" s="125" t="n"/>
      <c r="R154" s="125" t="n"/>
      <c r="S154" s="125" t="n"/>
      <c r="T154" s="125" t="n"/>
      <c r="U154" s="125" t="n"/>
      <c r="V154" s="125" t="n"/>
      <c r="W154" s="125" t="n"/>
      <c r="X154" s="125" t="n"/>
      <c r="Y154" s="125" t="n"/>
      <c r="Z154" s="125" t="n"/>
      <c r="AA154" s="125" t="n"/>
      <c r="AB154" s="125" t="n"/>
      <c r="AC154" s="125" t="n"/>
      <c r="AD154" s="125" t="n"/>
      <c r="AE154" s="125" t="n"/>
      <c r="AF154" s="125" t="n"/>
      <c r="AG154" s="125" t="n"/>
      <c r="AH154" s="125" t="n"/>
      <c r="AI154" s="127">
        <f>SUM(D154:AG154,AH154)</f>
        <v/>
      </c>
      <c r="AJ154" s="126">
        <f>(SUM($D154:$Q154))/AI154</f>
        <v/>
      </c>
      <c r="AK154" s="126">
        <f>(SUM($D154:$H154))/AI154</f>
        <v/>
      </c>
      <c r="AL154" s="126">
        <f>(SUM($R154:$AH154))/AI154</f>
        <v/>
      </c>
      <c r="AM154" s="161" t="n"/>
      <c r="AN154" s="125">
        <f>YEAR(C154)</f>
        <v/>
      </c>
      <c r="AO154" s="125">
        <f>MONTH(C154)</f>
        <v/>
      </c>
      <c r="AP154" s="125">
        <f>WEEKNUM(C154,2)</f>
        <v/>
      </c>
      <c r="AQ154" s="129">
        <f>IFERROR(D154/$AI154,"")</f>
        <v/>
      </c>
      <c r="AR154" s="129">
        <f>IFERROR(E154/$AI154,"")</f>
        <v/>
      </c>
      <c r="AS154" s="129">
        <f>IFERROR(F154/$AI154,"")</f>
        <v/>
      </c>
      <c r="AT154" s="129">
        <f>IFERROR(H154/$AI154,"")</f>
        <v/>
      </c>
      <c r="AU154" s="129">
        <f>IFERROR(I154/$AI154,"")</f>
        <v/>
      </c>
      <c r="AV154" s="129">
        <f>IFERROR(J154/$AI154,"")</f>
        <v/>
      </c>
      <c r="AW154" s="129">
        <f>IFERROR(K154/$AI154,"")</f>
        <v/>
      </c>
      <c r="AX154" s="129">
        <f>IFERROR(L154/$AI154,"")</f>
        <v/>
      </c>
      <c r="AY154" s="129">
        <f>IFERROR(M154/$AI154,"")</f>
        <v/>
      </c>
      <c r="AZ154" s="129">
        <f>IFERROR(N154/$AI154,"")</f>
        <v/>
      </c>
      <c r="BA154" s="129">
        <f>IFERROR(O154/$AI154,"")</f>
        <v/>
      </c>
      <c r="BB154" s="129">
        <f>IFERROR(P154/$AI154,"")</f>
        <v/>
      </c>
      <c r="BC154" s="129">
        <f>IFERROR(AG154/$AI154,"")</f>
        <v/>
      </c>
      <c r="BD154" s="129">
        <f>IFERROR(AH154/$AI154,"")</f>
        <v/>
      </c>
      <c r="BE154" s="129">
        <f>IFERROR(R154/$AI154,"")</f>
        <v/>
      </c>
      <c r="BF154" s="129">
        <f>IFERROR(S154/$AI154,"")</f>
        <v/>
      </c>
      <c r="BG154" s="129">
        <f>IFERROR(T154/$AI154,"")</f>
        <v/>
      </c>
      <c r="BH154" s="129">
        <f>IFERROR(U154/$AI154,"")</f>
        <v/>
      </c>
      <c r="BI154" s="129">
        <f>IFERROR(V154/$AI154,"")</f>
        <v/>
      </c>
      <c r="BJ154" s="129">
        <f>IFERROR(W154/$AI154,"")</f>
        <v/>
      </c>
      <c r="BK154" s="129">
        <f>IFERROR(X154/$AI154,"")</f>
        <v/>
      </c>
      <c r="BL154" s="129">
        <f>IFERROR(Y154/$AI154,"")</f>
        <v/>
      </c>
      <c r="BM154" s="129">
        <f>IFERROR(Z154/$AI154,"")</f>
        <v/>
      </c>
      <c r="BN154" s="129">
        <f>IFERROR(AA154/$AI154,"")</f>
        <v/>
      </c>
      <c r="BO154" s="129">
        <f>IFERROR(AB154/$AI154,"")</f>
        <v/>
      </c>
      <c r="BP154" s="129">
        <f>IFERROR(AC154/$AI154,"")</f>
        <v/>
      </c>
      <c r="BQ154" s="129">
        <f>IFERROR(AD154/$AI154,"")</f>
        <v/>
      </c>
      <c r="BR154" s="129">
        <f>IFERROR(AE154/$AI154,"")</f>
        <v/>
      </c>
      <c r="BS154" s="129">
        <f>IFERROR(AF154/$AI154,"")</f>
        <v/>
      </c>
      <c r="BT154" s="129">
        <f>IFERROR(AG154/$AI154,"")</f>
        <v/>
      </c>
      <c r="BU154" s="129">
        <f>IFERROR(AH154/$AI154,"")</f>
        <v/>
      </c>
      <c r="BV154" s="126">
        <f>SUM(AQ154:BD154)</f>
        <v/>
      </c>
      <c r="BW154" s="126">
        <f>SUM(BE154:BU154)</f>
        <v/>
      </c>
      <c r="BX154" s="126">
        <f>SUM(AQ154:AU154)</f>
        <v/>
      </c>
    </row>
    <row r="155">
      <c r="B155" s="127" t="n"/>
      <c r="C155" s="125" t="n"/>
      <c r="D155" s="125" t="n"/>
      <c r="E155" s="125" t="n"/>
      <c r="F155" s="125" t="n"/>
      <c r="G155" s="125" t="n"/>
      <c r="H155" s="125" t="n"/>
      <c r="I155" s="125" t="n"/>
      <c r="J155" s="125" t="n"/>
      <c r="K155" s="125" t="n"/>
      <c r="L155" s="125" t="n"/>
      <c r="M155" s="125" t="n"/>
      <c r="N155" s="125" t="n"/>
      <c r="O155" s="125" t="n"/>
      <c r="P155" s="125" t="n"/>
      <c r="Q155" s="125" t="n"/>
      <c r="R155" s="125" t="n"/>
      <c r="S155" s="125" t="n"/>
      <c r="T155" s="125" t="n"/>
      <c r="U155" s="125" t="n"/>
      <c r="V155" s="125" t="n"/>
      <c r="W155" s="125" t="n"/>
      <c r="X155" s="125" t="n"/>
      <c r="Y155" s="125" t="n"/>
      <c r="Z155" s="125" t="n"/>
      <c r="AA155" s="125" t="n"/>
      <c r="AB155" s="125" t="n"/>
      <c r="AC155" s="125" t="n"/>
      <c r="AD155" s="125" t="n"/>
      <c r="AE155" s="125" t="n"/>
      <c r="AF155" s="125" t="n"/>
      <c r="AG155" s="125" t="n"/>
      <c r="AH155" s="125" t="n"/>
      <c r="AI155" s="127">
        <f>SUM(D155:AG155,AH155)</f>
        <v/>
      </c>
      <c r="AJ155" s="126">
        <f>(SUM($D155:$Q155))/AI155</f>
        <v/>
      </c>
      <c r="AK155" s="126">
        <f>(SUM($D155:$H155))/AI155</f>
        <v/>
      </c>
      <c r="AL155" s="126">
        <f>(SUM($R155:$AH155))/AI155</f>
        <v/>
      </c>
      <c r="AM155" s="161" t="n"/>
      <c r="AN155" s="125">
        <f>YEAR(C155)</f>
        <v/>
      </c>
      <c r="AO155" s="125">
        <f>MONTH(C155)</f>
        <v/>
      </c>
      <c r="AP155" s="125">
        <f>WEEKNUM(C155,2)</f>
        <v/>
      </c>
      <c r="AQ155" s="129">
        <f>IFERROR(D155/$AI155,"")</f>
        <v/>
      </c>
      <c r="AR155" s="129">
        <f>IFERROR(E155/$AI155,"")</f>
        <v/>
      </c>
      <c r="AS155" s="129">
        <f>IFERROR(F155/$AI155,"")</f>
        <v/>
      </c>
      <c r="AT155" s="129">
        <f>IFERROR(H155/$AI155,"")</f>
        <v/>
      </c>
      <c r="AU155" s="129">
        <f>IFERROR(I155/$AI155,"")</f>
        <v/>
      </c>
      <c r="AV155" s="129">
        <f>IFERROR(J155/$AI155,"")</f>
        <v/>
      </c>
      <c r="AW155" s="129">
        <f>IFERROR(K155/$AI155,"")</f>
        <v/>
      </c>
      <c r="AX155" s="129">
        <f>IFERROR(L155/$AI155,"")</f>
        <v/>
      </c>
      <c r="AY155" s="129">
        <f>IFERROR(M155/$AI155,"")</f>
        <v/>
      </c>
      <c r="AZ155" s="129">
        <f>IFERROR(N155/$AI155,"")</f>
        <v/>
      </c>
      <c r="BA155" s="129">
        <f>IFERROR(O155/$AI155,"")</f>
        <v/>
      </c>
      <c r="BB155" s="129">
        <f>IFERROR(P155/$AI155,"")</f>
        <v/>
      </c>
      <c r="BC155" s="129">
        <f>IFERROR(AG155/$AI155,"")</f>
        <v/>
      </c>
      <c r="BD155" s="129">
        <f>IFERROR(AH155/$AI155,"")</f>
        <v/>
      </c>
      <c r="BE155" s="129">
        <f>IFERROR(R155/$AI155,"")</f>
        <v/>
      </c>
      <c r="BF155" s="129">
        <f>IFERROR(S155/$AI155,"")</f>
        <v/>
      </c>
      <c r="BG155" s="129">
        <f>IFERROR(T155/$AI155,"")</f>
        <v/>
      </c>
      <c r="BH155" s="129">
        <f>IFERROR(U155/$AI155,"")</f>
        <v/>
      </c>
      <c r="BI155" s="129">
        <f>IFERROR(V155/$AI155,"")</f>
        <v/>
      </c>
      <c r="BJ155" s="129">
        <f>IFERROR(W155/$AI155,"")</f>
        <v/>
      </c>
      <c r="BK155" s="129">
        <f>IFERROR(X155/$AI155,"")</f>
        <v/>
      </c>
      <c r="BL155" s="129">
        <f>IFERROR(Y155/$AI155,"")</f>
        <v/>
      </c>
      <c r="BM155" s="129">
        <f>IFERROR(Z155/$AI155,"")</f>
        <v/>
      </c>
      <c r="BN155" s="129">
        <f>IFERROR(AA155/$AI155,"")</f>
        <v/>
      </c>
      <c r="BO155" s="129">
        <f>IFERROR(AB155/$AI155,"")</f>
        <v/>
      </c>
      <c r="BP155" s="129">
        <f>IFERROR(AC155/$AI155,"")</f>
        <v/>
      </c>
      <c r="BQ155" s="129">
        <f>IFERROR(AD155/$AI155,"")</f>
        <v/>
      </c>
      <c r="BR155" s="129">
        <f>IFERROR(AE155/$AI155,"")</f>
        <v/>
      </c>
      <c r="BS155" s="129">
        <f>IFERROR(AF155/$AI155,"")</f>
        <v/>
      </c>
      <c r="BT155" s="129">
        <f>IFERROR(AG155/$AI155,"")</f>
        <v/>
      </c>
      <c r="BU155" s="129">
        <f>IFERROR(AH155/$AI155,"")</f>
        <v/>
      </c>
      <c r="BV155" s="126">
        <f>SUM(AQ155:BD155)</f>
        <v/>
      </c>
      <c r="BW155" s="126">
        <f>SUM(BE155:BU155)</f>
        <v/>
      </c>
      <c r="BX155" s="126">
        <f>SUM(AQ155:AU155)</f>
        <v/>
      </c>
    </row>
    <row r="156">
      <c r="B156" s="127" t="n"/>
      <c r="C156" s="125" t="n"/>
      <c r="D156" s="125" t="n"/>
      <c r="E156" s="125" t="n"/>
      <c r="F156" s="125" t="n"/>
      <c r="G156" s="125" t="n"/>
      <c r="H156" s="125" t="n"/>
      <c r="I156" s="125" t="n"/>
      <c r="J156" s="125" t="n"/>
      <c r="K156" s="125" t="n"/>
      <c r="L156" s="125" t="n"/>
      <c r="M156" s="125" t="n"/>
      <c r="N156" s="125" t="n"/>
      <c r="O156" s="125" t="n"/>
      <c r="P156" s="125" t="n"/>
      <c r="Q156" s="125" t="n"/>
      <c r="R156" s="125" t="n"/>
      <c r="S156" s="125" t="n"/>
      <c r="T156" s="125" t="n"/>
      <c r="U156" s="125" t="n"/>
      <c r="V156" s="125" t="n"/>
      <c r="W156" s="125" t="n"/>
      <c r="X156" s="125" t="n"/>
      <c r="Y156" s="125" t="n"/>
      <c r="Z156" s="125" t="n"/>
      <c r="AA156" s="125" t="n"/>
      <c r="AB156" s="125" t="n"/>
      <c r="AC156" s="125" t="n"/>
      <c r="AD156" s="125" t="n"/>
      <c r="AE156" s="125" t="n"/>
      <c r="AF156" s="125" t="n"/>
      <c r="AG156" s="125" t="n"/>
      <c r="AH156" s="125" t="n"/>
      <c r="AI156" s="127">
        <f>SUM(D156:AG156,AH156)</f>
        <v/>
      </c>
      <c r="AJ156" s="126">
        <f>(SUM($D156:$Q156))/AI156</f>
        <v/>
      </c>
      <c r="AK156" s="126">
        <f>(SUM($D156:$H156))/AI156</f>
        <v/>
      </c>
      <c r="AL156" s="126">
        <f>(SUM($R156:$AH156))/AI156</f>
        <v/>
      </c>
      <c r="AM156" s="161" t="n"/>
      <c r="AN156" s="125">
        <f>YEAR(C156)</f>
        <v/>
      </c>
      <c r="AO156" s="125">
        <f>MONTH(C156)</f>
        <v/>
      </c>
      <c r="AP156" s="125">
        <f>WEEKNUM(C156,2)</f>
        <v/>
      </c>
      <c r="AQ156" s="129">
        <f>IFERROR(D156/$AI156,"")</f>
        <v/>
      </c>
      <c r="AR156" s="129">
        <f>IFERROR(E156/$AI156,"")</f>
        <v/>
      </c>
      <c r="AS156" s="129">
        <f>IFERROR(F156/$AI156,"")</f>
        <v/>
      </c>
      <c r="AT156" s="129">
        <f>IFERROR(H156/$AI156,"")</f>
        <v/>
      </c>
      <c r="AU156" s="129">
        <f>IFERROR(I156/$AI156,"")</f>
        <v/>
      </c>
      <c r="AV156" s="129">
        <f>IFERROR(J156/$AI156,"")</f>
        <v/>
      </c>
      <c r="AW156" s="129">
        <f>IFERROR(K156/$AI156,"")</f>
        <v/>
      </c>
      <c r="AX156" s="129">
        <f>IFERROR(L156/$AI156,"")</f>
        <v/>
      </c>
      <c r="AY156" s="129">
        <f>IFERROR(M156/$AI156,"")</f>
        <v/>
      </c>
      <c r="AZ156" s="129">
        <f>IFERROR(N156/$AI156,"")</f>
        <v/>
      </c>
      <c r="BA156" s="129">
        <f>IFERROR(O156/$AI156,"")</f>
        <v/>
      </c>
      <c r="BB156" s="129">
        <f>IFERROR(P156/$AI156,"")</f>
        <v/>
      </c>
      <c r="BC156" s="129">
        <f>IFERROR(AG156/$AI156,"")</f>
        <v/>
      </c>
      <c r="BD156" s="129">
        <f>IFERROR(AH156/$AI156,"")</f>
        <v/>
      </c>
      <c r="BE156" s="129">
        <f>IFERROR(R156/$AI156,"")</f>
        <v/>
      </c>
      <c r="BF156" s="129">
        <f>IFERROR(S156/$AI156,"")</f>
        <v/>
      </c>
      <c r="BG156" s="129">
        <f>IFERROR(T156/$AI156,"")</f>
        <v/>
      </c>
      <c r="BH156" s="129">
        <f>IFERROR(U156/$AI156,"")</f>
        <v/>
      </c>
      <c r="BI156" s="129">
        <f>IFERROR(V156/$AI156,"")</f>
        <v/>
      </c>
      <c r="BJ156" s="129">
        <f>IFERROR(W156/$AI156,"")</f>
        <v/>
      </c>
      <c r="BK156" s="129">
        <f>IFERROR(X156/$AI156,"")</f>
        <v/>
      </c>
      <c r="BL156" s="129">
        <f>IFERROR(Y156/$AI156,"")</f>
        <v/>
      </c>
      <c r="BM156" s="129">
        <f>IFERROR(Z156/$AI156,"")</f>
        <v/>
      </c>
      <c r="BN156" s="129">
        <f>IFERROR(AA156/$AI156,"")</f>
        <v/>
      </c>
      <c r="BO156" s="129">
        <f>IFERROR(AB156/$AI156,"")</f>
        <v/>
      </c>
      <c r="BP156" s="129">
        <f>IFERROR(AC156/$AI156,"")</f>
        <v/>
      </c>
      <c r="BQ156" s="129">
        <f>IFERROR(AD156/$AI156,"")</f>
        <v/>
      </c>
      <c r="BR156" s="129">
        <f>IFERROR(AE156/$AI156,"")</f>
        <v/>
      </c>
      <c r="BS156" s="129">
        <f>IFERROR(AF156/$AI156,"")</f>
        <v/>
      </c>
      <c r="BT156" s="129">
        <f>IFERROR(AG156/$AI156,"")</f>
        <v/>
      </c>
      <c r="BU156" s="129">
        <f>IFERROR(AH156/$AI156,"")</f>
        <v/>
      </c>
      <c r="BV156" s="126">
        <f>SUM(AQ156:BD156)</f>
        <v/>
      </c>
      <c r="BW156" s="126">
        <f>SUM(BE156:BU156)</f>
        <v/>
      </c>
      <c r="BX156" s="126">
        <f>SUM(AQ156:AU156)</f>
        <v/>
      </c>
    </row>
    <row r="157">
      <c r="B157" s="127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5" t="n"/>
      <c r="U157" s="125" t="n"/>
      <c r="V157" s="125" t="n"/>
      <c r="W157" s="125" t="n"/>
      <c r="X157" s="125" t="n"/>
      <c r="Y157" s="125" t="n"/>
      <c r="Z157" s="125" t="n"/>
      <c r="AA157" s="125" t="n"/>
      <c r="AB157" s="125" t="n"/>
      <c r="AC157" s="125" t="n"/>
      <c r="AD157" s="125" t="n"/>
      <c r="AE157" s="125" t="n"/>
      <c r="AF157" s="125" t="n"/>
      <c r="AG157" s="125" t="n"/>
      <c r="AH157" s="125" t="n"/>
      <c r="AI157" s="127">
        <f>SUM(D157:AG157,AH157)</f>
        <v/>
      </c>
      <c r="AJ157" s="126">
        <f>(SUM($D157:$Q157))/AI157</f>
        <v/>
      </c>
      <c r="AK157" s="126">
        <f>(SUM($D157:$H157))/AI157</f>
        <v/>
      </c>
      <c r="AL157" s="126">
        <f>(SUM($R157:$AH157))/AI157</f>
        <v/>
      </c>
      <c r="AM157" s="161" t="n"/>
      <c r="AN157" s="125">
        <f>YEAR(C157)</f>
        <v/>
      </c>
      <c r="AO157" s="125">
        <f>MONTH(C157)</f>
        <v/>
      </c>
      <c r="AP157" s="125">
        <f>WEEKNUM(C157,2)</f>
        <v/>
      </c>
      <c r="AQ157" s="129">
        <f>IFERROR(D157/$AI157,"")</f>
        <v/>
      </c>
      <c r="AR157" s="129">
        <f>IFERROR(E157/$AI157,"")</f>
        <v/>
      </c>
      <c r="AS157" s="129">
        <f>IFERROR(F157/$AI157,"")</f>
        <v/>
      </c>
      <c r="AT157" s="129">
        <f>IFERROR(H157/$AI157,"")</f>
        <v/>
      </c>
      <c r="AU157" s="129">
        <f>IFERROR(I157/$AI157,"")</f>
        <v/>
      </c>
      <c r="AV157" s="129">
        <f>IFERROR(J157/$AI157,"")</f>
        <v/>
      </c>
      <c r="AW157" s="129">
        <f>IFERROR(K157/$AI157,"")</f>
        <v/>
      </c>
      <c r="AX157" s="129">
        <f>IFERROR(L157/$AI157,"")</f>
        <v/>
      </c>
      <c r="AY157" s="129">
        <f>IFERROR(M157/$AI157,"")</f>
        <v/>
      </c>
      <c r="AZ157" s="129">
        <f>IFERROR(N157/$AI157,"")</f>
        <v/>
      </c>
      <c r="BA157" s="129">
        <f>IFERROR(O157/$AI157,"")</f>
        <v/>
      </c>
      <c r="BB157" s="129">
        <f>IFERROR(P157/$AI157,"")</f>
        <v/>
      </c>
      <c r="BC157" s="129">
        <f>IFERROR(AG157/$AI157,"")</f>
        <v/>
      </c>
      <c r="BD157" s="129">
        <f>IFERROR(AH157/$AI157,"")</f>
        <v/>
      </c>
      <c r="BE157" s="129">
        <f>IFERROR(R157/$AI157,"")</f>
        <v/>
      </c>
      <c r="BF157" s="129">
        <f>IFERROR(S157/$AI157,"")</f>
        <v/>
      </c>
      <c r="BG157" s="129">
        <f>IFERROR(T157/$AI157,"")</f>
        <v/>
      </c>
      <c r="BH157" s="129">
        <f>IFERROR(U157/$AI157,"")</f>
        <v/>
      </c>
      <c r="BI157" s="129">
        <f>IFERROR(V157/$AI157,"")</f>
        <v/>
      </c>
      <c r="BJ157" s="129">
        <f>IFERROR(W157/$AI157,"")</f>
        <v/>
      </c>
      <c r="BK157" s="129">
        <f>IFERROR(X157/$AI157,"")</f>
        <v/>
      </c>
      <c r="BL157" s="129">
        <f>IFERROR(Y157/$AI157,"")</f>
        <v/>
      </c>
      <c r="BM157" s="129">
        <f>IFERROR(Z157/$AI157,"")</f>
        <v/>
      </c>
      <c r="BN157" s="129">
        <f>IFERROR(AA157/$AI157,"")</f>
        <v/>
      </c>
      <c r="BO157" s="129">
        <f>IFERROR(AB157/$AI157,"")</f>
        <v/>
      </c>
      <c r="BP157" s="129">
        <f>IFERROR(AC157/$AI157,"")</f>
        <v/>
      </c>
      <c r="BQ157" s="129">
        <f>IFERROR(AD157/$AI157,"")</f>
        <v/>
      </c>
      <c r="BR157" s="129">
        <f>IFERROR(AE157/$AI157,"")</f>
        <v/>
      </c>
      <c r="BS157" s="129">
        <f>IFERROR(AF157/$AI157,"")</f>
        <v/>
      </c>
      <c r="BT157" s="129">
        <f>IFERROR(AG157/$AI157,"")</f>
        <v/>
      </c>
      <c r="BU157" s="129">
        <f>IFERROR(AH157/$AI157,"")</f>
        <v/>
      </c>
      <c r="BV157" s="126">
        <f>SUM(AQ157:BD157)</f>
        <v/>
      </c>
      <c r="BW157" s="126">
        <f>SUM(BE157:BU157)</f>
        <v/>
      </c>
      <c r="BX157" s="126">
        <f>SUM(AQ157:AU157)</f>
        <v/>
      </c>
    </row>
    <row r="158">
      <c r="B158" s="127" t="n"/>
      <c r="C158" s="125" t="n"/>
      <c r="D158" s="125" t="n"/>
      <c r="E158" s="125" t="n"/>
      <c r="F158" s="125" t="n"/>
      <c r="G158" s="125" t="n"/>
      <c r="H158" s="125" t="n"/>
      <c r="I158" s="125" t="n"/>
      <c r="J158" s="125" t="n"/>
      <c r="K158" s="125" t="n"/>
      <c r="L158" s="125" t="n"/>
      <c r="M158" s="125" t="n"/>
      <c r="N158" s="125" t="n"/>
      <c r="O158" s="125" t="n"/>
      <c r="P158" s="125" t="n"/>
      <c r="Q158" s="125" t="n"/>
      <c r="R158" s="125" t="n"/>
      <c r="S158" s="125" t="n"/>
      <c r="T158" s="125" t="n"/>
      <c r="U158" s="125" t="n"/>
      <c r="V158" s="125" t="n"/>
      <c r="W158" s="125" t="n"/>
      <c r="X158" s="125" t="n"/>
      <c r="Y158" s="125" t="n"/>
      <c r="Z158" s="125" t="n"/>
      <c r="AA158" s="125" t="n"/>
      <c r="AB158" s="125" t="n"/>
      <c r="AC158" s="125" t="n"/>
      <c r="AD158" s="125" t="n"/>
      <c r="AE158" s="125" t="n"/>
      <c r="AF158" s="125" t="n"/>
      <c r="AG158" s="125" t="n"/>
      <c r="AH158" s="125" t="n"/>
      <c r="AI158" s="127">
        <f>SUM(D158:AG158,AH158)</f>
        <v/>
      </c>
      <c r="AJ158" s="126">
        <f>(SUM($D158:$Q158))/AI158</f>
        <v/>
      </c>
      <c r="AK158" s="126">
        <f>(SUM($D158:$H158))/AI158</f>
        <v/>
      </c>
      <c r="AL158" s="126">
        <f>(SUM($R158:$AH158))/AI158</f>
        <v/>
      </c>
      <c r="AM158" s="161" t="n"/>
      <c r="AN158" s="125">
        <f>YEAR(C158)</f>
        <v/>
      </c>
      <c r="AO158" s="125">
        <f>MONTH(C158)</f>
        <v/>
      </c>
      <c r="AP158" s="125">
        <f>WEEKNUM(C158,2)</f>
        <v/>
      </c>
      <c r="AQ158" s="129">
        <f>IFERROR(D158/$AI158,"")</f>
        <v/>
      </c>
      <c r="AR158" s="129">
        <f>IFERROR(E158/$AI158,"")</f>
        <v/>
      </c>
      <c r="AS158" s="129">
        <f>IFERROR(F158/$AI158,"")</f>
        <v/>
      </c>
      <c r="AT158" s="129">
        <f>IFERROR(H158/$AI158,"")</f>
        <v/>
      </c>
      <c r="AU158" s="129">
        <f>IFERROR(I158/$AI158,"")</f>
        <v/>
      </c>
      <c r="AV158" s="129">
        <f>IFERROR(J158/$AI158,"")</f>
        <v/>
      </c>
      <c r="AW158" s="129">
        <f>IFERROR(K158/$AI158,"")</f>
        <v/>
      </c>
      <c r="AX158" s="129">
        <f>IFERROR(L158/$AI158,"")</f>
        <v/>
      </c>
      <c r="AY158" s="129">
        <f>IFERROR(M158/$AI158,"")</f>
        <v/>
      </c>
      <c r="AZ158" s="129">
        <f>IFERROR(N158/$AI158,"")</f>
        <v/>
      </c>
      <c r="BA158" s="129">
        <f>IFERROR(O158/$AI158,"")</f>
        <v/>
      </c>
      <c r="BB158" s="129">
        <f>IFERROR(P158/$AI158,"")</f>
        <v/>
      </c>
      <c r="BC158" s="129">
        <f>IFERROR(AG158/$AI158,"")</f>
        <v/>
      </c>
      <c r="BD158" s="129">
        <f>IFERROR(AH158/$AI158,"")</f>
        <v/>
      </c>
      <c r="BE158" s="129">
        <f>IFERROR(R158/$AI158,"")</f>
        <v/>
      </c>
      <c r="BF158" s="129">
        <f>IFERROR(S158/$AI158,"")</f>
        <v/>
      </c>
      <c r="BG158" s="129">
        <f>IFERROR(T158/$AI158,"")</f>
        <v/>
      </c>
      <c r="BH158" s="129">
        <f>IFERROR(U158/$AI158,"")</f>
        <v/>
      </c>
      <c r="BI158" s="129">
        <f>IFERROR(V158/$AI158,"")</f>
        <v/>
      </c>
      <c r="BJ158" s="129">
        <f>IFERROR(W158/$AI158,"")</f>
        <v/>
      </c>
      <c r="BK158" s="129">
        <f>IFERROR(X158/$AI158,"")</f>
        <v/>
      </c>
      <c r="BL158" s="129">
        <f>IFERROR(Y158/$AI158,"")</f>
        <v/>
      </c>
      <c r="BM158" s="129">
        <f>IFERROR(Z158/$AI158,"")</f>
        <v/>
      </c>
      <c r="BN158" s="129">
        <f>IFERROR(AA158/$AI158,"")</f>
        <v/>
      </c>
      <c r="BO158" s="129">
        <f>IFERROR(AB158/$AI158,"")</f>
        <v/>
      </c>
      <c r="BP158" s="129">
        <f>IFERROR(AC158/$AI158,"")</f>
        <v/>
      </c>
      <c r="BQ158" s="129">
        <f>IFERROR(AD158/$AI158,"")</f>
        <v/>
      </c>
      <c r="BR158" s="129">
        <f>IFERROR(AE158/$AI158,"")</f>
        <v/>
      </c>
      <c r="BS158" s="129">
        <f>IFERROR(AF158/$AI158,"")</f>
        <v/>
      </c>
      <c r="BT158" s="129">
        <f>IFERROR(AG158/$AI158,"")</f>
        <v/>
      </c>
      <c r="BU158" s="129">
        <f>IFERROR(AH158/$AI158,"")</f>
        <v/>
      </c>
      <c r="BV158" s="126">
        <f>SUM(AQ158:BD158)</f>
        <v/>
      </c>
      <c r="BW158" s="126">
        <f>SUM(BE158:BU158)</f>
        <v/>
      </c>
      <c r="BX158" s="126">
        <f>SUM(AQ158:AU158)</f>
        <v/>
      </c>
    </row>
    <row r="159">
      <c r="B159" s="127" t="n"/>
      <c r="C159" s="125" t="n"/>
      <c r="D159" s="125" t="n"/>
      <c r="E159" s="125" t="n"/>
      <c r="F159" s="125" t="n"/>
      <c r="G159" s="125" t="n"/>
      <c r="H159" s="125" t="n"/>
      <c r="I159" s="125" t="n"/>
      <c r="J159" s="125" t="n"/>
      <c r="K159" s="125" t="n"/>
      <c r="L159" s="125" t="n"/>
      <c r="M159" s="125" t="n"/>
      <c r="N159" s="125" t="n"/>
      <c r="O159" s="125" t="n"/>
      <c r="P159" s="125" t="n"/>
      <c r="Q159" s="125" t="n"/>
      <c r="R159" s="125" t="n"/>
      <c r="S159" s="125" t="n"/>
      <c r="T159" s="125" t="n"/>
      <c r="U159" s="125" t="n"/>
      <c r="V159" s="125" t="n"/>
      <c r="W159" s="125" t="n"/>
      <c r="X159" s="125" t="n"/>
      <c r="Y159" s="125" t="n"/>
      <c r="Z159" s="125" t="n"/>
      <c r="AA159" s="125" t="n"/>
      <c r="AB159" s="125" t="n"/>
      <c r="AC159" s="125" t="n"/>
      <c r="AD159" s="125" t="n"/>
      <c r="AE159" s="125" t="n"/>
      <c r="AF159" s="125" t="n"/>
      <c r="AG159" s="125" t="n"/>
      <c r="AH159" s="125" t="n"/>
      <c r="AI159" s="127">
        <f>SUM(D159:AG159,AH159)</f>
        <v/>
      </c>
      <c r="AJ159" s="126">
        <f>(SUM($D159:$Q159))/AI159</f>
        <v/>
      </c>
      <c r="AK159" s="126">
        <f>(SUM($D159:$H159))/AI159</f>
        <v/>
      </c>
      <c r="AL159" s="126">
        <f>(SUM($R159:$AH159))/AI159</f>
        <v/>
      </c>
      <c r="AM159" s="161" t="n"/>
      <c r="AN159" s="125">
        <f>YEAR(C159)</f>
        <v/>
      </c>
      <c r="AO159" s="125">
        <f>MONTH(C159)</f>
        <v/>
      </c>
      <c r="AP159" s="125">
        <f>WEEKNUM(C159,2)</f>
        <v/>
      </c>
      <c r="AQ159" s="129">
        <f>IFERROR(D159/$AI159,"")</f>
        <v/>
      </c>
      <c r="AR159" s="129">
        <f>IFERROR(E159/$AI159,"")</f>
        <v/>
      </c>
      <c r="AS159" s="129">
        <f>IFERROR(F159/$AI159,"")</f>
        <v/>
      </c>
      <c r="AT159" s="129">
        <f>IFERROR(H159/$AI159,"")</f>
        <v/>
      </c>
      <c r="AU159" s="129">
        <f>IFERROR(I159/$AI159,"")</f>
        <v/>
      </c>
      <c r="AV159" s="129">
        <f>IFERROR(J159/$AI159,"")</f>
        <v/>
      </c>
      <c r="AW159" s="129">
        <f>IFERROR(K159/$AI159,"")</f>
        <v/>
      </c>
      <c r="AX159" s="129">
        <f>IFERROR(L159/$AI159,"")</f>
        <v/>
      </c>
      <c r="AY159" s="129">
        <f>IFERROR(M159/$AI159,"")</f>
        <v/>
      </c>
      <c r="AZ159" s="129">
        <f>IFERROR(N159/$AI159,"")</f>
        <v/>
      </c>
      <c r="BA159" s="129">
        <f>IFERROR(O159/$AI159,"")</f>
        <v/>
      </c>
      <c r="BB159" s="129">
        <f>IFERROR(P159/$AI159,"")</f>
        <v/>
      </c>
      <c r="BC159" s="129">
        <f>IFERROR(AG159/$AI159,"")</f>
        <v/>
      </c>
      <c r="BD159" s="129">
        <f>IFERROR(AH159/$AI159,"")</f>
        <v/>
      </c>
      <c r="BE159" s="129">
        <f>IFERROR(R159/$AI159,"")</f>
        <v/>
      </c>
      <c r="BF159" s="129">
        <f>IFERROR(S159/$AI159,"")</f>
        <v/>
      </c>
      <c r="BG159" s="129">
        <f>IFERROR(T159/$AI159,"")</f>
        <v/>
      </c>
      <c r="BH159" s="129">
        <f>IFERROR(U159/$AI159,"")</f>
        <v/>
      </c>
      <c r="BI159" s="129">
        <f>IFERROR(V159/$AI159,"")</f>
        <v/>
      </c>
      <c r="BJ159" s="129">
        <f>IFERROR(W159/$AI159,"")</f>
        <v/>
      </c>
      <c r="BK159" s="129">
        <f>IFERROR(X159/$AI159,"")</f>
        <v/>
      </c>
      <c r="BL159" s="129">
        <f>IFERROR(Y159/$AI159,"")</f>
        <v/>
      </c>
      <c r="BM159" s="129">
        <f>IFERROR(Z159/$AI159,"")</f>
        <v/>
      </c>
      <c r="BN159" s="129">
        <f>IFERROR(AA159/$AI159,"")</f>
        <v/>
      </c>
      <c r="BO159" s="129">
        <f>IFERROR(AB159/$AI159,"")</f>
        <v/>
      </c>
      <c r="BP159" s="129">
        <f>IFERROR(AC159/$AI159,"")</f>
        <v/>
      </c>
      <c r="BQ159" s="129">
        <f>IFERROR(AD159/$AI159,"")</f>
        <v/>
      </c>
      <c r="BR159" s="129">
        <f>IFERROR(AE159/$AI159,"")</f>
        <v/>
      </c>
      <c r="BS159" s="129">
        <f>IFERROR(AF159/$AI159,"")</f>
        <v/>
      </c>
      <c r="BT159" s="129">
        <f>IFERROR(AG159/$AI159,"")</f>
        <v/>
      </c>
      <c r="BU159" s="129">
        <f>IFERROR(AH159/$AI159,"")</f>
        <v/>
      </c>
      <c r="BV159" s="126">
        <f>SUM(AQ159:BD159)</f>
        <v/>
      </c>
      <c r="BW159" s="126">
        <f>SUM(BE159:BU159)</f>
        <v/>
      </c>
      <c r="BX159" s="126">
        <f>SUM(AQ159:AU159)</f>
        <v/>
      </c>
    </row>
    <row r="160">
      <c r="B160" s="127" t="n"/>
      <c r="C160" s="125" t="n"/>
      <c r="D160" s="125" t="n"/>
      <c r="E160" s="125" t="n"/>
      <c r="F160" s="125" t="n"/>
      <c r="G160" s="125" t="n"/>
      <c r="H160" s="125" t="n"/>
      <c r="I160" s="125" t="n"/>
      <c r="J160" s="125" t="n"/>
      <c r="K160" s="125" t="n"/>
      <c r="L160" s="125" t="n"/>
      <c r="M160" s="125" t="n"/>
      <c r="N160" s="125" t="n"/>
      <c r="O160" s="125" t="n"/>
      <c r="P160" s="125" t="n"/>
      <c r="Q160" s="125" t="n"/>
      <c r="R160" s="125" t="n"/>
      <c r="S160" s="125" t="n"/>
      <c r="T160" s="125" t="n"/>
      <c r="U160" s="125" t="n"/>
      <c r="V160" s="125" t="n"/>
      <c r="W160" s="125" t="n"/>
      <c r="X160" s="125" t="n"/>
      <c r="Y160" s="125" t="n"/>
      <c r="Z160" s="125" t="n"/>
      <c r="AA160" s="125" t="n"/>
      <c r="AB160" s="125" t="n"/>
      <c r="AC160" s="125" t="n"/>
      <c r="AD160" s="125" t="n"/>
      <c r="AE160" s="125" t="n"/>
      <c r="AF160" s="125" t="n"/>
      <c r="AG160" s="125" t="n"/>
      <c r="AH160" s="125" t="n"/>
      <c r="AI160" s="127">
        <f>SUM(D160:AG160,AH160)</f>
        <v/>
      </c>
      <c r="AJ160" s="126">
        <f>(SUM($D160:$Q160))/AI160</f>
        <v/>
      </c>
      <c r="AK160" s="126">
        <f>(SUM($D160:$H160))/AI160</f>
        <v/>
      </c>
      <c r="AL160" s="126">
        <f>(SUM($R160:$AH160))/AI160</f>
        <v/>
      </c>
      <c r="AM160" s="161" t="n"/>
      <c r="AN160" s="125">
        <f>YEAR(C160)</f>
        <v/>
      </c>
      <c r="AO160" s="125">
        <f>MONTH(C160)</f>
        <v/>
      </c>
      <c r="AP160" s="125">
        <f>WEEKNUM(C160,2)</f>
        <v/>
      </c>
      <c r="AQ160" s="129">
        <f>IFERROR(D160/$AI160,"")</f>
        <v/>
      </c>
      <c r="AR160" s="129">
        <f>IFERROR(E160/$AI160,"")</f>
        <v/>
      </c>
      <c r="AS160" s="129">
        <f>IFERROR(F160/$AI160,"")</f>
        <v/>
      </c>
      <c r="AT160" s="129">
        <f>IFERROR(H160/$AI160,"")</f>
        <v/>
      </c>
      <c r="AU160" s="129">
        <f>IFERROR(I160/$AI160,"")</f>
        <v/>
      </c>
      <c r="AV160" s="129">
        <f>IFERROR(J160/$AI160,"")</f>
        <v/>
      </c>
      <c r="AW160" s="129">
        <f>IFERROR(K160/$AI160,"")</f>
        <v/>
      </c>
      <c r="AX160" s="129">
        <f>IFERROR(L160/$AI160,"")</f>
        <v/>
      </c>
      <c r="AY160" s="129">
        <f>IFERROR(M160/$AI160,"")</f>
        <v/>
      </c>
      <c r="AZ160" s="129">
        <f>IFERROR(N160/$AI160,"")</f>
        <v/>
      </c>
      <c r="BA160" s="129">
        <f>IFERROR(O160/$AI160,"")</f>
        <v/>
      </c>
      <c r="BB160" s="129">
        <f>IFERROR(P160/$AI160,"")</f>
        <v/>
      </c>
      <c r="BC160" s="129">
        <f>IFERROR(AG160/$AI160,"")</f>
        <v/>
      </c>
      <c r="BD160" s="129">
        <f>IFERROR(AH160/$AI160,"")</f>
        <v/>
      </c>
      <c r="BE160" s="129">
        <f>IFERROR(R160/$AI160,"")</f>
        <v/>
      </c>
      <c r="BF160" s="129">
        <f>IFERROR(S160/$AI160,"")</f>
        <v/>
      </c>
      <c r="BG160" s="129">
        <f>IFERROR(T160/$AI160,"")</f>
        <v/>
      </c>
      <c r="BH160" s="129">
        <f>IFERROR(U160/$AI160,"")</f>
        <v/>
      </c>
      <c r="BI160" s="129">
        <f>IFERROR(V160/$AI160,"")</f>
        <v/>
      </c>
      <c r="BJ160" s="129">
        <f>IFERROR(W160/$AI160,"")</f>
        <v/>
      </c>
      <c r="BK160" s="129">
        <f>IFERROR(X160/$AI160,"")</f>
        <v/>
      </c>
      <c r="BL160" s="129">
        <f>IFERROR(Y160/$AI160,"")</f>
        <v/>
      </c>
      <c r="BM160" s="129">
        <f>IFERROR(Z160/$AI160,"")</f>
        <v/>
      </c>
      <c r="BN160" s="129">
        <f>IFERROR(AA160/$AI160,"")</f>
        <v/>
      </c>
      <c r="BO160" s="129">
        <f>IFERROR(AB160/$AI160,"")</f>
        <v/>
      </c>
      <c r="BP160" s="129">
        <f>IFERROR(AC160/$AI160,"")</f>
        <v/>
      </c>
      <c r="BQ160" s="129">
        <f>IFERROR(AD160/$AI160,"")</f>
        <v/>
      </c>
      <c r="BR160" s="129">
        <f>IFERROR(AE160/$AI160,"")</f>
        <v/>
      </c>
      <c r="BS160" s="129">
        <f>IFERROR(AF160/$AI160,"")</f>
        <v/>
      </c>
      <c r="BT160" s="129">
        <f>IFERROR(AG160/$AI160,"")</f>
        <v/>
      </c>
      <c r="BU160" s="129">
        <f>IFERROR(AH160/$AI160,"")</f>
        <v/>
      </c>
      <c r="BV160" s="126">
        <f>SUM(AQ160:BD160)</f>
        <v/>
      </c>
      <c r="BW160" s="126">
        <f>SUM(BE160:BU160)</f>
        <v/>
      </c>
      <c r="BX160" s="126">
        <f>SUM(AQ160:AU160)</f>
        <v/>
      </c>
    </row>
    <row r="161">
      <c r="B161" s="127" t="n"/>
      <c r="C161" s="125" t="n"/>
      <c r="D161" s="125" t="n"/>
      <c r="E161" s="125" t="n"/>
      <c r="F161" s="125" t="n"/>
      <c r="G161" s="125" t="n"/>
      <c r="H161" s="125" t="n"/>
      <c r="I161" s="125" t="n"/>
      <c r="J161" s="125" t="n"/>
      <c r="K161" s="125" t="n"/>
      <c r="L161" s="125" t="n"/>
      <c r="M161" s="125" t="n"/>
      <c r="N161" s="125" t="n"/>
      <c r="O161" s="125" t="n"/>
      <c r="P161" s="125" t="n"/>
      <c r="Q161" s="125" t="n"/>
      <c r="R161" s="125" t="n"/>
      <c r="S161" s="125" t="n"/>
      <c r="T161" s="125" t="n"/>
      <c r="U161" s="125" t="n"/>
      <c r="V161" s="125" t="n"/>
      <c r="W161" s="125" t="n"/>
      <c r="X161" s="125" t="n"/>
      <c r="Y161" s="125" t="n"/>
      <c r="Z161" s="125" t="n"/>
      <c r="AA161" s="125" t="n"/>
      <c r="AB161" s="125" t="n"/>
      <c r="AC161" s="125" t="n"/>
      <c r="AD161" s="125" t="n"/>
      <c r="AE161" s="125" t="n"/>
      <c r="AF161" s="125" t="n"/>
      <c r="AG161" s="125" t="n"/>
      <c r="AH161" s="125" t="n"/>
      <c r="AI161" s="127">
        <f>SUM(D161:AG161,AH161)</f>
        <v/>
      </c>
      <c r="AJ161" s="126">
        <f>(SUM($D161:$Q161))/AI161</f>
        <v/>
      </c>
      <c r="AK161" s="126">
        <f>(SUM($D161:$H161))/AI161</f>
        <v/>
      </c>
      <c r="AL161" s="126">
        <f>(SUM($R161:$AH161))/AI161</f>
        <v/>
      </c>
      <c r="AM161" s="161" t="n"/>
      <c r="AN161" s="125">
        <f>YEAR(C161)</f>
        <v/>
      </c>
      <c r="AO161" s="125">
        <f>MONTH(C161)</f>
        <v/>
      </c>
      <c r="AP161" s="125">
        <f>WEEKNUM(C161,2)</f>
        <v/>
      </c>
      <c r="AQ161" s="129">
        <f>IFERROR(D161/$AI161,"")</f>
        <v/>
      </c>
      <c r="AR161" s="129">
        <f>IFERROR(E161/$AI161,"")</f>
        <v/>
      </c>
      <c r="AS161" s="129">
        <f>IFERROR(F161/$AI161,"")</f>
        <v/>
      </c>
      <c r="AT161" s="129">
        <f>IFERROR(H161/$AI161,"")</f>
        <v/>
      </c>
      <c r="AU161" s="129">
        <f>IFERROR(I161/$AI161,"")</f>
        <v/>
      </c>
      <c r="AV161" s="129">
        <f>IFERROR(J161/$AI161,"")</f>
        <v/>
      </c>
      <c r="AW161" s="129">
        <f>IFERROR(K161/$AI161,"")</f>
        <v/>
      </c>
      <c r="AX161" s="129">
        <f>IFERROR(L161/$AI161,"")</f>
        <v/>
      </c>
      <c r="AY161" s="129">
        <f>IFERROR(M161/$AI161,"")</f>
        <v/>
      </c>
      <c r="AZ161" s="129">
        <f>IFERROR(N161/$AI161,"")</f>
        <v/>
      </c>
      <c r="BA161" s="129">
        <f>IFERROR(O161/$AI161,"")</f>
        <v/>
      </c>
      <c r="BB161" s="129">
        <f>IFERROR(P161/$AI161,"")</f>
        <v/>
      </c>
      <c r="BC161" s="129">
        <f>IFERROR(AG161/$AI161,"")</f>
        <v/>
      </c>
      <c r="BD161" s="129">
        <f>IFERROR(AH161/$AI161,"")</f>
        <v/>
      </c>
      <c r="BE161" s="129">
        <f>IFERROR(R161/$AI161,"")</f>
        <v/>
      </c>
      <c r="BF161" s="129">
        <f>IFERROR(S161/$AI161,"")</f>
        <v/>
      </c>
      <c r="BG161" s="129">
        <f>IFERROR(T161/$AI161,"")</f>
        <v/>
      </c>
      <c r="BH161" s="129">
        <f>IFERROR(U161/$AI161,"")</f>
        <v/>
      </c>
      <c r="BI161" s="129">
        <f>IFERROR(V161/$AI161,"")</f>
        <v/>
      </c>
      <c r="BJ161" s="129">
        <f>IFERROR(W161/$AI161,"")</f>
        <v/>
      </c>
      <c r="BK161" s="129">
        <f>IFERROR(X161/$AI161,"")</f>
        <v/>
      </c>
      <c r="BL161" s="129">
        <f>IFERROR(Y161/$AI161,"")</f>
        <v/>
      </c>
      <c r="BM161" s="129">
        <f>IFERROR(Z161/$AI161,"")</f>
        <v/>
      </c>
      <c r="BN161" s="129">
        <f>IFERROR(AA161/$AI161,"")</f>
        <v/>
      </c>
      <c r="BO161" s="129">
        <f>IFERROR(AB161/$AI161,"")</f>
        <v/>
      </c>
      <c r="BP161" s="129">
        <f>IFERROR(AC161/$AI161,"")</f>
        <v/>
      </c>
      <c r="BQ161" s="129">
        <f>IFERROR(AD161/$AI161,"")</f>
        <v/>
      </c>
      <c r="BR161" s="129">
        <f>IFERROR(AE161/$AI161,"")</f>
        <v/>
      </c>
      <c r="BS161" s="129">
        <f>IFERROR(AF161/$AI161,"")</f>
        <v/>
      </c>
      <c r="BT161" s="129">
        <f>IFERROR(AG161/$AI161,"")</f>
        <v/>
      </c>
      <c r="BU161" s="129">
        <f>IFERROR(AH161/$AI161,"")</f>
        <v/>
      </c>
      <c r="BV161" s="126">
        <f>SUM(AQ161:BD161)</f>
        <v/>
      </c>
      <c r="BW161" s="126">
        <f>SUM(BE161:BU161)</f>
        <v/>
      </c>
      <c r="BX161" s="126">
        <f>SUM(AQ161:AU161)</f>
        <v/>
      </c>
    </row>
    <row r="162">
      <c r="B162" s="127" t="n"/>
      <c r="C162" s="125" t="n"/>
      <c r="D162" s="125" t="n"/>
      <c r="E162" s="125" t="n"/>
      <c r="F162" s="125" t="n"/>
      <c r="G162" s="125" t="n"/>
      <c r="H162" s="125" t="n"/>
      <c r="I162" s="125" t="n"/>
      <c r="J162" s="125" t="n"/>
      <c r="K162" s="125" t="n"/>
      <c r="L162" s="125" t="n"/>
      <c r="M162" s="125" t="n"/>
      <c r="N162" s="125" t="n"/>
      <c r="O162" s="125" t="n"/>
      <c r="P162" s="125" t="n"/>
      <c r="Q162" s="125" t="n"/>
      <c r="R162" s="125" t="n"/>
      <c r="S162" s="125" t="n"/>
      <c r="T162" s="125" t="n"/>
      <c r="U162" s="125" t="n"/>
      <c r="V162" s="125" t="n"/>
      <c r="W162" s="125" t="n"/>
      <c r="X162" s="125" t="n"/>
      <c r="Y162" s="125" t="n"/>
      <c r="Z162" s="125" t="n"/>
      <c r="AA162" s="125" t="n"/>
      <c r="AB162" s="125" t="n"/>
      <c r="AC162" s="125" t="n"/>
      <c r="AD162" s="125" t="n"/>
      <c r="AE162" s="125" t="n"/>
      <c r="AF162" s="125" t="n"/>
      <c r="AG162" s="125" t="n"/>
      <c r="AH162" s="125" t="n"/>
      <c r="AI162" s="127">
        <f>SUM(D162:AG162,AH162)</f>
        <v/>
      </c>
      <c r="AJ162" s="126">
        <f>(SUM($D162:$Q162))/AI162</f>
        <v/>
      </c>
      <c r="AK162" s="126">
        <f>(SUM($D162:$H162))/AI162</f>
        <v/>
      </c>
      <c r="AL162" s="126">
        <f>(SUM($R162:$AH162))/AI162</f>
        <v/>
      </c>
      <c r="AM162" s="161" t="n"/>
      <c r="AN162" s="125">
        <f>YEAR(C162)</f>
        <v/>
      </c>
      <c r="AO162" s="125">
        <f>MONTH(C162)</f>
        <v/>
      </c>
      <c r="AP162" s="125">
        <f>WEEKNUM(C162,2)</f>
        <v/>
      </c>
      <c r="AQ162" s="129">
        <f>IFERROR(D162/$AI162,"")</f>
        <v/>
      </c>
      <c r="AR162" s="129">
        <f>IFERROR(E162/$AI162,"")</f>
        <v/>
      </c>
      <c r="AS162" s="129">
        <f>IFERROR(F162/$AI162,"")</f>
        <v/>
      </c>
      <c r="AT162" s="129">
        <f>IFERROR(H162/$AI162,"")</f>
        <v/>
      </c>
      <c r="AU162" s="129">
        <f>IFERROR(I162/$AI162,"")</f>
        <v/>
      </c>
      <c r="AV162" s="129">
        <f>IFERROR(J162/$AI162,"")</f>
        <v/>
      </c>
      <c r="AW162" s="129">
        <f>IFERROR(K162/$AI162,"")</f>
        <v/>
      </c>
      <c r="AX162" s="129">
        <f>IFERROR(L162/$AI162,"")</f>
        <v/>
      </c>
      <c r="AY162" s="129">
        <f>IFERROR(M162/$AI162,"")</f>
        <v/>
      </c>
      <c r="AZ162" s="129">
        <f>IFERROR(N162/$AI162,"")</f>
        <v/>
      </c>
      <c r="BA162" s="129">
        <f>IFERROR(O162/$AI162,"")</f>
        <v/>
      </c>
      <c r="BB162" s="129">
        <f>IFERROR(P162/$AI162,"")</f>
        <v/>
      </c>
      <c r="BC162" s="129">
        <f>IFERROR(AG162/$AI162,"")</f>
        <v/>
      </c>
      <c r="BD162" s="129">
        <f>IFERROR(AH162/$AI162,"")</f>
        <v/>
      </c>
      <c r="BE162" s="129">
        <f>IFERROR(R162/$AI162,"")</f>
        <v/>
      </c>
      <c r="BF162" s="129">
        <f>IFERROR(S162/$AI162,"")</f>
        <v/>
      </c>
      <c r="BG162" s="129">
        <f>IFERROR(T162/$AI162,"")</f>
        <v/>
      </c>
      <c r="BH162" s="129">
        <f>IFERROR(U162/$AI162,"")</f>
        <v/>
      </c>
      <c r="BI162" s="129">
        <f>IFERROR(V162/$AI162,"")</f>
        <v/>
      </c>
      <c r="BJ162" s="129">
        <f>IFERROR(W162/$AI162,"")</f>
        <v/>
      </c>
      <c r="BK162" s="129">
        <f>IFERROR(X162/$AI162,"")</f>
        <v/>
      </c>
      <c r="BL162" s="129">
        <f>IFERROR(Y162/$AI162,"")</f>
        <v/>
      </c>
      <c r="BM162" s="129">
        <f>IFERROR(Z162/$AI162,"")</f>
        <v/>
      </c>
      <c r="BN162" s="129">
        <f>IFERROR(AA162/$AI162,"")</f>
        <v/>
      </c>
      <c r="BO162" s="129">
        <f>IFERROR(AB162/$AI162,"")</f>
        <v/>
      </c>
      <c r="BP162" s="129">
        <f>IFERROR(AC162/$AI162,"")</f>
        <v/>
      </c>
      <c r="BQ162" s="129">
        <f>IFERROR(AD162/$AI162,"")</f>
        <v/>
      </c>
      <c r="BR162" s="129">
        <f>IFERROR(AE162/$AI162,"")</f>
        <v/>
      </c>
      <c r="BS162" s="129">
        <f>IFERROR(AF162/$AI162,"")</f>
        <v/>
      </c>
      <c r="BT162" s="129">
        <f>IFERROR(AG162/$AI162,"")</f>
        <v/>
      </c>
      <c r="BU162" s="129">
        <f>IFERROR(AH162/$AI162,"")</f>
        <v/>
      </c>
      <c r="BV162" s="126">
        <f>SUM(AQ162:BD162)</f>
        <v/>
      </c>
      <c r="BW162" s="126">
        <f>SUM(BE162:BU162)</f>
        <v/>
      </c>
      <c r="BX162" s="126">
        <f>SUM(AQ162:AU162)</f>
        <v/>
      </c>
    </row>
    <row r="163">
      <c r="B163" s="127" t="n"/>
      <c r="C163" s="125" t="n"/>
      <c r="D163" s="125" t="n"/>
      <c r="E163" s="125" t="n"/>
      <c r="F163" s="125" t="n"/>
      <c r="G163" s="125" t="n"/>
      <c r="H163" s="125" t="n"/>
      <c r="I163" s="125" t="n"/>
      <c r="J163" s="125" t="n"/>
      <c r="K163" s="125" t="n"/>
      <c r="L163" s="125" t="n"/>
      <c r="M163" s="125" t="n"/>
      <c r="N163" s="125" t="n"/>
      <c r="O163" s="125" t="n"/>
      <c r="P163" s="125" t="n"/>
      <c r="Q163" s="125" t="n"/>
      <c r="R163" s="125" t="n"/>
      <c r="S163" s="125" t="n"/>
      <c r="T163" s="125" t="n"/>
      <c r="U163" s="125" t="n"/>
      <c r="V163" s="125" t="n"/>
      <c r="W163" s="125" t="n"/>
      <c r="X163" s="125" t="n"/>
      <c r="Y163" s="125" t="n"/>
      <c r="Z163" s="125" t="n"/>
      <c r="AA163" s="125" t="n"/>
      <c r="AB163" s="125" t="n"/>
      <c r="AC163" s="125" t="n"/>
      <c r="AD163" s="125" t="n"/>
      <c r="AE163" s="125" t="n"/>
      <c r="AF163" s="125" t="n"/>
      <c r="AG163" s="125" t="n"/>
      <c r="AH163" s="125" t="n"/>
      <c r="AI163" s="127">
        <f>SUM(D163:AG163,AH163)</f>
        <v/>
      </c>
      <c r="AJ163" s="126">
        <f>(SUM($D163:$Q163))/AI163</f>
        <v/>
      </c>
      <c r="AK163" s="126">
        <f>(SUM($D163:$H163))/AI163</f>
        <v/>
      </c>
      <c r="AL163" s="126">
        <f>(SUM($R163:$AH163))/AI163</f>
        <v/>
      </c>
      <c r="AM163" s="161" t="n"/>
      <c r="AN163" s="125">
        <f>YEAR(C163)</f>
        <v/>
      </c>
      <c r="AO163" s="125">
        <f>MONTH(C163)</f>
        <v/>
      </c>
      <c r="AP163" s="125">
        <f>WEEKNUM(C163,2)</f>
        <v/>
      </c>
      <c r="AQ163" s="129">
        <f>IFERROR(D163/$AI163,"")</f>
        <v/>
      </c>
      <c r="AR163" s="129">
        <f>IFERROR(E163/$AI163,"")</f>
        <v/>
      </c>
      <c r="AS163" s="129">
        <f>IFERROR(F163/$AI163,"")</f>
        <v/>
      </c>
      <c r="AT163" s="129">
        <f>IFERROR(H163/$AI163,"")</f>
        <v/>
      </c>
      <c r="AU163" s="129">
        <f>IFERROR(I163/$AI163,"")</f>
        <v/>
      </c>
      <c r="AV163" s="129">
        <f>IFERROR(J163/$AI163,"")</f>
        <v/>
      </c>
      <c r="AW163" s="129">
        <f>IFERROR(K163/$AI163,"")</f>
        <v/>
      </c>
      <c r="AX163" s="129">
        <f>IFERROR(L163/$AI163,"")</f>
        <v/>
      </c>
      <c r="AY163" s="129">
        <f>IFERROR(M163/$AI163,"")</f>
        <v/>
      </c>
      <c r="AZ163" s="129">
        <f>IFERROR(N163/$AI163,"")</f>
        <v/>
      </c>
      <c r="BA163" s="129">
        <f>IFERROR(O163/$AI163,"")</f>
        <v/>
      </c>
      <c r="BB163" s="129">
        <f>IFERROR(P163/$AI163,"")</f>
        <v/>
      </c>
      <c r="BC163" s="129">
        <f>IFERROR(AG163/$AI163,"")</f>
        <v/>
      </c>
      <c r="BD163" s="129">
        <f>IFERROR(AH163/$AI163,"")</f>
        <v/>
      </c>
      <c r="BE163" s="129">
        <f>IFERROR(R163/$AI163,"")</f>
        <v/>
      </c>
      <c r="BF163" s="129">
        <f>IFERROR(S163/$AI163,"")</f>
        <v/>
      </c>
      <c r="BG163" s="129">
        <f>IFERROR(T163/$AI163,"")</f>
        <v/>
      </c>
      <c r="BH163" s="129">
        <f>IFERROR(U163/$AI163,"")</f>
        <v/>
      </c>
      <c r="BI163" s="129">
        <f>IFERROR(V163/$AI163,"")</f>
        <v/>
      </c>
      <c r="BJ163" s="129">
        <f>IFERROR(W163/$AI163,"")</f>
        <v/>
      </c>
      <c r="BK163" s="129">
        <f>IFERROR(X163/$AI163,"")</f>
        <v/>
      </c>
      <c r="BL163" s="129">
        <f>IFERROR(Y163/$AI163,"")</f>
        <v/>
      </c>
      <c r="BM163" s="129">
        <f>IFERROR(Z163/$AI163,"")</f>
        <v/>
      </c>
      <c r="BN163" s="129">
        <f>IFERROR(AA163/$AI163,"")</f>
        <v/>
      </c>
      <c r="BO163" s="129">
        <f>IFERROR(AB163/$AI163,"")</f>
        <v/>
      </c>
      <c r="BP163" s="129">
        <f>IFERROR(AC163/$AI163,"")</f>
        <v/>
      </c>
      <c r="BQ163" s="129">
        <f>IFERROR(AD163/$AI163,"")</f>
        <v/>
      </c>
      <c r="BR163" s="129">
        <f>IFERROR(AE163/$AI163,"")</f>
        <v/>
      </c>
      <c r="BS163" s="129">
        <f>IFERROR(AF163/$AI163,"")</f>
        <v/>
      </c>
      <c r="BT163" s="129">
        <f>IFERROR(AG163/$AI163,"")</f>
        <v/>
      </c>
      <c r="BU163" s="129">
        <f>IFERROR(AH163/$AI163,"")</f>
        <v/>
      </c>
      <c r="BV163" s="126">
        <f>SUM(AQ163:BD163)</f>
        <v/>
      </c>
      <c r="BW163" s="126">
        <f>SUM(BE163:BU163)</f>
        <v/>
      </c>
      <c r="BX163" s="126">
        <f>SUM(AQ163:AU163)</f>
        <v/>
      </c>
    </row>
    <row r="164">
      <c r="B164" s="127" t="n"/>
      <c r="C164" s="125" t="n"/>
      <c r="D164" s="125" t="n"/>
      <c r="E164" s="125" t="n"/>
      <c r="F164" s="125" t="n"/>
      <c r="G164" s="125" t="n"/>
      <c r="H164" s="125" t="n"/>
      <c r="I164" s="125" t="n"/>
      <c r="J164" s="125" t="n"/>
      <c r="K164" s="125" t="n"/>
      <c r="L164" s="125" t="n"/>
      <c r="M164" s="125" t="n"/>
      <c r="N164" s="125" t="n"/>
      <c r="O164" s="125" t="n"/>
      <c r="P164" s="125" t="n"/>
      <c r="Q164" s="125" t="n"/>
      <c r="R164" s="125" t="n"/>
      <c r="S164" s="125" t="n"/>
      <c r="T164" s="125" t="n"/>
      <c r="U164" s="125" t="n"/>
      <c r="V164" s="125" t="n"/>
      <c r="W164" s="125" t="n"/>
      <c r="X164" s="125" t="n"/>
      <c r="Y164" s="125" t="n"/>
      <c r="Z164" s="125" t="n"/>
      <c r="AA164" s="125" t="n"/>
      <c r="AB164" s="125" t="n"/>
      <c r="AC164" s="125" t="n"/>
      <c r="AD164" s="125" t="n"/>
      <c r="AE164" s="125" t="n"/>
      <c r="AF164" s="125" t="n"/>
      <c r="AG164" s="125" t="n"/>
      <c r="AH164" s="125" t="n"/>
      <c r="AI164" s="127">
        <f>SUM(D164:AG164,AH164)</f>
        <v/>
      </c>
      <c r="AJ164" s="126">
        <f>(SUM($D164:$Q164))/AI164</f>
        <v/>
      </c>
      <c r="AK164" s="126">
        <f>(SUM($D164:$H164))/AI164</f>
        <v/>
      </c>
      <c r="AL164" s="126">
        <f>(SUM($R164:$AH164))/AI164</f>
        <v/>
      </c>
      <c r="AM164" s="161" t="n"/>
      <c r="AN164" s="125">
        <f>YEAR(C164)</f>
        <v/>
      </c>
      <c r="AO164" s="125">
        <f>MONTH(C164)</f>
        <v/>
      </c>
      <c r="AP164" s="125">
        <f>WEEKNUM(C164,2)</f>
        <v/>
      </c>
      <c r="AQ164" s="129">
        <f>IFERROR(D164/$AI164,"")</f>
        <v/>
      </c>
      <c r="AR164" s="129">
        <f>IFERROR(E164/$AI164,"")</f>
        <v/>
      </c>
      <c r="AS164" s="129">
        <f>IFERROR(F164/$AI164,"")</f>
        <v/>
      </c>
      <c r="AT164" s="129">
        <f>IFERROR(H164/$AI164,"")</f>
        <v/>
      </c>
      <c r="AU164" s="129">
        <f>IFERROR(I164/$AI164,"")</f>
        <v/>
      </c>
      <c r="AV164" s="129">
        <f>IFERROR(J164/$AI164,"")</f>
        <v/>
      </c>
      <c r="AW164" s="129">
        <f>IFERROR(K164/$AI164,"")</f>
        <v/>
      </c>
      <c r="AX164" s="129">
        <f>IFERROR(L164/$AI164,"")</f>
        <v/>
      </c>
      <c r="AY164" s="129">
        <f>IFERROR(M164/$AI164,"")</f>
        <v/>
      </c>
      <c r="AZ164" s="129">
        <f>IFERROR(N164/$AI164,"")</f>
        <v/>
      </c>
      <c r="BA164" s="129">
        <f>IFERROR(O164/$AI164,"")</f>
        <v/>
      </c>
      <c r="BB164" s="129">
        <f>IFERROR(P164/$AI164,"")</f>
        <v/>
      </c>
      <c r="BC164" s="129">
        <f>IFERROR(AG164/$AI164,"")</f>
        <v/>
      </c>
      <c r="BD164" s="129">
        <f>IFERROR(AH164/$AI164,"")</f>
        <v/>
      </c>
      <c r="BE164" s="129">
        <f>IFERROR(R164/$AI164,"")</f>
        <v/>
      </c>
      <c r="BF164" s="129">
        <f>IFERROR(S164/$AI164,"")</f>
        <v/>
      </c>
      <c r="BG164" s="129">
        <f>IFERROR(T164/$AI164,"")</f>
        <v/>
      </c>
      <c r="BH164" s="129">
        <f>IFERROR(U164/$AI164,"")</f>
        <v/>
      </c>
      <c r="BI164" s="129">
        <f>IFERROR(V164/$AI164,"")</f>
        <v/>
      </c>
      <c r="BJ164" s="129">
        <f>IFERROR(W164/$AI164,"")</f>
        <v/>
      </c>
      <c r="BK164" s="129">
        <f>IFERROR(X164/$AI164,"")</f>
        <v/>
      </c>
      <c r="BL164" s="129">
        <f>IFERROR(Y164/$AI164,"")</f>
        <v/>
      </c>
      <c r="BM164" s="129">
        <f>IFERROR(Z164/$AI164,"")</f>
        <v/>
      </c>
      <c r="BN164" s="129">
        <f>IFERROR(AA164/$AI164,"")</f>
        <v/>
      </c>
      <c r="BO164" s="129">
        <f>IFERROR(AB164/$AI164,"")</f>
        <v/>
      </c>
      <c r="BP164" s="129">
        <f>IFERROR(AC164/$AI164,"")</f>
        <v/>
      </c>
      <c r="BQ164" s="129">
        <f>IFERROR(AD164/$AI164,"")</f>
        <v/>
      </c>
      <c r="BR164" s="129">
        <f>IFERROR(AE164/$AI164,"")</f>
        <v/>
      </c>
      <c r="BS164" s="129">
        <f>IFERROR(AF164/$AI164,"")</f>
        <v/>
      </c>
      <c r="BT164" s="129">
        <f>IFERROR(AG164/$AI164,"")</f>
        <v/>
      </c>
      <c r="BU164" s="129">
        <f>IFERROR(AH164/$AI164,"")</f>
        <v/>
      </c>
      <c r="BV164" s="126">
        <f>SUM(AQ164:BD164)</f>
        <v/>
      </c>
      <c r="BW164" s="126">
        <f>SUM(BE164:BU164)</f>
        <v/>
      </c>
      <c r="BX164" s="126">
        <f>SUM(AQ164:AU164)</f>
        <v/>
      </c>
    </row>
    <row r="165">
      <c r="B165" s="127" t="n"/>
      <c r="C165" s="125" t="n"/>
      <c r="D165" s="125" t="n"/>
      <c r="E165" s="125" t="n"/>
      <c r="F165" s="125" t="n"/>
      <c r="G165" s="125" t="n"/>
      <c r="H165" s="125" t="n"/>
      <c r="I165" s="125" t="n"/>
      <c r="J165" s="125" t="n"/>
      <c r="K165" s="125" t="n"/>
      <c r="L165" s="125" t="n"/>
      <c r="M165" s="125" t="n"/>
      <c r="N165" s="125" t="n"/>
      <c r="O165" s="125" t="n"/>
      <c r="P165" s="125" t="n"/>
      <c r="Q165" s="125" t="n"/>
      <c r="R165" s="125" t="n"/>
      <c r="S165" s="125" t="n"/>
      <c r="T165" s="125" t="n"/>
      <c r="U165" s="125" t="n"/>
      <c r="V165" s="125" t="n"/>
      <c r="W165" s="125" t="n"/>
      <c r="X165" s="125" t="n"/>
      <c r="Y165" s="125" t="n"/>
      <c r="Z165" s="125" t="n"/>
      <c r="AA165" s="125" t="n"/>
      <c r="AB165" s="125" t="n"/>
      <c r="AC165" s="125" t="n"/>
      <c r="AD165" s="125" t="n"/>
      <c r="AE165" s="125" t="n"/>
      <c r="AF165" s="125" t="n"/>
      <c r="AG165" s="125" t="n"/>
      <c r="AH165" s="125" t="n"/>
      <c r="AI165" s="127">
        <f>SUM(D165:AG165,AH165)</f>
        <v/>
      </c>
      <c r="AJ165" s="126">
        <f>(SUM($D165:$Q165))/AI165</f>
        <v/>
      </c>
      <c r="AK165" s="126">
        <f>(SUM($D165:$H165))/AI165</f>
        <v/>
      </c>
      <c r="AL165" s="126">
        <f>(SUM($R165:$AH165))/AI165</f>
        <v/>
      </c>
      <c r="AM165" s="161" t="n"/>
      <c r="AN165" s="125">
        <f>YEAR(C165)</f>
        <v/>
      </c>
      <c r="AO165" s="125">
        <f>MONTH(C165)</f>
        <v/>
      </c>
      <c r="AP165" s="125">
        <f>WEEKNUM(C165,2)</f>
        <v/>
      </c>
      <c r="AQ165" s="129">
        <f>IFERROR(D165/$AI165,"")</f>
        <v/>
      </c>
      <c r="AR165" s="129">
        <f>IFERROR(E165/$AI165,"")</f>
        <v/>
      </c>
      <c r="AS165" s="129">
        <f>IFERROR(F165/$AI165,"")</f>
        <v/>
      </c>
      <c r="AT165" s="129">
        <f>IFERROR(H165/$AI165,"")</f>
        <v/>
      </c>
      <c r="AU165" s="129">
        <f>IFERROR(I165/$AI165,"")</f>
        <v/>
      </c>
      <c r="AV165" s="129">
        <f>IFERROR(J165/$AI165,"")</f>
        <v/>
      </c>
      <c r="AW165" s="129">
        <f>IFERROR(K165/$AI165,"")</f>
        <v/>
      </c>
      <c r="AX165" s="129">
        <f>IFERROR(L165/$AI165,"")</f>
        <v/>
      </c>
      <c r="AY165" s="129">
        <f>IFERROR(M165/$AI165,"")</f>
        <v/>
      </c>
      <c r="AZ165" s="129">
        <f>IFERROR(N165/$AI165,"")</f>
        <v/>
      </c>
      <c r="BA165" s="129">
        <f>IFERROR(O165/$AI165,"")</f>
        <v/>
      </c>
      <c r="BB165" s="129">
        <f>IFERROR(P165/$AI165,"")</f>
        <v/>
      </c>
      <c r="BC165" s="129">
        <f>IFERROR(AG165/$AI165,"")</f>
        <v/>
      </c>
      <c r="BD165" s="129">
        <f>IFERROR(AH165/$AI165,"")</f>
        <v/>
      </c>
      <c r="BE165" s="129">
        <f>IFERROR(R165/$AI165,"")</f>
        <v/>
      </c>
      <c r="BF165" s="129">
        <f>IFERROR(S165/$AI165,"")</f>
        <v/>
      </c>
      <c r="BG165" s="129">
        <f>IFERROR(T165/$AI165,"")</f>
        <v/>
      </c>
      <c r="BH165" s="129">
        <f>IFERROR(U165/$AI165,"")</f>
        <v/>
      </c>
      <c r="BI165" s="129">
        <f>IFERROR(V165/$AI165,"")</f>
        <v/>
      </c>
      <c r="BJ165" s="129">
        <f>IFERROR(W165/$AI165,"")</f>
        <v/>
      </c>
      <c r="BK165" s="129">
        <f>IFERROR(X165/$AI165,"")</f>
        <v/>
      </c>
      <c r="BL165" s="129">
        <f>IFERROR(Y165/$AI165,"")</f>
        <v/>
      </c>
      <c r="BM165" s="129">
        <f>IFERROR(Z165/$AI165,"")</f>
        <v/>
      </c>
      <c r="BN165" s="129">
        <f>IFERROR(AA165/$AI165,"")</f>
        <v/>
      </c>
      <c r="BO165" s="129">
        <f>IFERROR(AB165/$AI165,"")</f>
        <v/>
      </c>
      <c r="BP165" s="129">
        <f>IFERROR(AC165/$AI165,"")</f>
        <v/>
      </c>
      <c r="BQ165" s="129">
        <f>IFERROR(AD165/$AI165,"")</f>
        <v/>
      </c>
      <c r="BR165" s="129">
        <f>IFERROR(AE165/$AI165,"")</f>
        <v/>
      </c>
      <c r="BS165" s="129">
        <f>IFERROR(AF165/$AI165,"")</f>
        <v/>
      </c>
      <c r="BT165" s="129">
        <f>IFERROR(AG165/$AI165,"")</f>
        <v/>
      </c>
      <c r="BU165" s="129">
        <f>IFERROR(AH165/$AI165,"")</f>
        <v/>
      </c>
      <c r="BV165" s="126">
        <f>SUM(AQ165:BD165)</f>
        <v/>
      </c>
      <c r="BW165" s="126">
        <f>SUM(BE165:BU165)</f>
        <v/>
      </c>
      <c r="BX165" s="126">
        <f>SUM(AQ165:AU165)</f>
        <v/>
      </c>
    </row>
    <row r="166">
      <c r="B166" s="127" t="n"/>
      <c r="C166" s="125" t="n"/>
      <c r="D166" s="125" t="n"/>
      <c r="E166" s="125" t="n"/>
      <c r="F166" s="125" t="n"/>
      <c r="G166" s="125" t="n"/>
      <c r="H166" s="125" t="n"/>
      <c r="I166" s="125" t="n"/>
      <c r="J166" s="125" t="n"/>
      <c r="K166" s="125" t="n"/>
      <c r="L166" s="125" t="n"/>
      <c r="M166" s="125" t="n"/>
      <c r="N166" s="125" t="n"/>
      <c r="O166" s="125" t="n"/>
      <c r="P166" s="125" t="n"/>
      <c r="Q166" s="125" t="n"/>
      <c r="R166" s="125" t="n"/>
      <c r="S166" s="125" t="n"/>
      <c r="T166" s="125" t="n"/>
      <c r="U166" s="125" t="n"/>
      <c r="V166" s="125" t="n"/>
      <c r="W166" s="125" t="n"/>
      <c r="X166" s="125" t="n"/>
      <c r="Y166" s="125" t="n"/>
      <c r="Z166" s="125" t="n"/>
      <c r="AA166" s="125" t="n"/>
      <c r="AB166" s="125" t="n"/>
      <c r="AC166" s="125" t="n"/>
      <c r="AD166" s="125" t="n"/>
      <c r="AE166" s="125" t="n"/>
      <c r="AF166" s="125" t="n"/>
      <c r="AG166" s="125" t="n"/>
      <c r="AH166" s="125" t="n"/>
      <c r="AI166" s="127">
        <f>SUM(D166:AG166,AH166)</f>
        <v/>
      </c>
      <c r="AJ166" s="126">
        <f>(SUM($D166:$Q166))/AI166</f>
        <v/>
      </c>
      <c r="AK166" s="126">
        <f>(SUM($D166:$H166))/AI166</f>
        <v/>
      </c>
      <c r="AL166" s="126">
        <f>(SUM($R166:$AH166))/AI166</f>
        <v/>
      </c>
      <c r="AM166" s="161" t="n"/>
      <c r="AN166" s="125">
        <f>YEAR(C166)</f>
        <v/>
      </c>
      <c r="AO166" s="125">
        <f>MONTH(C166)</f>
        <v/>
      </c>
      <c r="AP166" s="125">
        <f>WEEKNUM(C166,2)</f>
        <v/>
      </c>
      <c r="AQ166" s="129">
        <f>IFERROR(D166/$AI166,"")</f>
        <v/>
      </c>
      <c r="AR166" s="129">
        <f>IFERROR(E166/$AI166,"")</f>
        <v/>
      </c>
      <c r="AS166" s="129">
        <f>IFERROR(F166/$AI166,"")</f>
        <v/>
      </c>
      <c r="AT166" s="129">
        <f>IFERROR(H166/$AI166,"")</f>
        <v/>
      </c>
      <c r="AU166" s="129">
        <f>IFERROR(I166/$AI166,"")</f>
        <v/>
      </c>
      <c r="AV166" s="129">
        <f>IFERROR(J166/$AI166,"")</f>
        <v/>
      </c>
      <c r="AW166" s="129">
        <f>IFERROR(K166/$AI166,"")</f>
        <v/>
      </c>
      <c r="AX166" s="129">
        <f>IFERROR(L166/$AI166,"")</f>
        <v/>
      </c>
      <c r="AY166" s="129">
        <f>IFERROR(M166/$AI166,"")</f>
        <v/>
      </c>
      <c r="AZ166" s="129">
        <f>IFERROR(N166/$AI166,"")</f>
        <v/>
      </c>
      <c r="BA166" s="129">
        <f>IFERROR(O166/$AI166,"")</f>
        <v/>
      </c>
      <c r="BB166" s="129">
        <f>IFERROR(P166/$AI166,"")</f>
        <v/>
      </c>
      <c r="BC166" s="129">
        <f>IFERROR(AG166/$AI166,"")</f>
        <v/>
      </c>
      <c r="BD166" s="129">
        <f>IFERROR(AH166/$AI166,"")</f>
        <v/>
      </c>
      <c r="BE166" s="129">
        <f>IFERROR(R166/$AI166,"")</f>
        <v/>
      </c>
      <c r="BF166" s="129">
        <f>IFERROR(S166/$AI166,"")</f>
        <v/>
      </c>
      <c r="BG166" s="129">
        <f>IFERROR(T166/$AI166,"")</f>
        <v/>
      </c>
      <c r="BH166" s="129">
        <f>IFERROR(U166/$AI166,"")</f>
        <v/>
      </c>
      <c r="BI166" s="129">
        <f>IFERROR(V166/$AI166,"")</f>
        <v/>
      </c>
      <c r="BJ166" s="129">
        <f>IFERROR(W166/$AI166,"")</f>
        <v/>
      </c>
      <c r="BK166" s="129">
        <f>IFERROR(X166/$AI166,"")</f>
        <v/>
      </c>
      <c r="BL166" s="129">
        <f>IFERROR(Y166/$AI166,"")</f>
        <v/>
      </c>
      <c r="BM166" s="129">
        <f>IFERROR(Z166/$AI166,"")</f>
        <v/>
      </c>
      <c r="BN166" s="129">
        <f>IFERROR(AA166/$AI166,"")</f>
        <v/>
      </c>
      <c r="BO166" s="129">
        <f>IFERROR(AB166/$AI166,"")</f>
        <v/>
      </c>
      <c r="BP166" s="129">
        <f>IFERROR(AC166/$AI166,"")</f>
        <v/>
      </c>
      <c r="BQ166" s="129">
        <f>IFERROR(AD166/$AI166,"")</f>
        <v/>
      </c>
      <c r="BR166" s="129">
        <f>IFERROR(AE166/$AI166,"")</f>
        <v/>
      </c>
      <c r="BS166" s="129">
        <f>IFERROR(AF166/$AI166,"")</f>
        <v/>
      </c>
      <c r="BT166" s="129">
        <f>IFERROR(AG166/$AI166,"")</f>
        <v/>
      </c>
      <c r="BU166" s="129">
        <f>IFERROR(AH166/$AI166,"")</f>
        <v/>
      </c>
      <c r="BV166" s="126">
        <f>SUM(AQ166:BD166)</f>
        <v/>
      </c>
      <c r="BW166" s="126">
        <f>SUM(BE166:BU166)</f>
        <v/>
      </c>
      <c r="BX166" s="126">
        <f>SUM(AQ166:AU166)</f>
        <v/>
      </c>
    </row>
    <row r="167">
      <c r="B167" s="127" t="n"/>
      <c r="C167" s="125" t="n"/>
      <c r="D167" s="125" t="n"/>
      <c r="E167" s="125" t="n"/>
      <c r="F167" s="125" t="n"/>
      <c r="G167" s="125" t="n"/>
      <c r="H167" s="125" t="n"/>
      <c r="I167" s="125" t="n"/>
      <c r="J167" s="125" t="n"/>
      <c r="K167" s="125" t="n"/>
      <c r="L167" s="125" t="n"/>
      <c r="M167" s="125" t="n"/>
      <c r="N167" s="125" t="n"/>
      <c r="O167" s="125" t="n"/>
      <c r="P167" s="125" t="n"/>
      <c r="Q167" s="125" t="n"/>
      <c r="R167" s="125" t="n"/>
      <c r="S167" s="125" t="n"/>
      <c r="T167" s="125" t="n"/>
      <c r="U167" s="125" t="n"/>
      <c r="V167" s="125" t="n"/>
      <c r="W167" s="125" t="n"/>
      <c r="X167" s="125" t="n"/>
      <c r="Y167" s="125" t="n"/>
      <c r="Z167" s="125" t="n"/>
      <c r="AA167" s="125" t="n"/>
      <c r="AB167" s="125" t="n"/>
      <c r="AC167" s="125" t="n"/>
      <c r="AD167" s="125" t="n"/>
      <c r="AE167" s="125" t="n"/>
      <c r="AF167" s="125" t="n"/>
      <c r="AG167" s="125" t="n"/>
      <c r="AH167" s="125" t="n"/>
      <c r="AI167" s="127">
        <f>SUM(D167:AG167,AH167)</f>
        <v/>
      </c>
      <c r="AJ167" s="126">
        <f>(SUM($D167:$Q167))/AI167</f>
        <v/>
      </c>
      <c r="AK167" s="126">
        <f>(SUM($D167:$H167))/AI167</f>
        <v/>
      </c>
      <c r="AL167" s="126">
        <f>(SUM($R167:$AH167))/AI167</f>
        <v/>
      </c>
      <c r="AM167" s="161" t="n"/>
      <c r="AN167" s="125">
        <f>YEAR(C167)</f>
        <v/>
      </c>
      <c r="AO167" s="125">
        <f>MONTH(C167)</f>
        <v/>
      </c>
      <c r="AP167" s="125">
        <f>WEEKNUM(C167,2)</f>
        <v/>
      </c>
      <c r="AQ167" s="129">
        <f>IFERROR(D167/$AI167,"")</f>
        <v/>
      </c>
      <c r="AR167" s="129">
        <f>IFERROR(E167/$AI167,"")</f>
        <v/>
      </c>
      <c r="AS167" s="129">
        <f>IFERROR(F167/$AI167,"")</f>
        <v/>
      </c>
      <c r="AT167" s="129">
        <f>IFERROR(H167/$AI167,"")</f>
        <v/>
      </c>
      <c r="AU167" s="129">
        <f>IFERROR(I167/$AI167,"")</f>
        <v/>
      </c>
      <c r="AV167" s="129">
        <f>IFERROR(J167/$AI167,"")</f>
        <v/>
      </c>
      <c r="AW167" s="129">
        <f>IFERROR(K167/$AI167,"")</f>
        <v/>
      </c>
      <c r="AX167" s="129">
        <f>IFERROR(L167/$AI167,"")</f>
        <v/>
      </c>
      <c r="AY167" s="129">
        <f>IFERROR(M167/$AI167,"")</f>
        <v/>
      </c>
      <c r="AZ167" s="129">
        <f>IFERROR(N167/$AI167,"")</f>
        <v/>
      </c>
      <c r="BA167" s="129">
        <f>IFERROR(O167/$AI167,"")</f>
        <v/>
      </c>
      <c r="BB167" s="129">
        <f>IFERROR(P167/$AI167,"")</f>
        <v/>
      </c>
      <c r="BC167" s="129">
        <f>IFERROR(AG167/$AI167,"")</f>
        <v/>
      </c>
      <c r="BD167" s="129">
        <f>IFERROR(AH167/$AI167,"")</f>
        <v/>
      </c>
      <c r="BE167" s="129">
        <f>IFERROR(R167/$AI167,"")</f>
        <v/>
      </c>
      <c r="BF167" s="129">
        <f>IFERROR(S167/$AI167,"")</f>
        <v/>
      </c>
      <c r="BG167" s="129">
        <f>IFERROR(T167/$AI167,"")</f>
        <v/>
      </c>
      <c r="BH167" s="129">
        <f>IFERROR(U167/$AI167,"")</f>
        <v/>
      </c>
      <c r="BI167" s="129">
        <f>IFERROR(V167/$AI167,"")</f>
        <v/>
      </c>
      <c r="BJ167" s="129">
        <f>IFERROR(W167/$AI167,"")</f>
        <v/>
      </c>
      <c r="BK167" s="129">
        <f>IFERROR(X167/$AI167,"")</f>
        <v/>
      </c>
      <c r="BL167" s="129">
        <f>IFERROR(Y167/$AI167,"")</f>
        <v/>
      </c>
      <c r="BM167" s="129">
        <f>IFERROR(Z167/$AI167,"")</f>
        <v/>
      </c>
      <c r="BN167" s="129">
        <f>IFERROR(AA167/$AI167,"")</f>
        <v/>
      </c>
      <c r="BO167" s="129">
        <f>IFERROR(AB167/$AI167,"")</f>
        <v/>
      </c>
      <c r="BP167" s="129">
        <f>IFERROR(AC167/$AI167,"")</f>
        <v/>
      </c>
      <c r="BQ167" s="129">
        <f>IFERROR(AD167/$AI167,"")</f>
        <v/>
      </c>
      <c r="BR167" s="129">
        <f>IFERROR(AE167/$AI167,"")</f>
        <v/>
      </c>
      <c r="BS167" s="129">
        <f>IFERROR(AF167/$AI167,"")</f>
        <v/>
      </c>
      <c r="BT167" s="129">
        <f>IFERROR(AG167/$AI167,"")</f>
        <v/>
      </c>
      <c r="BU167" s="129">
        <f>IFERROR(AH167/$AI167,"")</f>
        <v/>
      </c>
      <c r="BV167" s="126">
        <f>SUM(AQ167:BD167)</f>
        <v/>
      </c>
      <c r="BW167" s="126">
        <f>SUM(BE167:BU167)</f>
        <v/>
      </c>
      <c r="BX167" s="126">
        <f>SUM(AQ167:AU167)</f>
        <v/>
      </c>
    </row>
    <row r="168">
      <c r="B168" s="127" t="n"/>
      <c r="C168" s="125" t="n"/>
      <c r="D168" s="125" t="n"/>
      <c r="E168" s="125" t="n"/>
      <c r="F168" s="125" t="n"/>
      <c r="G168" s="125" t="n"/>
      <c r="H168" s="125" t="n"/>
      <c r="I168" s="125" t="n"/>
      <c r="J168" s="125" t="n"/>
      <c r="K168" s="125" t="n"/>
      <c r="L168" s="125" t="n"/>
      <c r="M168" s="125" t="n"/>
      <c r="N168" s="125" t="n"/>
      <c r="O168" s="125" t="n"/>
      <c r="P168" s="125" t="n"/>
      <c r="Q168" s="125" t="n"/>
      <c r="R168" s="125" t="n"/>
      <c r="S168" s="125" t="n"/>
      <c r="T168" s="125" t="n"/>
      <c r="U168" s="125" t="n"/>
      <c r="V168" s="125" t="n"/>
      <c r="W168" s="125" t="n"/>
      <c r="X168" s="125" t="n"/>
      <c r="Y168" s="125" t="n"/>
      <c r="Z168" s="125" t="n"/>
      <c r="AA168" s="125" t="n"/>
      <c r="AB168" s="125" t="n"/>
      <c r="AC168" s="125" t="n"/>
      <c r="AD168" s="125" t="n"/>
      <c r="AE168" s="125" t="n"/>
      <c r="AF168" s="125" t="n"/>
      <c r="AG168" s="125" t="n"/>
      <c r="AH168" s="125" t="n"/>
      <c r="AI168" s="127">
        <f>SUM(D168:AG168,AH168)</f>
        <v/>
      </c>
      <c r="AJ168" s="126">
        <f>(SUM($D168:$Q168))/AI168</f>
        <v/>
      </c>
      <c r="AK168" s="126">
        <f>(SUM($D168:$H168))/AI168</f>
        <v/>
      </c>
      <c r="AL168" s="126">
        <f>(SUM($R168:$AH168))/AI168</f>
        <v/>
      </c>
      <c r="AM168" s="161" t="n"/>
      <c r="AN168" s="125">
        <f>YEAR(C168)</f>
        <v/>
      </c>
      <c r="AO168" s="125">
        <f>MONTH(C168)</f>
        <v/>
      </c>
      <c r="AP168" s="125">
        <f>WEEKNUM(C168,2)</f>
        <v/>
      </c>
      <c r="AQ168" s="129">
        <f>IFERROR(D168/$AI168,"")</f>
        <v/>
      </c>
      <c r="AR168" s="129">
        <f>IFERROR(E168/$AI168,"")</f>
        <v/>
      </c>
      <c r="AS168" s="129">
        <f>IFERROR(F168/$AI168,"")</f>
        <v/>
      </c>
      <c r="AT168" s="129">
        <f>IFERROR(H168/$AI168,"")</f>
        <v/>
      </c>
      <c r="AU168" s="129">
        <f>IFERROR(I168/$AI168,"")</f>
        <v/>
      </c>
      <c r="AV168" s="129">
        <f>IFERROR(J168/$AI168,"")</f>
        <v/>
      </c>
      <c r="AW168" s="129">
        <f>IFERROR(K168/$AI168,"")</f>
        <v/>
      </c>
      <c r="AX168" s="129">
        <f>IFERROR(L168/$AI168,"")</f>
        <v/>
      </c>
      <c r="AY168" s="129">
        <f>IFERROR(M168/$AI168,"")</f>
        <v/>
      </c>
      <c r="AZ168" s="129">
        <f>IFERROR(N168/$AI168,"")</f>
        <v/>
      </c>
      <c r="BA168" s="129">
        <f>IFERROR(O168/$AI168,"")</f>
        <v/>
      </c>
      <c r="BB168" s="129">
        <f>IFERROR(P168/$AI168,"")</f>
        <v/>
      </c>
      <c r="BC168" s="129">
        <f>IFERROR(AG168/$AI168,"")</f>
        <v/>
      </c>
      <c r="BD168" s="129">
        <f>IFERROR(AH168/$AI168,"")</f>
        <v/>
      </c>
      <c r="BE168" s="129">
        <f>IFERROR(R168/$AI168,"")</f>
        <v/>
      </c>
      <c r="BF168" s="129">
        <f>IFERROR(S168/$AI168,"")</f>
        <v/>
      </c>
      <c r="BG168" s="129">
        <f>IFERROR(T168/$AI168,"")</f>
        <v/>
      </c>
      <c r="BH168" s="129">
        <f>IFERROR(U168/$AI168,"")</f>
        <v/>
      </c>
      <c r="BI168" s="129">
        <f>IFERROR(V168/$AI168,"")</f>
        <v/>
      </c>
      <c r="BJ168" s="129">
        <f>IFERROR(W168/$AI168,"")</f>
        <v/>
      </c>
      <c r="BK168" s="129">
        <f>IFERROR(X168/$AI168,"")</f>
        <v/>
      </c>
      <c r="BL168" s="129">
        <f>IFERROR(Y168/$AI168,"")</f>
        <v/>
      </c>
      <c r="BM168" s="129">
        <f>IFERROR(Z168/$AI168,"")</f>
        <v/>
      </c>
      <c r="BN168" s="129">
        <f>IFERROR(AA168/$AI168,"")</f>
        <v/>
      </c>
      <c r="BO168" s="129">
        <f>IFERROR(AB168/$AI168,"")</f>
        <v/>
      </c>
      <c r="BP168" s="129">
        <f>IFERROR(AC168/$AI168,"")</f>
        <v/>
      </c>
      <c r="BQ168" s="129">
        <f>IFERROR(AD168/$AI168,"")</f>
        <v/>
      </c>
      <c r="BR168" s="129">
        <f>IFERROR(AE168/$AI168,"")</f>
        <v/>
      </c>
      <c r="BS168" s="129">
        <f>IFERROR(AF168/$AI168,"")</f>
        <v/>
      </c>
      <c r="BT168" s="129">
        <f>IFERROR(AG168/$AI168,"")</f>
        <v/>
      </c>
      <c r="BU168" s="129">
        <f>IFERROR(AH168/$AI168,"")</f>
        <v/>
      </c>
      <c r="BV168" s="126">
        <f>SUM(AQ168:BD168)</f>
        <v/>
      </c>
      <c r="BW168" s="126">
        <f>SUM(BE168:BU168)</f>
        <v/>
      </c>
      <c r="BX168" s="126">
        <f>SUM(AQ168:AU168)</f>
        <v/>
      </c>
    </row>
    <row r="169">
      <c r="B169" s="127" t="n"/>
      <c r="C169" s="125" t="n"/>
      <c r="D169" s="125" t="n"/>
      <c r="E169" s="125" t="n"/>
      <c r="F169" s="125" t="n"/>
      <c r="G169" s="125" t="n"/>
      <c r="H169" s="125" t="n"/>
      <c r="I169" s="125" t="n"/>
      <c r="J169" s="125" t="n"/>
      <c r="K169" s="125" t="n"/>
      <c r="L169" s="125" t="n"/>
      <c r="M169" s="125" t="n"/>
      <c r="N169" s="125" t="n"/>
      <c r="O169" s="125" t="n"/>
      <c r="P169" s="125" t="n"/>
      <c r="Q169" s="125" t="n"/>
      <c r="R169" s="125" t="n"/>
      <c r="S169" s="125" t="n"/>
      <c r="T169" s="125" t="n"/>
      <c r="U169" s="125" t="n"/>
      <c r="V169" s="125" t="n"/>
      <c r="W169" s="125" t="n"/>
      <c r="X169" s="125" t="n"/>
      <c r="Y169" s="125" t="n"/>
      <c r="Z169" s="125" t="n"/>
      <c r="AA169" s="125" t="n"/>
      <c r="AB169" s="125" t="n"/>
      <c r="AC169" s="125" t="n"/>
      <c r="AD169" s="125" t="n"/>
      <c r="AE169" s="125" t="n"/>
      <c r="AF169" s="125" t="n"/>
      <c r="AG169" s="125" t="n"/>
      <c r="AH169" s="125" t="n"/>
      <c r="AI169" s="127">
        <f>SUM(D169:AG169,AH169)</f>
        <v/>
      </c>
      <c r="AJ169" s="126">
        <f>(SUM($D169:$Q169))/AI169</f>
        <v/>
      </c>
      <c r="AK169" s="126">
        <f>(SUM($D169:$H169))/AI169</f>
        <v/>
      </c>
      <c r="AL169" s="126">
        <f>(SUM($R169:$AH169))/AI169</f>
        <v/>
      </c>
      <c r="AM169" s="161" t="n"/>
      <c r="AN169" s="125">
        <f>YEAR(C169)</f>
        <v/>
      </c>
      <c r="AO169" s="125">
        <f>MONTH(C169)</f>
        <v/>
      </c>
      <c r="AP169" s="125">
        <f>WEEKNUM(C169,2)</f>
        <v/>
      </c>
      <c r="AQ169" s="129">
        <f>IFERROR(D169/$AI169,"")</f>
        <v/>
      </c>
      <c r="AR169" s="129">
        <f>IFERROR(E169/$AI169,"")</f>
        <v/>
      </c>
      <c r="AS169" s="129">
        <f>IFERROR(F169/$AI169,"")</f>
        <v/>
      </c>
      <c r="AT169" s="129">
        <f>IFERROR(H169/$AI169,"")</f>
        <v/>
      </c>
      <c r="AU169" s="129">
        <f>IFERROR(I169/$AI169,"")</f>
        <v/>
      </c>
      <c r="AV169" s="129">
        <f>IFERROR(J169/$AI169,"")</f>
        <v/>
      </c>
      <c r="AW169" s="129">
        <f>IFERROR(K169/$AI169,"")</f>
        <v/>
      </c>
      <c r="AX169" s="129">
        <f>IFERROR(L169/$AI169,"")</f>
        <v/>
      </c>
      <c r="AY169" s="129">
        <f>IFERROR(M169/$AI169,"")</f>
        <v/>
      </c>
      <c r="AZ169" s="129">
        <f>IFERROR(N169/$AI169,"")</f>
        <v/>
      </c>
      <c r="BA169" s="129">
        <f>IFERROR(O169/$AI169,"")</f>
        <v/>
      </c>
      <c r="BB169" s="129">
        <f>IFERROR(P169/$AI169,"")</f>
        <v/>
      </c>
      <c r="BC169" s="129">
        <f>IFERROR(AG169/$AI169,"")</f>
        <v/>
      </c>
      <c r="BD169" s="129">
        <f>IFERROR(AH169/$AI169,"")</f>
        <v/>
      </c>
      <c r="BE169" s="129">
        <f>IFERROR(R169/$AI169,"")</f>
        <v/>
      </c>
      <c r="BF169" s="129">
        <f>IFERROR(S169/$AI169,"")</f>
        <v/>
      </c>
      <c r="BG169" s="129">
        <f>IFERROR(T169/$AI169,"")</f>
        <v/>
      </c>
      <c r="BH169" s="129">
        <f>IFERROR(U169/$AI169,"")</f>
        <v/>
      </c>
      <c r="BI169" s="129">
        <f>IFERROR(V169/$AI169,"")</f>
        <v/>
      </c>
      <c r="BJ169" s="129">
        <f>IFERROR(W169/$AI169,"")</f>
        <v/>
      </c>
      <c r="BK169" s="129">
        <f>IFERROR(X169/$AI169,"")</f>
        <v/>
      </c>
      <c r="BL169" s="129">
        <f>IFERROR(Y169/$AI169,"")</f>
        <v/>
      </c>
      <c r="BM169" s="129">
        <f>IFERROR(Z169/$AI169,"")</f>
        <v/>
      </c>
      <c r="BN169" s="129">
        <f>IFERROR(AA169/$AI169,"")</f>
        <v/>
      </c>
      <c r="BO169" s="129">
        <f>IFERROR(AB169/$AI169,"")</f>
        <v/>
      </c>
      <c r="BP169" s="129">
        <f>IFERROR(AC169/$AI169,"")</f>
        <v/>
      </c>
      <c r="BQ169" s="129">
        <f>IFERROR(AD169/$AI169,"")</f>
        <v/>
      </c>
      <c r="BR169" s="129">
        <f>IFERROR(AE169/$AI169,"")</f>
        <v/>
      </c>
      <c r="BS169" s="129">
        <f>IFERROR(AF169/$AI169,"")</f>
        <v/>
      </c>
      <c r="BT169" s="129">
        <f>IFERROR(AG169/$AI169,"")</f>
        <v/>
      </c>
      <c r="BU169" s="129">
        <f>IFERROR(AH169/$AI169,"")</f>
        <v/>
      </c>
      <c r="BV169" s="126">
        <f>SUM(AQ169:BD169)</f>
        <v/>
      </c>
      <c r="BW169" s="126">
        <f>SUM(BE169:BU169)</f>
        <v/>
      </c>
      <c r="BX169" s="126">
        <f>SUM(AQ169:AU169)</f>
        <v/>
      </c>
    </row>
    <row r="170">
      <c r="B170" s="127" t="n"/>
      <c r="C170" s="125" t="n"/>
      <c r="D170" s="125" t="n"/>
      <c r="E170" s="125" t="n"/>
      <c r="F170" s="125" t="n"/>
      <c r="G170" s="125" t="n"/>
      <c r="H170" s="125" t="n"/>
      <c r="I170" s="125" t="n"/>
      <c r="J170" s="125" t="n"/>
      <c r="K170" s="125" t="n"/>
      <c r="L170" s="125" t="n"/>
      <c r="M170" s="125" t="n"/>
      <c r="N170" s="125" t="n"/>
      <c r="O170" s="125" t="n"/>
      <c r="P170" s="125" t="n"/>
      <c r="Q170" s="125" t="n"/>
      <c r="R170" s="125" t="n"/>
      <c r="S170" s="125" t="n"/>
      <c r="T170" s="125" t="n"/>
      <c r="U170" s="125" t="n"/>
      <c r="V170" s="125" t="n"/>
      <c r="W170" s="125" t="n"/>
      <c r="X170" s="125" t="n"/>
      <c r="Y170" s="125" t="n"/>
      <c r="Z170" s="125" t="n"/>
      <c r="AA170" s="125" t="n"/>
      <c r="AB170" s="125" t="n"/>
      <c r="AC170" s="125" t="n"/>
      <c r="AD170" s="125" t="n"/>
      <c r="AE170" s="125" t="n"/>
      <c r="AF170" s="125" t="n"/>
      <c r="AG170" s="125" t="n"/>
      <c r="AH170" s="125" t="n"/>
      <c r="AI170" s="127">
        <f>SUM(D170:AG170,AH170)</f>
        <v/>
      </c>
      <c r="AJ170" s="126">
        <f>(SUM($D170:$Q170))/AI170</f>
        <v/>
      </c>
      <c r="AK170" s="126">
        <f>(SUM($D170:$H170))/AI170</f>
        <v/>
      </c>
      <c r="AL170" s="126">
        <f>(SUM($R170:$AH170))/AI170</f>
        <v/>
      </c>
      <c r="AM170" s="161" t="n"/>
      <c r="AN170" s="125">
        <f>YEAR(C170)</f>
        <v/>
      </c>
      <c r="AO170" s="125">
        <f>MONTH(C170)</f>
        <v/>
      </c>
      <c r="AP170" s="125">
        <f>WEEKNUM(C170,2)</f>
        <v/>
      </c>
      <c r="AQ170" s="129">
        <f>IFERROR(D170/$AI170,"")</f>
        <v/>
      </c>
      <c r="AR170" s="129">
        <f>IFERROR(E170/$AI170,"")</f>
        <v/>
      </c>
      <c r="AS170" s="129">
        <f>IFERROR(F170/$AI170,"")</f>
        <v/>
      </c>
      <c r="AT170" s="129">
        <f>IFERROR(H170/$AI170,"")</f>
        <v/>
      </c>
      <c r="AU170" s="129">
        <f>IFERROR(I170/$AI170,"")</f>
        <v/>
      </c>
      <c r="AV170" s="129">
        <f>IFERROR(J170/$AI170,"")</f>
        <v/>
      </c>
      <c r="AW170" s="129">
        <f>IFERROR(K170/$AI170,"")</f>
        <v/>
      </c>
      <c r="AX170" s="129">
        <f>IFERROR(L170/$AI170,"")</f>
        <v/>
      </c>
      <c r="AY170" s="129">
        <f>IFERROR(M170/$AI170,"")</f>
        <v/>
      </c>
      <c r="AZ170" s="129">
        <f>IFERROR(N170/$AI170,"")</f>
        <v/>
      </c>
      <c r="BA170" s="129">
        <f>IFERROR(O170/$AI170,"")</f>
        <v/>
      </c>
      <c r="BB170" s="129">
        <f>IFERROR(P170/$AI170,"")</f>
        <v/>
      </c>
      <c r="BC170" s="129">
        <f>IFERROR(AG170/$AI170,"")</f>
        <v/>
      </c>
      <c r="BD170" s="129">
        <f>IFERROR(AH170/$AI170,"")</f>
        <v/>
      </c>
      <c r="BE170" s="129">
        <f>IFERROR(R170/$AI170,"")</f>
        <v/>
      </c>
      <c r="BF170" s="129">
        <f>IFERROR(S170/$AI170,"")</f>
        <v/>
      </c>
      <c r="BG170" s="129">
        <f>IFERROR(T170/$AI170,"")</f>
        <v/>
      </c>
      <c r="BH170" s="129">
        <f>IFERROR(U170/$AI170,"")</f>
        <v/>
      </c>
      <c r="BI170" s="129">
        <f>IFERROR(V170/$AI170,"")</f>
        <v/>
      </c>
      <c r="BJ170" s="129">
        <f>IFERROR(W170/$AI170,"")</f>
        <v/>
      </c>
      <c r="BK170" s="129">
        <f>IFERROR(X170/$AI170,"")</f>
        <v/>
      </c>
      <c r="BL170" s="129">
        <f>IFERROR(Y170/$AI170,"")</f>
        <v/>
      </c>
      <c r="BM170" s="129">
        <f>IFERROR(Z170/$AI170,"")</f>
        <v/>
      </c>
      <c r="BN170" s="129">
        <f>IFERROR(AA170/$AI170,"")</f>
        <v/>
      </c>
      <c r="BO170" s="129">
        <f>IFERROR(AB170/$AI170,"")</f>
        <v/>
      </c>
      <c r="BP170" s="129">
        <f>IFERROR(AC170/$AI170,"")</f>
        <v/>
      </c>
      <c r="BQ170" s="129">
        <f>IFERROR(AD170/$AI170,"")</f>
        <v/>
      </c>
      <c r="BR170" s="129">
        <f>IFERROR(AE170/$AI170,"")</f>
        <v/>
      </c>
      <c r="BS170" s="129">
        <f>IFERROR(AF170/$AI170,"")</f>
        <v/>
      </c>
      <c r="BT170" s="129">
        <f>IFERROR(AG170/$AI170,"")</f>
        <v/>
      </c>
      <c r="BU170" s="129">
        <f>IFERROR(AH170/$AI170,"")</f>
        <v/>
      </c>
      <c r="BV170" s="126">
        <f>SUM(AQ170:BD170)</f>
        <v/>
      </c>
      <c r="BW170" s="126">
        <f>SUM(BE170:BU170)</f>
        <v/>
      </c>
      <c r="BX170" s="126">
        <f>SUM(AQ170:AU170)</f>
        <v/>
      </c>
    </row>
    <row r="171">
      <c r="B171" s="127" t="n"/>
      <c r="C171" s="125" t="n"/>
      <c r="D171" s="125" t="n"/>
      <c r="E171" s="125" t="n"/>
      <c r="F171" s="125" t="n"/>
      <c r="G171" s="125" t="n"/>
      <c r="H171" s="125" t="n"/>
      <c r="I171" s="125" t="n"/>
      <c r="J171" s="125" t="n"/>
      <c r="K171" s="125" t="n"/>
      <c r="L171" s="125" t="n"/>
      <c r="M171" s="125" t="n"/>
      <c r="N171" s="125" t="n"/>
      <c r="O171" s="125" t="n"/>
      <c r="P171" s="125" t="n"/>
      <c r="Q171" s="125" t="n"/>
      <c r="R171" s="125" t="n"/>
      <c r="S171" s="125" t="n"/>
      <c r="T171" s="125" t="n"/>
      <c r="U171" s="125" t="n"/>
      <c r="V171" s="125" t="n"/>
      <c r="W171" s="125" t="n"/>
      <c r="X171" s="125" t="n"/>
      <c r="Y171" s="125" t="n"/>
      <c r="Z171" s="125" t="n"/>
      <c r="AA171" s="125" t="n"/>
      <c r="AB171" s="125" t="n"/>
      <c r="AC171" s="125" t="n"/>
      <c r="AD171" s="125" t="n"/>
      <c r="AE171" s="125" t="n"/>
      <c r="AF171" s="125" t="n"/>
      <c r="AG171" s="125" t="n"/>
      <c r="AH171" s="125" t="n"/>
      <c r="AI171" s="127">
        <f>SUM(D171:AG171,AH171)</f>
        <v/>
      </c>
      <c r="AJ171" s="126">
        <f>(SUM($D171:$Q171))/AI171</f>
        <v/>
      </c>
      <c r="AK171" s="126">
        <f>(SUM($D171:$H171))/AI171</f>
        <v/>
      </c>
      <c r="AL171" s="126">
        <f>(SUM($R171:$AH171))/AI171</f>
        <v/>
      </c>
      <c r="AM171" s="161" t="n"/>
      <c r="AN171" s="125">
        <f>YEAR(C171)</f>
        <v/>
      </c>
      <c r="AO171" s="125">
        <f>MONTH(C171)</f>
        <v/>
      </c>
      <c r="AP171" s="125">
        <f>WEEKNUM(C171,2)</f>
        <v/>
      </c>
      <c r="AQ171" s="129">
        <f>IFERROR(D171/$AI171,"")</f>
        <v/>
      </c>
      <c r="AR171" s="129">
        <f>IFERROR(E171/$AI171,"")</f>
        <v/>
      </c>
      <c r="AS171" s="129">
        <f>IFERROR(F171/$AI171,"")</f>
        <v/>
      </c>
      <c r="AT171" s="129">
        <f>IFERROR(H171/$AI171,"")</f>
        <v/>
      </c>
      <c r="AU171" s="129">
        <f>IFERROR(I171/$AI171,"")</f>
        <v/>
      </c>
      <c r="AV171" s="129">
        <f>IFERROR(J171/$AI171,"")</f>
        <v/>
      </c>
      <c r="AW171" s="129">
        <f>IFERROR(K171/$AI171,"")</f>
        <v/>
      </c>
      <c r="AX171" s="129">
        <f>IFERROR(L171/$AI171,"")</f>
        <v/>
      </c>
      <c r="AY171" s="129">
        <f>IFERROR(M171/$AI171,"")</f>
        <v/>
      </c>
      <c r="AZ171" s="129">
        <f>IFERROR(N171/$AI171,"")</f>
        <v/>
      </c>
      <c r="BA171" s="129">
        <f>IFERROR(O171/$AI171,"")</f>
        <v/>
      </c>
      <c r="BB171" s="129">
        <f>IFERROR(P171/$AI171,"")</f>
        <v/>
      </c>
      <c r="BC171" s="129">
        <f>IFERROR(AG171/$AI171,"")</f>
        <v/>
      </c>
      <c r="BD171" s="129">
        <f>IFERROR(AH171/$AI171,"")</f>
        <v/>
      </c>
      <c r="BE171" s="129">
        <f>IFERROR(R171/$AI171,"")</f>
        <v/>
      </c>
      <c r="BF171" s="129">
        <f>IFERROR(S171/$AI171,"")</f>
        <v/>
      </c>
      <c r="BG171" s="129">
        <f>IFERROR(T171/$AI171,"")</f>
        <v/>
      </c>
      <c r="BH171" s="129">
        <f>IFERROR(U171/$AI171,"")</f>
        <v/>
      </c>
      <c r="BI171" s="129">
        <f>IFERROR(V171/$AI171,"")</f>
        <v/>
      </c>
      <c r="BJ171" s="129">
        <f>IFERROR(W171/$AI171,"")</f>
        <v/>
      </c>
      <c r="BK171" s="129">
        <f>IFERROR(X171/$AI171,"")</f>
        <v/>
      </c>
      <c r="BL171" s="129">
        <f>IFERROR(Y171/$AI171,"")</f>
        <v/>
      </c>
      <c r="BM171" s="129">
        <f>IFERROR(Z171/$AI171,"")</f>
        <v/>
      </c>
      <c r="BN171" s="129">
        <f>IFERROR(AA171/$AI171,"")</f>
        <v/>
      </c>
      <c r="BO171" s="129">
        <f>IFERROR(AB171/$AI171,"")</f>
        <v/>
      </c>
      <c r="BP171" s="129">
        <f>IFERROR(AC171/$AI171,"")</f>
        <v/>
      </c>
      <c r="BQ171" s="129">
        <f>IFERROR(AD171/$AI171,"")</f>
        <v/>
      </c>
      <c r="BR171" s="129">
        <f>IFERROR(AE171/$AI171,"")</f>
        <v/>
      </c>
      <c r="BS171" s="129">
        <f>IFERROR(AF171/$AI171,"")</f>
        <v/>
      </c>
      <c r="BT171" s="129">
        <f>IFERROR(AG171/$AI171,"")</f>
        <v/>
      </c>
      <c r="BU171" s="129">
        <f>IFERROR(AH171/$AI171,"")</f>
        <v/>
      </c>
      <c r="BV171" s="126">
        <f>SUM(AQ171:BD171)</f>
        <v/>
      </c>
      <c r="BW171" s="126">
        <f>SUM(BE171:BU171)</f>
        <v/>
      </c>
      <c r="BX171" s="126">
        <f>SUM(AQ171:AU171)</f>
        <v/>
      </c>
    </row>
    <row r="172">
      <c r="B172" s="127" t="n"/>
      <c r="C172" s="125" t="n"/>
      <c r="D172" s="125" t="n"/>
      <c r="E172" s="125" t="n"/>
      <c r="F172" s="125" t="n"/>
      <c r="G172" s="125" t="n"/>
      <c r="H172" s="125" t="n"/>
      <c r="I172" s="125" t="n"/>
      <c r="J172" s="125" t="n"/>
      <c r="K172" s="125" t="n"/>
      <c r="L172" s="125" t="n"/>
      <c r="M172" s="125" t="n"/>
      <c r="N172" s="125" t="n"/>
      <c r="O172" s="125" t="n"/>
      <c r="P172" s="125" t="n"/>
      <c r="Q172" s="125" t="n"/>
      <c r="R172" s="125" t="n"/>
      <c r="S172" s="125" t="n"/>
      <c r="T172" s="125" t="n"/>
      <c r="U172" s="125" t="n"/>
      <c r="V172" s="125" t="n"/>
      <c r="W172" s="125" t="n"/>
      <c r="X172" s="125" t="n"/>
      <c r="Y172" s="125" t="n"/>
      <c r="Z172" s="125" t="n"/>
      <c r="AA172" s="125" t="n"/>
      <c r="AB172" s="125" t="n"/>
      <c r="AC172" s="125" t="n"/>
      <c r="AD172" s="125" t="n"/>
      <c r="AE172" s="125" t="n"/>
      <c r="AF172" s="125" t="n"/>
      <c r="AG172" s="125" t="n"/>
      <c r="AH172" s="125" t="n"/>
      <c r="AI172" s="127">
        <f>SUM(D172:AG172,AH172)</f>
        <v/>
      </c>
      <c r="AJ172" s="126">
        <f>(SUM($D172:$Q172))/AI172</f>
        <v/>
      </c>
      <c r="AK172" s="126">
        <f>(SUM($D172:$H172))/AI172</f>
        <v/>
      </c>
      <c r="AL172" s="126">
        <f>(SUM($R172:$AH172))/AI172</f>
        <v/>
      </c>
      <c r="AM172" s="161" t="n"/>
      <c r="AN172" s="125">
        <f>YEAR(C172)</f>
        <v/>
      </c>
      <c r="AO172" s="125">
        <f>MONTH(C172)</f>
        <v/>
      </c>
      <c r="AP172" s="125">
        <f>WEEKNUM(C172,2)</f>
        <v/>
      </c>
      <c r="AQ172" s="129">
        <f>IFERROR(D172/$AI172,"")</f>
        <v/>
      </c>
      <c r="AR172" s="129">
        <f>IFERROR(E172/$AI172,"")</f>
        <v/>
      </c>
      <c r="AS172" s="129">
        <f>IFERROR(F172/$AI172,"")</f>
        <v/>
      </c>
      <c r="AT172" s="129">
        <f>IFERROR(H172/$AI172,"")</f>
        <v/>
      </c>
      <c r="AU172" s="129">
        <f>IFERROR(I172/$AI172,"")</f>
        <v/>
      </c>
      <c r="AV172" s="129">
        <f>IFERROR(J172/$AI172,"")</f>
        <v/>
      </c>
      <c r="AW172" s="129">
        <f>IFERROR(K172/$AI172,"")</f>
        <v/>
      </c>
      <c r="AX172" s="129">
        <f>IFERROR(L172/$AI172,"")</f>
        <v/>
      </c>
      <c r="AY172" s="129">
        <f>IFERROR(M172/$AI172,"")</f>
        <v/>
      </c>
      <c r="AZ172" s="129">
        <f>IFERROR(N172/$AI172,"")</f>
        <v/>
      </c>
      <c r="BA172" s="129">
        <f>IFERROR(O172/$AI172,"")</f>
        <v/>
      </c>
      <c r="BB172" s="129">
        <f>IFERROR(P172/$AI172,"")</f>
        <v/>
      </c>
      <c r="BC172" s="129">
        <f>IFERROR(AG172/$AI172,"")</f>
        <v/>
      </c>
      <c r="BD172" s="129">
        <f>IFERROR(AH172/$AI172,"")</f>
        <v/>
      </c>
      <c r="BE172" s="129">
        <f>IFERROR(R172/$AI172,"")</f>
        <v/>
      </c>
      <c r="BF172" s="129">
        <f>IFERROR(S172/$AI172,"")</f>
        <v/>
      </c>
      <c r="BG172" s="129">
        <f>IFERROR(T172/$AI172,"")</f>
        <v/>
      </c>
      <c r="BH172" s="129">
        <f>IFERROR(U172/$AI172,"")</f>
        <v/>
      </c>
      <c r="BI172" s="129">
        <f>IFERROR(V172/$AI172,"")</f>
        <v/>
      </c>
      <c r="BJ172" s="129">
        <f>IFERROR(W172/$AI172,"")</f>
        <v/>
      </c>
      <c r="BK172" s="129">
        <f>IFERROR(X172/$AI172,"")</f>
        <v/>
      </c>
      <c r="BL172" s="129">
        <f>IFERROR(Y172/$AI172,"")</f>
        <v/>
      </c>
      <c r="BM172" s="129">
        <f>IFERROR(Z172/$AI172,"")</f>
        <v/>
      </c>
      <c r="BN172" s="129">
        <f>IFERROR(AA172/$AI172,"")</f>
        <v/>
      </c>
      <c r="BO172" s="129">
        <f>IFERROR(AB172/$AI172,"")</f>
        <v/>
      </c>
      <c r="BP172" s="129">
        <f>IFERROR(AC172/$AI172,"")</f>
        <v/>
      </c>
      <c r="BQ172" s="129">
        <f>IFERROR(AD172/$AI172,"")</f>
        <v/>
      </c>
      <c r="BR172" s="129">
        <f>IFERROR(AE172/$AI172,"")</f>
        <v/>
      </c>
      <c r="BS172" s="129">
        <f>IFERROR(AF172/$AI172,"")</f>
        <v/>
      </c>
      <c r="BT172" s="129">
        <f>IFERROR(AG172/$AI172,"")</f>
        <v/>
      </c>
      <c r="BU172" s="129">
        <f>IFERROR(AH172/$AI172,"")</f>
        <v/>
      </c>
      <c r="BV172" s="126">
        <f>SUM(AQ172:BD172)</f>
        <v/>
      </c>
      <c r="BW172" s="126">
        <f>SUM(BE172:BU172)</f>
        <v/>
      </c>
      <c r="BX172" s="126">
        <f>SUM(AQ172:AU172)</f>
        <v/>
      </c>
    </row>
    <row r="173">
      <c r="B173" s="127" t="n"/>
      <c r="C173" s="125" t="n"/>
      <c r="D173" s="125" t="n"/>
      <c r="E173" s="125" t="n"/>
      <c r="F173" s="125" t="n"/>
      <c r="G173" s="125" t="n"/>
      <c r="H173" s="125" t="n"/>
      <c r="I173" s="125" t="n"/>
      <c r="J173" s="125" t="n"/>
      <c r="K173" s="125" t="n"/>
      <c r="L173" s="125" t="n"/>
      <c r="M173" s="125" t="n"/>
      <c r="N173" s="125" t="n"/>
      <c r="O173" s="125" t="n"/>
      <c r="P173" s="125" t="n"/>
      <c r="Q173" s="125" t="n"/>
      <c r="R173" s="125" t="n"/>
      <c r="S173" s="125" t="n"/>
      <c r="T173" s="125" t="n"/>
      <c r="U173" s="125" t="n"/>
      <c r="V173" s="125" t="n"/>
      <c r="W173" s="125" t="n"/>
      <c r="X173" s="125" t="n"/>
      <c r="Y173" s="125" t="n"/>
      <c r="Z173" s="125" t="n"/>
      <c r="AA173" s="125" t="n"/>
      <c r="AB173" s="125" t="n"/>
      <c r="AC173" s="125" t="n"/>
      <c r="AD173" s="125" t="n"/>
      <c r="AE173" s="125" t="n"/>
      <c r="AF173" s="125" t="n"/>
      <c r="AG173" s="125" t="n"/>
      <c r="AH173" s="125" t="n"/>
      <c r="AI173" s="127">
        <f>SUM(D173:AG173,AH173)</f>
        <v/>
      </c>
      <c r="AJ173" s="126">
        <f>(SUM($D173:$Q173))/AI173</f>
        <v/>
      </c>
      <c r="AK173" s="126">
        <f>(SUM($D173:$H173))/AI173</f>
        <v/>
      </c>
      <c r="AL173" s="126">
        <f>(SUM($R173:$AH173))/AI173</f>
        <v/>
      </c>
      <c r="AM173" s="161" t="n"/>
      <c r="AN173" s="125">
        <f>YEAR(C173)</f>
        <v/>
      </c>
      <c r="AO173" s="125">
        <f>MONTH(C173)</f>
        <v/>
      </c>
      <c r="AP173" s="125">
        <f>WEEKNUM(C173,2)</f>
        <v/>
      </c>
      <c r="AQ173" s="129">
        <f>IFERROR(D173/$AI173,"")</f>
        <v/>
      </c>
      <c r="AR173" s="129">
        <f>IFERROR(E173/$AI173,"")</f>
        <v/>
      </c>
      <c r="AS173" s="129">
        <f>IFERROR(F173/$AI173,"")</f>
        <v/>
      </c>
      <c r="AT173" s="129">
        <f>IFERROR(H173/$AI173,"")</f>
        <v/>
      </c>
      <c r="AU173" s="129">
        <f>IFERROR(I173/$AI173,"")</f>
        <v/>
      </c>
      <c r="AV173" s="129">
        <f>IFERROR(J173/$AI173,"")</f>
        <v/>
      </c>
      <c r="AW173" s="129">
        <f>IFERROR(K173/$AI173,"")</f>
        <v/>
      </c>
      <c r="AX173" s="129">
        <f>IFERROR(L173/$AI173,"")</f>
        <v/>
      </c>
      <c r="AY173" s="129">
        <f>IFERROR(M173/$AI173,"")</f>
        <v/>
      </c>
      <c r="AZ173" s="129">
        <f>IFERROR(N173/$AI173,"")</f>
        <v/>
      </c>
      <c r="BA173" s="129">
        <f>IFERROR(O173/$AI173,"")</f>
        <v/>
      </c>
      <c r="BB173" s="129">
        <f>IFERROR(P173/$AI173,"")</f>
        <v/>
      </c>
      <c r="BC173" s="129">
        <f>IFERROR(AG173/$AI173,"")</f>
        <v/>
      </c>
      <c r="BD173" s="129">
        <f>IFERROR(AH173/$AI173,"")</f>
        <v/>
      </c>
      <c r="BE173" s="129">
        <f>IFERROR(R173/$AI173,"")</f>
        <v/>
      </c>
      <c r="BF173" s="129">
        <f>IFERROR(S173/$AI173,"")</f>
        <v/>
      </c>
      <c r="BG173" s="129">
        <f>IFERROR(T173/$AI173,"")</f>
        <v/>
      </c>
      <c r="BH173" s="129">
        <f>IFERROR(U173/$AI173,"")</f>
        <v/>
      </c>
      <c r="BI173" s="129">
        <f>IFERROR(V173/$AI173,"")</f>
        <v/>
      </c>
      <c r="BJ173" s="129">
        <f>IFERROR(W173/$AI173,"")</f>
        <v/>
      </c>
      <c r="BK173" s="129">
        <f>IFERROR(X173/$AI173,"")</f>
        <v/>
      </c>
      <c r="BL173" s="129">
        <f>IFERROR(Y173/$AI173,"")</f>
        <v/>
      </c>
      <c r="BM173" s="129">
        <f>IFERROR(Z173/$AI173,"")</f>
        <v/>
      </c>
      <c r="BN173" s="129">
        <f>IFERROR(AA173/$AI173,"")</f>
        <v/>
      </c>
      <c r="BO173" s="129">
        <f>IFERROR(AB173/$AI173,"")</f>
        <v/>
      </c>
      <c r="BP173" s="129">
        <f>IFERROR(AC173/$AI173,"")</f>
        <v/>
      </c>
      <c r="BQ173" s="129">
        <f>IFERROR(AD173/$AI173,"")</f>
        <v/>
      </c>
      <c r="BR173" s="129">
        <f>IFERROR(AE173/$AI173,"")</f>
        <v/>
      </c>
      <c r="BS173" s="129">
        <f>IFERROR(AF173/$AI173,"")</f>
        <v/>
      </c>
      <c r="BT173" s="129">
        <f>IFERROR(AG173/$AI173,"")</f>
        <v/>
      </c>
      <c r="BU173" s="129">
        <f>IFERROR(AH173/$AI173,"")</f>
        <v/>
      </c>
      <c r="BV173" s="126">
        <f>SUM(AQ173:BD173)</f>
        <v/>
      </c>
      <c r="BW173" s="126">
        <f>SUM(BE173:BU173)</f>
        <v/>
      </c>
      <c r="BX173" s="126">
        <f>SUM(AQ173:AU173)</f>
        <v/>
      </c>
    </row>
    <row r="174">
      <c r="B174" s="127" t="n"/>
      <c r="C174" s="125" t="n"/>
      <c r="D174" s="125" t="n"/>
      <c r="E174" s="125" t="n"/>
      <c r="F174" s="125" t="n"/>
      <c r="G174" s="125" t="n"/>
      <c r="H174" s="125" t="n"/>
      <c r="I174" s="125" t="n"/>
      <c r="J174" s="125" t="n"/>
      <c r="K174" s="125" t="n"/>
      <c r="L174" s="125" t="n"/>
      <c r="M174" s="125" t="n"/>
      <c r="N174" s="125" t="n"/>
      <c r="O174" s="125" t="n"/>
      <c r="P174" s="125" t="n"/>
      <c r="Q174" s="125" t="n"/>
      <c r="R174" s="125" t="n"/>
      <c r="S174" s="125" t="n"/>
      <c r="T174" s="125" t="n"/>
      <c r="U174" s="125" t="n"/>
      <c r="V174" s="125" t="n"/>
      <c r="W174" s="125" t="n"/>
      <c r="X174" s="125" t="n"/>
      <c r="Y174" s="125" t="n"/>
      <c r="Z174" s="125" t="n"/>
      <c r="AA174" s="125" t="n"/>
      <c r="AB174" s="125" t="n"/>
      <c r="AC174" s="125" t="n"/>
      <c r="AD174" s="125" t="n"/>
      <c r="AE174" s="125" t="n"/>
      <c r="AF174" s="125" t="n"/>
      <c r="AG174" s="125" t="n"/>
      <c r="AH174" s="125" t="n"/>
      <c r="AI174" s="127">
        <f>SUM(D174:AG174,AH174)</f>
        <v/>
      </c>
      <c r="AJ174" s="126">
        <f>(SUM($D174:$Q174))/AI174</f>
        <v/>
      </c>
      <c r="AK174" s="126">
        <f>(SUM($D174:$H174))/AI174</f>
        <v/>
      </c>
      <c r="AL174" s="126">
        <f>(SUM($R174:$AH174))/AI174</f>
        <v/>
      </c>
      <c r="AM174" s="161" t="n"/>
      <c r="AN174" s="125">
        <f>YEAR(C174)</f>
        <v/>
      </c>
      <c r="AO174" s="125">
        <f>MONTH(C174)</f>
        <v/>
      </c>
      <c r="AP174" s="125">
        <f>WEEKNUM(C174,2)</f>
        <v/>
      </c>
      <c r="AQ174" s="129">
        <f>IFERROR(D174/$AI174,"")</f>
        <v/>
      </c>
      <c r="AR174" s="129">
        <f>IFERROR(E174/$AI174,"")</f>
        <v/>
      </c>
      <c r="AS174" s="129">
        <f>IFERROR(F174/$AI174,"")</f>
        <v/>
      </c>
      <c r="AT174" s="129">
        <f>IFERROR(H174/$AI174,"")</f>
        <v/>
      </c>
      <c r="AU174" s="129">
        <f>IFERROR(I174/$AI174,"")</f>
        <v/>
      </c>
      <c r="AV174" s="129">
        <f>IFERROR(J174/$AI174,"")</f>
        <v/>
      </c>
      <c r="AW174" s="129">
        <f>IFERROR(K174/$AI174,"")</f>
        <v/>
      </c>
      <c r="AX174" s="129">
        <f>IFERROR(L174/$AI174,"")</f>
        <v/>
      </c>
      <c r="AY174" s="129">
        <f>IFERROR(M174/$AI174,"")</f>
        <v/>
      </c>
      <c r="AZ174" s="129">
        <f>IFERROR(N174/$AI174,"")</f>
        <v/>
      </c>
      <c r="BA174" s="129">
        <f>IFERROR(O174/$AI174,"")</f>
        <v/>
      </c>
      <c r="BB174" s="129">
        <f>IFERROR(P174/$AI174,"")</f>
        <v/>
      </c>
      <c r="BC174" s="129">
        <f>IFERROR(AG174/$AI174,"")</f>
        <v/>
      </c>
      <c r="BD174" s="129">
        <f>IFERROR(AH174/$AI174,"")</f>
        <v/>
      </c>
      <c r="BE174" s="129">
        <f>IFERROR(R174/$AI174,"")</f>
        <v/>
      </c>
      <c r="BF174" s="129">
        <f>IFERROR(S174/$AI174,"")</f>
        <v/>
      </c>
      <c r="BG174" s="129">
        <f>IFERROR(T174/$AI174,"")</f>
        <v/>
      </c>
      <c r="BH174" s="129">
        <f>IFERROR(U174/$AI174,"")</f>
        <v/>
      </c>
      <c r="BI174" s="129">
        <f>IFERROR(V174/$AI174,"")</f>
        <v/>
      </c>
      <c r="BJ174" s="129">
        <f>IFERROR(W174/$AI174,"")</f>
        <v/>
      </c>
      <c r="BK174" s="129">
        <f>IFERROR(X174/$AI174,"")</f>
        <v/>
      </c>
      <c r="BL174" s="129">
        <f>IFERROR(Y174/$AI174,"")</f>
        <v/>
      </c>
      <c r="BM174" s="129">
        <f>IFERROR(Z174/$AI174,"")</f>
        <v/>
      </c>
      <c r="BN174" s="129">
        <f>IFERROR(AA174/$AI174,"")</f>
        <v/>
      </c>
      <c r="BO174" s="129">
        <f>IFERROR(AB174/$AI174,"")</f>
        <v/>
      </c>
      <c r="BP174" s="129">
        <f>IFERROR(AC174/$AI174,"")</f>
        <v/>
      </c>
      <c r="BQ174" s="129">
        <f>IFERROR(AD174/$AI174,"")</f>
        <v/>
      </c>
      <c r="BR174" s="129">
        <f>IFERROR(AE174/$AI174,"")</f>
        <v/>
      </c>
      <c r="BS174" s="129">
        <f>IFERROR(AF174/$AI174,"")</f>
        <v/>
      </c>
      <c r="BT174" s="129">
        <f>IFERROR(AG174/$AI174,"")</f>
        <v/>
      </c>
      <c r="BU174" s="129">
        <f>IFERROR(AH174/$AI174,"")</f>
        <v/>
      </c>
      <c r="BV174" s="126">
        <f>SUM(AQ174:BD174)</f>
        <v/>
      </c>
      <c r="BW174" s="126">
        <f>SUM(BE174:BU174)</f>
        <v/>
      </c>
      <c r="BX174" s="126">
        <f>SUM(AQ174:AU174)</f>
        <v/>
      </c>
    </row>
    <row r="175">
      <c r="B175" s="127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5" t="n"/>
      <c r="U175" s="125" t="n"/>
      <c r="V175" s="125" t="n"/>
      <c r="W175" s="125" t="n"/>
      <c r="X175" s="125" t="n"/>
      <c r="Y175" s="125" t="n"/>
      <c r="Z175" s="125" t="n"/>
      <c r="AA175" s="125" t="n"/>
      <c r="AB175" s="125" t="n"/>
      <c r="AC175" s="125" t="n"/>
      <c r="AD175" s="125" t="n"/>
      <c r="AE175" s="125" t="n"/>
      <c r="AF175" s="125" t="n"/>
      <c r="AG175" s="125" t="n"/>
      <c r="AH175" s="125" t="n"/>
      <c r="AI175" s="127">
        <f>SUM(D175:AG175,AH175)</f>
        <v/>
      </c>
      <c r="AJ175" s="126">
        <f>(SUM($D175:$Q175))/AI175</f>
        <v/>
      </c>
      <c r="AK175" s="126">
        <f>(SUM($D175:$H175))/AI175</f>
        <v/>
      </c>
      <c r="AL175" s="126">
        <f>(SUM($R175:$AH175))/AI175</f>
        <v/>
      </c>
      <c r="AM175" s="161" t="n"/>
      <c r="AN175" s="125">
        <f>YEAR(C175)</f>
        <v/>
      </c>
      <c r="AO175" s="125">
        <f>MONTH(C175)</f>
        <v/>
      </c>
      <c r="AP175" s="125">
        <f>WEEKNUM(C175,2)</f>
        <v/>
      </c>
      <c r="AQ175" s="129">
        <f>IFERROR(D175/$AI175,"")</f>
        <v/>
      </c>
      <c r="AR175" s="129">
        <f>IFERROR(E175/$AI175,"")</f>
        <v/>
      </c>
      <c r="AS175" s="129">
        <f>IFERROR(F175/$AI175,"")</f>
        <v/>
      </c>
      <c r="AT175" s="129">
        <f>IFERROR(H175/$AI175,"")</f>
        <v/>
      </c>
      <c r="AU175" s="129">
        <f>IFERROR(I175/$AI175,"")</f>
        <v/>
      </c>
      <c r="AV175" s="129">
        <f>IFERROR(J175/$AI175,"")</f>
        <v/>
      </c>
      <c r="AW175" s="129">
        <f>IFERROR(K175/$AI175,"")</f>
        <v/>
      </c>
      <c r="AX175" s="129">
        <f>IFERROR(L175/$AI175,"")</f>
        <v/>
      </c>
      <c r="AY175" s="129">
        <f>IFERROR(M175/$AI175,"")</f>
        <v/>
      </c>
      <c r="AZ175" s="129">
        <f>IFERROR(N175/$AI175,"")</f>
        <v/>
      </c>
      <c r="BA175" s="129">
        <f>IFERROR(O175/$AI175,"")</f>
        <v/>
      </c>
      <c r="BB175" s="129">
        <f>IFERROR(P175/$AI175,"")</f>
        <v/>
      </c>
      <c r="BC175" s="129">
        <f>IFERROR(AG175/$AI175,"")</f>
        <v/>
      </c>
      <c r="BD175" s="129">
        <f>IFERROR(AH175/$AI175,"")</f>
        <v/>
      </c>
      <c r="BE175" s="129">
        <f>IFERROR(R175/$AI175,"")</f>
        <v/>
      </c>
      <c r="BF175" s="129">
        <f>IFERROR(S175/$AI175,"")</f>
        <v/>
      </c>
      <c r="BG175" s="129">
        <f>IFERROR(T175/$AI175,"")</f>
        <v/>
      </c>
      <c r="BH175" s="129">
        <f>IFERROR(U175/$AI175,"")</f>
        <v/>
      </c>
      <c r="BI175" s="129">
        <f>IFERROR(V175/$AI175,"")</f>
        <v/>
      </c>
      <c r="BJ175" s="129">
        <f>IFERROR(W175/$AI175,"")</f>
        <v/>
      </c>
      <c r="BK175" s="129">
        <f>IFERROR(X175/$AI175,"")</f>
        <v/>
      </c>
      <c r="BL175" s="129">
        <f>IFERROR(Y175/$AI175,"")</f>
        <v/>
      </c>
      <c r="BM175" s="129">
        <f>IFERROR(Z175/$AI175,"")</f>
        <v/>
      </c>
      <c r="BN175" s="129">
        <f>IFERROR(AA175/$AI175,"")</f>
        <v/>
      </c>
      <c r="BO175" s="129">
        <f>IFERROR(AB175/$AI175,"")</f>
        <v/>
      </c>
      <c r="BP175" s="129">
        <f>IFERROR(AC175/$AI175,"")</f>
        <v/>
      </c>
      <c r="BQ175" s="129">
        <f>IFERROR(AD175/$AI175,"")</f>
        <v/>
      </c>
      <c r="BR175" s="129">
        <f>IFERROR(AE175/$AI175,"")</f>
        <v/>
      </c>
      <c r="BS175" s="129">
        <f>IFERROR(AF175/$AI175,"")</f>
        <v/>
      </c>
      <c r="BT175" s="129">
        <f>IFERROR(AG175/$AI175,"")</f>
        <v/>
      </c>
      <c r="BU175" s="129">
        <f>IFERROR(AH175/$AI175,"")</f>
        <v/>
      </c>
      <c r="BV175" s="126">
        <f>SUM(AQ175:BD175)</f>
        <v/>
      </c>
      <c r="BW175" s="126">
        <f>SUM(BE175:BU175)</f>
        <v/>
      </c>
      <c r="BX175" s="126">
        <f>SUM(AQ175:AU175)</f>
        <v/>
      </c>
    </row>
    <row r="176">
      <c r="B176" s="127" t="n"/>
      <c r="C176" s="125" t="n"/>
      <c r="D176" s="125" t="n"/>
      <c r="E176" s="125" t="n"/>
      <c r="F176" s="125" t="n"/>
      <c r="G176" s="125" t="n"/>
      <c r="H176" s="125" t="n"/>
      <c r="I176" s="125" t="n"/>
      <c r="J176" s="125" t="n"/>
      <c r="K176" s="125" t="n"/>
      <c r="L176" s="125" t="n"/>
      <c r="M176" s="125" t="n"/>
      <c r="N176" s="125" t="n"/>
      <c r="O176" s="125" t="n"/>
      <c r="P176" s="125" t="n"/>
      <c r="Q176" s="125" t="n"/>
      <c r="R176" s="125" t="n"/>
      <c r="S176" s="125" t="n"/>
      <c r="T176" s="125" t="n"/>
      <c r="U176" s="125" t="n"/>
      <c r="V176" s="125" t="n"/>
      <c r="W176" s="125" t="n"/>
      <c r="X176" s="125" t="n"/>
      <c r="Y176" s="125" t="n"/>
      <c r="Z176" s="125" t="n"/>
      <c r="AA176" s="125" t="n"/>
      <c r="AB176" s="125" t="n"/>
      <c r="AC176" s="125" t="n"/>
      <c r="AD176" s="125" t="n"/>
      <c r="AE176" s="125" t="n"/>
      <c r="AF176" s="125" t="n"/>
      <c r="AG176" s="125" t="n"/>
      <c r="AH176" s="125" t="n"/>
      <c r="AI176" s="127">
        <f>SUM(D176:AG176,AH176)</f>
        <v/>
      </c>
      <c r="AJ176" s="126">
        <f>(SUM($D176:$Q176))/AI176</f>
        <v/>
      </c>
      <c r="AK176" s="126">
        <f>(SUM($D176:$H176))/AI176</f>
        <v/>
      </c>
      <c r="AL176" s="126">
        <f>(SUM($R176:$AH176))/AI176</f>
        <v/>
      </c>
      <c r="AM176" s="161" t="n"/>
      <c r="AN176" s="125">
        <f>YEAR(C176)</f>
        <v/>
      </c>
      <c r="AO176" s="125">
        <f>MONTH(C176)</f>
        <v/>
      </c>
      <c r="AP176" s="125">
        <f>WEEKNUM(C176,2)</f>
        <v/>
      </c>
      <c r="AQ176" s="129">
        <f>IFERROR(D176/$AI176,"")</f>
        <v/>
      </c>
      <c r="AR176" s="129">
        <f>IFERROR(E176/$AI176,"")</f>
        <v/>
      </c>
      <c r="AS176" s="129">
        <f>IFERROR(F176/$AI176,"")</f>
        <v/>
      </c>
      <c r="AT176" s="129">
        <f>IFERROR(H176/$AI176,"")</f>
        <v/>
      </c>
      <c r="AU176" s="129">
        <f>IFERROR(I176/$AI176,"")</f>
        <v/>
      </c>
      <c r="AV176" s="129">
        <f>IFERROR(J176/$AI176,"")</f>
        <v/>
      </c>
      <c r="AW176" s="129">
        <f>IFERROR(K176/$AI176,"")</f>
        <v/>
      </c>
      <c r="AX176" s="129">
        <f>IFERROR(L176/$AI176,"")</f>
        <v/>
      </c>
      <c r="AY176" s="129">
        <f>IFERROR(M176/$AI176,"")</f>
        <v/>
      </c>
      <c r="AZ176" s="129">
        <f>IFERROR(N176/$AI176,"")</f>
        <v/>
      </c>
      <c r="BA176" s="129">
        <f>IFERROR(O176/$AI176,"")</f>
        <v/>
      </c>
      <c r="BB176" s="129">
        <f>IFERROR(P176/$AI176,"")</f>
        <v/>
      </c>
      <c r="BC176" s="129">
        <f>IFERROR(AG176/$AI176,"")</f>
        <v/>
      </c>
      <c r="BD176" s="129">
        <f>IFERROR(AH176/$AI176,"")</f>
        <v/>
      </c>
      <c r="BE176" s="129">
        <f>IFERROR(R176/$AI176,"")</f>
        <v/>
      </c>
      <c r="BF176" s="129">
        <f>IFERROR(S176/$AI176,"")</f>
        <v/>
      </c>
      <c r="BG176" s="129">
        <f>IFERROR(T176/$AI176,"")</f>
        <v/>
      </c>
      <c r="BH176" s="129">
        <f>IFERROR(U176/$AI176,"")</f>
        <v/>
      </c>
      <c r="BI176" s="129">
        <f>IFERROR(V176/$AI176,"")</f>
        <v/>
      </c>
      <c r="BJ176" s="129">
        <f>IFERROR(W176/$AI176,"")</f>
        <v/>
      </c>
      <c r="BK176" s="129">
        <f>IFERROR(X176/$AI176,"")</f>
        <v/>
      </c>
      <c r="BL176" s="129">
        <f>IFERROR(Y176/$AI176,"")</f>
        <v/>
      </c>
      <c r="BM176" s="129">
        <f>IFERROR(Z176/$AI176,"")</f>
        <v/>
      </c>
      <c r="BN176" s="129">
        <f>IFERROR(AA176/$AI176,"")</f>
        <v/>
      </c>
      <c r="BO176" s="129">
        <f>IFERROR(AB176/$AI176,"")</f>
        <v/>
      </c>
      <c r="BP176" s="129">
        <f>IFERROR(AC176/$AI176,"")</f>
        <v/>
      </c>
      <c r="BQ176" s="129">
        <f>IFERROR(AD176/$AI176,"")</f>
        <v/>
      </c>
      <c r="BR176" s="129">
        <f>IFERROR(AE176/$AI176,"")</f>
        <v/>
      </c>
      <c r="BS176" s="129">
        <f>IFERROR(AF176/$AI176,"")</f>
        <v/>
      </c>
      <c r="BT176" s="129">
        <f>IFERROR(AG176/$AI176,"")</f>
        <v/>
      </c>
      <c r="BU176" s="129">
        <f>IFERROR(AH176/$AI176,"")</f>
        <v/>
      </c>
      <c r="BV176" s="126">
        <f>SUM(AQ176:BD176)</f>
        <v/>
      </c>
      <c r="BW176" s="126">
        <f>SUM(BE176:BU176)</f>
        <v/>
      </c>
      <c r="BX176" s="126">
        <f>SUM(AQ176:AU176)</f>
        <v/>
      </c>
    </row>
    <row r="177">
      <c r="B177" s="127" t="n"/>
      <c r="C177" s="125" t="n"/>
      <c r="D177" s="125" t="n"/>
      <c r="E177" s="125" t="n"/>
      <c r="F177" s="125" t="n"/>
      <c r="G177" s="125" t="n"/>
      <c r="H177" s="125" t="n"/>
      <c r="I177" s="125" t="n"/>
      <c r="J177" s="125" t="n"/>
      <c r="K177" s="125" t="n"/>
      <c r="L177" s="125" t="n"/>
      <c r="M177" s="125" t="n"/>
      <c r="N177" s="125" t="n"/>
      <c r="O177" s="125" t="n"/>
      <c r="P177" s="125" t="n"/>
      <c r="Q177" s="125" t="n"/>
      <c r="R177" s="125" t="n"/>
      <c r="S177" s="125" t="n"/>
      <c r="T177" s="125" t="n"/>
      <c r="U177" s="125" t="n"/>
      <c r="V177" s="125" t="n"/>
      <c r="W177" s="125" t="n"/>
      <c r="X177" s="125" t="n"/>
      <c r="Y177" s="125" t="n"/>
      <c r="Z177" s="125" t="n"/>
      <c r="AA177" s="125" t="n"/>
      <c r="AB177" s="125" t="n"/>
      <c r="AC177" s="125" t="n"/>
      <c r="AD177" s="125" t="n"/>
      <c r="AE177" s="125" t="n"/>
      <c r="AF177" s="125" t="n"/>
      <c r="AG177" s="125" t="n"/>
      <c r="AH177" s="125" t="n"/>
      <c r="AI177" s="127">
        <f>SUM(D177:AG177,AH177)</f>
        <v/>
      </c>
      <c r="AJ177" s="126">
        <f>(SUM($D177:$Q177))/AI177</f>
        <v/>
      </c>
      <c r="AK177" s="126">
        <f>(SUM($D177:$H177))/AI177</f>
        <v/>
      </c>
      <c r="AL177" s="126">
        <f>(SUM($R177:$AH177))/AI177</f>
        <v/>
      </c>
      <c r="AM177" s="161" t="n"/>
      <c r="AN177" s="125">
        <f>YEAR(C177)</f>
        <v/>
      </c>
      <c r="AO177" s="125">
        <f>MONTH(C177)</f>
        <v/>
      </c>
      <c r="AP177" s="125">
        <f>WEEKNUM(C177,2)</f>
        <v/>
      </c>
      <c r="AQ177" s="129">
        <f>IFERROR(D177/$AI177,"")</f>
        <v/>
      </c>
      <c r="AR177" s="129">
        <f>IFERROR(E177/$AI177,"")</f>
        <v/>
      </c>
      <c r="AS177" s="129">
        <f>IFERROR(F177/$AI177,"")</f>
        <v/>
      </c>
      <c r="AT177" s="129">
        <f>IFERROR(H177/$AI177,"")</f>
        <v/>
      </c>
      <c r="AU177" s="129">
        <f>IFERROR(I177/$AI177,"")</f>
        <v/>
      </c>
      <c r="AV177" s="129">
        <f>IFERROR(J177/$AI177,"")</f>
        <v/>
      </c>
      <c r="AW177" s="129">
        <f>IFERROR(K177/$AI177,"")</f>
        <v/>
      </c>
      <c r="AX177" s="129">
        <f>IFERROR(L177/$AI177,"")</f>
        <v/>
      </c>
      <c r="AY177" s="129">
        <f>IFERROR(M177/$AI177,"")</f>
        <v/>
      </c>
      <c r="AZ177" s="129">
        <f>IFERROR(N177/$AI177,"")</f>
        <v/>
      </c>
      <c r="BA177" s="129">
        <f>IFERROR(O177/$AI177,"")</f>
        <v/>
      </c>
      <c r="BB177" s="129">
        <f>IFERROR(P177/$AI177,"")</f>
        <v/>
      </c>
      <c r="BC177" s="129">
        <f>IFERROR(AG177/$AI177,"")</f>
        <v/>
      </c>
      <c r="BD177" s="129">
        <f>IFERROR(AH177/$AI177,"")</f>
        <v/>
      </c>
      <c r="BE177" s="129">
        <f>IFERROR(R177/$AI177,"")</f>
        <v/>
      </c>
      <c r="BF177" s="129">
        <f>IFERROR(S177/$AI177,"")</f>
        <v/>
      </c>
      <c r="BG177" s="129">
        <f>IFERROR(T177/$AI177,"")</f>
        <v/>
      </c>
      <c r="BH177" s="129">
        <f>IFERROR(U177/$AI177,"")</f>
        <v/>
      </c>
      <c r="BI177" s="129">
        <f>IFERROR(V177/$AI177,"")</f>
        <v/>
      </c>
      <c r="BJ177" s="129">
        <f>IFERROR(W177/$AI177,"")</f>
        <v/>
      </c>
      <c r="BK177" s="129">
        <f>IFERROR(X177/$AI177,"")</f>
        <v/>
      </c>
      <c r="BL177" s="129">
        <f>IFERROR(Y177/$AI177,"")</f>
        <v/>
      </c>
      <c r="BM177" s="129">
        <f>IFERROR(Z177/$AI177,"")</f>
        <v/>
      </c>
      <c r="BN177" s="129">
        <f>IFERROR(AA177/$AI177,"")</f>
        <v/>
      </c>
      <c r="BO177" s="129">
        <f>IFERROR(AB177/$AI177,"")</f>
        <v/>
      </c>
      <c r="BP177" s="129">
        <f>IFERROR(AC177/$AI177,"")</f>
        <v/>
      </c>
      <c r="BQ177" s="129">
        <f>IFERROR(AD177/$AI177,"")</f>
        <v/>
      </c>
      <c r="BR177" s="129">
        <f>IFERROR(AE177/$AI177,"")</f>
        <v/>
      </c>
      <c r="BS177" s="129">
        <f>IFERROR(AF177/$AI177,"")</f>
        <v/>
      </c>
      <c r="BT177" s="129">
        <f>IFERROR(AG177/$AI177,"")</f>
        <v/>
      </c>
      <c r="BU177" s="129">
        <f>IFERROR(AH177/$AI177,"")</f>
        <v/>
      </c>
      <c r="BV177" s="126">
        <f>SUM(AQ177:BD177)</f>
        <v/>
      </c>
      <c r="BW177" s="126">
        <f>SUM(BE177:BU177)</f>
        <v/>
      </c>
      <c r="BX177" s="126">
        <f>SUM(AQ177:AU177)</f>
        <v/>
      </c>
    </row>
    <row r="178">
      <c r="B178" s="127" t="n"/>
      <c r="C178" s="125" t="n"/>
      <c r="D178" s="125" t="n"/>
      <c r="E178" s="125" t="n"/>
      <c r="F178" s="125" t="n"/>
      <c r="G178" s="125" t="n"/>
      <c r="H178" s="125" t="n"/>
      <c r="I178" s="125" t="n"/>
      <c r="J178" s="125" t="n"/>
      <c r="K178" s="125" t="n"/>
      <c r="L178" s="125" t="n"/>
      <c r="M178" s="125" t="n"/>
      <c r="N178" s="125" t="n"/>
      <c r="O178" s="125" t="n"/>
      <c r="P178" s="125" t="n"/>
      <c r="Q178" s="125" t="n"/>
      <c r="R178" s="125" t="n"/>
      <c r="S178" s="125" t="n"/>
      <c r="T178" s="125" t="n"/>
      <c r="U178" s="125" t="n"/>
      <c r="V178" s="125" t="n"/>
      <c r="W178" s="125" t="n"/>
      <c r="X178" s="125" t="n"/>
      <c r="Y178" s="125" t="n"/>
      <c r="Z178" s="125" t="n"/>
      <c r="AA178" s="125" t="n"/>
      <c r="AB178" s="125" t="n"/>
      <c r="AC178" s="125" t="n"/>
      <c r="AD178" s="125" t="n"/>
      <c r="AE178" s="125" t="n"/>
      <c r="AF178" s="125" t="n"/>
      <c r="AG178" s="125" t="n"/>
      <c r="AH178" s="125" t="n"/>
      <c r="AI178" s="127">
        <f>SUM(D178:AG178,AH178)</f>
        <v/>
      </c>
      <c r="AJ178" s="126">
        <f>(SUM($D178:$Q178))/AI178</f>
        <v/>
      </c>
      <c r="AK178" s="126">
        <f>(SUM($D178:$H178))/AI178</f>
        <v/>
      </c>
      <c r="AL178" s="126">
        <f>(SUM($R178:$AH178))/AI178</f>
        <v/>
      </c>
      <c r="AM178" s="161" t="n"/>
      <c r="AN178" s="125">
        <f>YEAR(C178)</f>
        <v/>
      </c>
      <c r="AO178" s="125">
        <f>MONTH(C178)</f>
        <v/>
      </c>
      <c r="AP178" s="125">
        <f>WEEKNUM(C178,2)</f>
        <v/>
      </c>
      <c r="AQ178" s="129">
        <f>IFERROR(D178/$AI178,"")</f>
        <v/>
      </c>
      <c r="AR178" s="129">
        <f>IFERROR(E178/$AI178,"")</f>
        <v/>
      </c>
      <c r="AS178" s="129">
        <f>IFERROR(F178/$AI178,"")</f>
        <v/>
      </c>
      <c r="AT178" s="129">
        <f>IFERROR(H178/$AI178,"")</f>
        <v/>
      </c>
      <c r="AU178" s="129">
        <f>IFERROR(I178/$AI178,"")</f>
        <v/>
      </c>
      <c r="AV178" s="129">
        <f>IFERROR(J178/$AI178,"")</f>
        <v/>
      </c>
      <c r="AW178" s="129">
        <f>IFERROR(K178/$AI178,"")</f>
        <v/>
      </c>
      <c r="AX178" s="129">
        <f>IFERROR(L178/$AI178,"")</f>
        <v/>
      </c>
      <c r="AY178" s="129">
        <f>IFERROR(M178/$AI178,"")</f>
        <v/>
      </c>
      <c r="AZ178" s="129">
        <f>IFERROR(N178/$AI178,"")</f>
        <v/>
      </c>
      <c r="BA178" s="129">
        <f>IFERROR(O178/$AI178,"")</f>
        <v/>
      </c>
      <c r="BB178" s="129">
        <f>IFERROR(P178/$AI178,"")</f>
        <v/>
      </c>
      <c r="BC178" s="129">
        <f>IFERROR(AG178/$AI178,"")</f>
        <v/>
      </c>
      <c r="BD178" s="129">
        <f>IFERROR(AH178/$AI178,"")</f>
        <v/>
      </c>
      <c r="BE178" s="129">
        <f>IFERROR(R178/$AI178,"")</f>
        <v/>
      </c>
      <c r="BF178" s="129">
        <f>IFERROR(S178/$AI178,"")</f>
        <v/>
      </c>
      <c r="BG178" s="129">
        <f>IFERROR(T178/$AI178,"")</f>
        <v/>
      </c>
      <c r="BH178" s="129">
        <f>IFERROR(U178/$AI178,"")</f>
        <v/>
      </c>
      <c r="BI178" s="129">
        <f>IFERROR(V178/$AI178,"")</f>
        <v/>
      </c>
      <c r="BJ178" s="129">
        <f>IFERROR(W178/$AI178,"")</f>
        <v/>
      </c>
      <c r="BK178" s="129">
        <f>IFERROR(X178/$AI178,"")</f>
        <v/>
      </c>
      <c r="BL178" s="129">
        <f>IFERROR(Y178/$AI178,"")</f>
        <v/>
      </c>
      <c r="BM178" s="129">
        <f>IFERROR(Z178/$AI178,"")</f>
        <v/>
      </c>
      <c r="BN178" s="129">
        <f>IFERROR(AA178/$AI178,"")</f>
        <v/>
      </c>
      <c r="BO178" s="129">
        <f>IFERROR(AB178/$AI178,"")</f>
        <v/>
      </c>
      <c r="BP178" s="129">
        <f>IFERROR(AC178/$AI178,"")</f>
        <v/>
      </c>
      <c r="BQ178" s="129">
        <f>IFERROR(AD178/$AI178,"")</f>
        <v/>
      </c>
      <c r="BR178" s="129">
        <f>IFERROR(AE178/$AI178,"")</f>
        <v/>
      </c>
      <c r="BS178" s="129">
        <f>IFERROR(AF178/$AI178,"")</f>
        <v/>
      </c>
      <c r="BT178" s="129">
        <f>IFERROR(AG178/$AI178,"")</f>
        <v/>
      </c>
      <c r="BU178" s="129">
        <f>IFERROR(AH178/$AI178,"")</f>
        <v/>
      </c>
      <c r="BV178" s="126">
        <f>SUM(AQ178:BD178)</f>
        <v/>
      </c>
      <c r="BW178" s="126">
        <f>SUM(BE178:BU178)</f>
        <v/>
      </c>
      <c r="BX178" s="126">
        <f>SUM(AQ178:AU178)</f>
        <v/>
      </c>
    </row>
    <row r="179">
      <c r="B179" s="127" t="n"/>
      <c r="C179" s="125" t="n"/>
      <c r="D179" s="125" t="n"/>
      <c r="E179" s="125" t="n"/>
      <c r="F179" s="125" t="n"/>
      <c r="G179" s="125" t="n"/>
      <c r="H179" s="125" t="n"/>
      <c r="I179" s="125" t="n"/>
      <c r="J179" s="125" t="n"/>
      <c r="K179" s="125" t="n"/>
      <c r="L179" s="125" t="n"/>
      <c r="M179" s="125" t="n"/>
      <c r="N179" s="125" t="n"/>
      <c r="O179" s="125" t="n"/>
      <c r="P179" s="125" t="n"/>
      <c r="Q179" s="125" t="n"/>
      <c r="R179" s="125" t="n"/>
      <c r="S179" s="125" t="n"/>
      <c r="T179" s="125" t="n"/>
      <c r="U179" s="125" t="n"/>
      <c r="V179" s="125" t="n"/>
      <c r="W179" s="125" t="n"/>
      <c r="X179" s="125" t="n"/>
      <c r="Y179" s="125" t="n"/>
      <c r="Z179" s="125" t="n"/>
      <c r="AA179" s="125" t="n"/>
      <c r="AB179" s="125" t="n"/>
      <c r="AC179" s="125" t="n"/>
      <c r="AD179" s="125" t="n"/>
      <c r="AE179" s="125" t="n"/>
      <c r="AF179" s="125" t="n"/>
      <c r="AG179" s="125" t="n"/>
      <c r="AH179" s="125" t="n"/>
      <c r="AI179" s="127">
        <f>SUM(D179:AG179,AH179)</f>
        <v/>
      </c>
      <c r="AJ179" s="126">
        <f>(SUM($D179:$Q179))/AI179</f>
        <v/>
      </c>
      <c r="AK179" s="126">
        <f>(SUM($D179:$H179))/AI179</f>
        <v/>
      </c>
      <c r="AL179" s="126">
        <f>(SUM($R179:$AH179))/AI179</f>
        <v/>
      </c>
      <c r="AM179" s="161" t="n"/>
      <c r="AN179" s="125">
        <f>YEAR(C179)</f>
        <v/>
      </c>
      <c r="AO179" s="125">
        <f>MONTH(C179)</f>
        <v/>
      </c>
      <c r="AP179" s="125">
        <f>WEEKNUM(C179,2)</f>
        <v/>
      </c>
      <c r="AQ179" s="129">
        <f>IFERROR(D179/$AI179,"")</f>
        <v/>
      </c>
      <c r="AR179" s="129">
        <f>IFERROR(E179/$AI179,"")</f>
        <v/>
      </c>
      <c r="AS179" s="129">
        <f>IFERROR(F179/$AI179,"")</f>
        <v/>
      </c>
      <c r="AT179" s="129">
        <f>IFERROR(H179/$AI179,"")</f>
        <v/>
      </c>
      <c r="AU179" s="129">
        <f>IFERROR(I179/$AI179,"")</f>
        <v/>
      </c>
      <c r="AV179" s="129">
        <f>IFERROR(J179/$AI179,"")</f>
        <v/>
      </c>
      <c r="AW179" s="129">
        <f>IFERROR(K179/$AI179,"")</f>
        <v/>
      </c>
      <c r="AX179" s="129">
        <f>IFERROR(L179/$AI179,"")</f>
        <v/>
      </c>
      <c r="AY179" s="129">
        <f>IFERROR(M179/$AI179,"")</f>
        <v/>
      </c>
      <c r="AZ179" s="129">
        <f>IFERROR(N179/$AI179,"")</f>
        <v/>
      </c>
      <c r="BA179" s="129">
        <f>IFERROR(O179/$AI179,"")</f>
        <v/>
      </c>
      <c r="BB179" s="129">
        <f>IFERROR(P179/$AI179,"")</f>
        <v/>
      </c>
      <c r="BC179" s="129">
        <f>IFERROR(AG179/$AI179,"")</f>
        <v/>
      </c>
      <c r="BD179" s="129">
        <f>IFERROR(AH179/$AI179,"")</f>
        <v/>
      </c>
      <c r="BE179" s="129">
        <f>IFERROR(R179/$AI179,"")</f>
        <v/>
      </c>
      <c r="BF179" s="129">
        <f>IFERROR(S179/$AI179,"")</f>
        <v/>
      </c>
      <c r="BG179" s="129">
        <f>IFERROR(T179/$AI179,"")</f>
        <v/>
      </c>
      <c r="BH179" s="129">
        <f>IFERROR(U179/$AI179,"")</f>
        <v/>
      </c>
      <c r="BI179" s="129">
        <f>IFERROR(V179/$AI179,"")</f>
        <v/>
      </c>
      <c r="BJ179" s="129">
        <f>IFERROR(W179/$AI179,"")</f>
        <v/>
      </c>
      <c r="BK179" s="129">
        <f>IFERROR(X179/$AI179,"")</f>
        <v/>
      </c>
      <c r="BL179" s="129">
        <f>IFERROR(Y179/$AI179,"")</f>
        <v/>
      </c>
      <c r="BM179" s="129">
        <f>IFERROR(Z179/$AI179,"")</f>
        <v/>
      </c>
      <c r="BN179" s="129">
        <f>IFERROR(AA179/$AI179,"")</f>
        <v/>
      </c>
      <c r="BO179" s="129">
        <f>IFERROR(AB179/$AI179,"")</f>
        <v/>
      </c>
      <c r="BP179" s="129">
        <f>IFERROR(AC179/$AI179,"")</f>
        <v/>
      </c>
      <c r="BQ179" s="129">
        <f>IFERROR(AD179/$AI179,"")</f>
        <v/>
      </c>
      <c r="BR179" s="129">
        <f>IFERROR(AE179/$AI179,"")</f>
        <v/>
      </c>
      <c r="BS179" s="129">
        <f>IFERROR(AF179/$AI179,"")</f>
        <v/>
      </c>
      <c r="BT179" s="129">
        <f>IFERROR(AG179/$AI179,"")</f>
        <v/>
      </c>
      <c r="BU179" s="129">
        <f>IFERROR(AH179/$AI179,"")</f>
        <v/>
      </c>
      <c r="BV179" s="126">
        <f>SUM(AQ179:BD179)</f>
        <v/>
      </c>
      <c r="BW179" s="126">
        <f>SUM(BE179:BU179)</f>
        <v/>
      </c>
      <c r="BX179" s="126">
        <f>SUM(AQ179:AU179)</f>
        <v/>
      </c>
    </row>
    <row r="180">
      <c r="B180" s="127" t="n"/>
      <c r="C180" s="125" t="n"/>
      <c r="D180" s="125" t="n"/>
      <c r="E180" s="125" t="n"/>
      <c r="F180" s="125" t="n"/>
      <c r="G180" s="125" t="n"/>
      <c r="H180" s="125" t="n"/>
      <c r="I180" s="125" t="n"/>
      <c r="J180" s="125" t="n"/>
      <c r="K180" s="125" t="n"/>
      <c r="L180" s="125" t="n"/>
      <c r="M180" s="125" t="n"/>
      <c r="N180" s="125" t="n"/>
      <c r="O180" s="125" t="n"/>
      <c r="P180" s="125" t="n"/>
      <c r="Q180" s="125" t="n"/>
      <c r="R180" s="125" t="n"/>
      <c r="S180" s="125" t="n"/>
      <c r="T180" s="125" t="n"/>
      <c r="U180" s="125" t="n"/>
      <c r="V180" s="125" t="n"/>
      <c r="W180" s="125" t="n"/>
      <c r="X180" s="125" t="n"/>
      <c r="Y180" s="125" t="n"/>
      <c r="Z180" s="125" t="n"/>
      <c r="AA180" s="125" t="n"/>
      <c r="AB180" s="125" t="n"/>
      <c r="AC180" s="125" t="n"/>
      <c r="AD180" s="125" t="n"/>
      <c r="AE180" s="125" t="n"/>
      <c r="AF180" s="125" t="n"/>
      <c r="AG180" s="125" t="n"/>
      <c r="AH180" s="125" t="n"/>
      <c r="AI180" s="127">
        <f>SUM(D180:AG180,AH180)</f>
        <v/>
      </c>
      <c r="AJ180" s="126">
        <f>(SUM($D180:$Q180))/AI180</f>
        <v/>
      </c>
      <c r="AK180" s="126">
        <f>(SUM($D180:$H180))/AI180</f>
        <v/>
      </c>
      <c r="AL180" s="126">
        <f>(SUM($R180:$AH180))/AI180</f>
        <v/>
      </c>
      <c r="AM180" s="161" t="n"/>
      <c r="AN180" s="125">
        <f>YEAR(C180)</f>
        <v/>
      </c>
      <c r="AO180" s="125">
        <f>MONTH(C180)</f>
        <v/>
      </c>
      <c r="AP180" s="125">
        <f>WEEKNUM(C180,2)</f>
        <v/>
      </c>
      <c r="AQ180" s="129">
        <f>IFERROR(D180/$AI180,"")</f>
        <v/>
      </c>
      <c r="AR180" s="129">
        <f>IFERROR(E180/$AI180,"")</f>
        <v/>
      </c>
      <c r="AS180" s="129">
        <f>IFERROR(F180/$AI180,"")</f>
        <v/>
      </c>
      <c r="AT180" s="129">
        <f>IFERROR(H180/$AI180,"")</f>
        <v/>
      </c>
      <c r="AU180" s="129">
        <f>IFERROR(I180/$AI180,"")</f>
        <v/>
      </c>
      <c r="AV180" s="129">
        <f>IFERROR(J180/$AI180,"")</f>
        <v/>
      </c>
      <c r="AW180" s="129">
        <f>IFERROR(K180/$AI180,"")</f>
        <v/>
      </c>
      <c r="AX180" s="129">
        <f>IFERROR(L180/$AI180,"")</f>
        <v/>
      </c>
      <c r="AY180" s="129">
        <f>IFERROR(M180/$AI180,"")</f>
        <v/>
      </c>
      <c r="AZ180" s="129">
        <f>IFERROR(N180/$AI180,"")</f>
        <v/>
      </c>
      <c r="BA180" s="129">
        <f>IFERROR(O180/$AI180,"")</f>
        <v/>
      </c>
      <c r="BB180" s="129">
        <f>IFERROR(P180/$AI180,"")</f>
        <v/>
      </c>
      <c r="BC180" s="129">
        <f>IFERROR(AG180/$AI180,"")</f>
        <v/>
      </c>
      <c r="BD180" s="129">
        <f>IFERROR(AH180/$AI180,"")</f>
        <v/>
      </c>
      <c r="BE180" s="129">
        <f>IFERROR(R180/$AI180,"")</f>
        <v/>
      </c>
      <c r="BF180" s="129">
        <f>IFERROR(S180/$AI180,"")</f>
        <v/>
      </c>
      <c r="BG180" s="129">
        <f>IFERROR(T180/$AI180,"")</f>
        <v/>
      </c>
      <c r="BH180" s="129">
        <f>IFERROR(U180/$AI180,"")</f>
        <v/>
      </c>
      <c r="BI180" s="129">
        <f>IFERROR(V180/$AI180,"")</f>
        <v/>
      </c>
      <c r="BJ180" s="129">
        <f>IFERROR(W180/$AI180,"")</f>
        <v/>
      </c>
      <c r="BK180" s="129">
        <f>IFERROR(X180/$AI180,"")</f>
        <v/>
      </c>
      <c r="BL180" s="129">
        <f>IFERROR(Y180/$AI180,"")</f>
        <v/>
      </c>
      <c r="BM180" s="129">
        <f>IFERROR(Z180/$AI180,"")</f>
        <v/>
      </c>
      <c r="BN180" s="129">
        <f>IFERROR(AA180/$AI180,"")</f>
        <v/>
      </c>
      <c r="BO180" s="129">
        <f>IFERROR(AB180/$AI180,"")</f>
        <v/>
      </c>
      <c r="BP180" s="129">
        <f>IFERROR(AC180/$AI180,"")</f>
        <v/>
      </c>
      <c r="BQ180" s="129">
        <f>IFERROR(AD180/$AI180,"")</f>
        <v/>
      </c>
      <c r="BR180" s="129">
        <f>IFERROR(AE180/$AI180,"")</f>
        <v/>
      </c>
      <c r="BS180" s="129">
        <f>IFERROR(AF180/$AI180,"")</f>
        <v/>
      </c>
      <c r="BT180" s="129">
        <f>IFERROR(AG180/$AI180,"")</f>
        <v/>
      </c>
      <c r="BU180" s="129">
        <f>IFERROR(AH180/$AI180,"")</f>
        <v/>
      </c>
      <c r="BV180" s="126">
        <f>SUM(AQ180:BD180)</f>
        <v/>
      </c>
      <c r="BW180" s="126">
        <f>SUM(BE180:BU180)</f>
        <v/>
      </c>
      <c r="BX180" s="126">
        <f>SUM(AQ180:AU180)</f>
        <v/>
      </c>
    </row>
    <row r="181">
      <c r="B181" s="127" t="n"/>
      <c r="C181" s="125" t="n"/>
      <c r="D181" s="125" t="n"/>
      <c r="E181" s="125" t="n"/>
      <c r="F181" s="125" t="n"/>
      <c r="G181" s="125" t="n"/>
      <c r="H181" s="125" t="n"/>
      <c r="I181" s="125" t="n"/>
      <c r="J181" s="125" t="n"/>
      <c r="K181" s="125" t="n"/>
      <c r="L181" s="125" t="n"/>
      <c r="M181" s="125" t="n"/>
      <c r="N181" s="125" t="n"/>
      <c r="O181" s="125" t="n"/>
      <c r="P181" s="125" t="n"/>
      <c r="Q181" s="125" t="n"/>
      <c r="R181" s="125" t="n"/>
      <c r="S181" s="125" t="n"/>
      <c r="T181" s="125" t="n"/>
      <c r="U181" s="125" t="n"/>
      <c r="V181" s="125" t="n"/>
      <c r="W181" s="125" t="n"/>
      <c r="X181" s="125" t="n"/>
      <c r="Y181" s="125" t="n"/>
      <c r="Z181" s="125" t="n"/>
      <c r="AA181" s="125" t="n"/>
      <c r="AB181" s="125" t="n"/>
      <c r="AC181" s="125" t="n"/>
      <c r="AD181" s="125" t="n"/>
      <c r="AE181" s="125" t="n"/>
      <c r="AF181" s="125" t="n"/>
      <c r="AG181" s="125" t="n"/>
      <c r="AH181" s="125" t="n"/>
      <c r="AI181" s="127">
        <f>SUM(D181:AG181,AH181)</f>
        <v/>
      </c>
      <c r="AJ181" s="126">
        <f>(SUM($D181:$Q181))/AI181</f>
        <v/>
      </c>
      <c r="AK181" s="126">
        <f>(SUM($D181:$H181))/AI181</f>
        <v/>
      </c>
      <c r="AL181" s="126">
        <f>(SUM($R181:$AH181))/AI181</f>
        <v/>
      </c>
      <c r="AM181" s="161" t="n"/>
      <c r="AN181" s="125">
        <f>YEAR(C181)</f>
        <v/>
      </c>
      <c r="AO181" s="125">
        <f>MONTH(C181)</f>
        <v/>
      </c>
      <c r="AP181" s="125">
        <f>WEEKNUM(C181,2)</f>
        <v/>
      </c>
      <c r="AQ181" s="129">
        <f>IFERROR(D181/$AI181,"")</f>
        <v/>
      </c>
      <c r="AR181" s="129">
        <f>IFERROR(E181/$AI181,"")</f>
        <v/>
      </c>
      <c r="AS181" s="129">
        <f>IFERROR(F181/$AI181,"")</f>
        <v/>
      </c>
      <c r="AT181" s="129">
        <f>IFERROR(H181/$AI181,"")</f>
        <v/>
      </c>
      <c r="AU181" s="129">
        <f>IFERROR(I181/$AI181,"")</f>
        <v/>
      </c>
      <c r="AV181" s="129">
        <f>IFERROR(J181/$AI181,"")</f>
        <v/>
      </c>
      <c r="AW181" s="129">
        <f>IFERROR(K181/$AI181,"")</f>
        <v/>
      </c>
      <c r="AX181" s="129">
        <f>IFERROR(L181/$AI181,"")</f>
        <v/>
      </c>
      <c r="AY181" s="129">
        <f>IFERROR(M181/$AI181,"")</f>
        <v/>
      </c>
      <c r="AZ181" s="129">
        <f>IFERROR(N181/$AI181,"")</f>
        <v/>
      </c>
      <c r="BA181" s="129">
        <f>IFERROR(O181/$AI181,"")</f>
        <v/>
      </c>
      <c r="BB181" s="129">
        <f>IFERROR(P181/$AI181,"")</f>
        <v/>
      </c>
      <c r="BC181" s="129">
        <f>IFERROR(AG181/$AI181,"")</f>
        <v/>
      </c>
      <c r="BD181" s="129">
        <f>IFERROR(AH181/$AI181,"")</f>
        <v/>
      </c>
      <c r="BE181" s="129">
        <f>IFERROR(R181/$AI181,"")</f>
        <v/>
      </c>
      <c r="BF181" s="129">
        <f>IFERROR(S181/$AI181,"")</f>
        <v/>
      </c>
      <c r="BG181" s="129">
        <f>IFERROR(T181/$AI181,"")</f>
        <v/>
      </c>
      <c r="BH181" s="129">
        <f>IFERROR(U181/$AI181,"")</f>
        <v/>
      </c>
      <c r="BI181" s="129">
        <f>IFERROR(V181/$AI181,"")</f>
        <v/>
      </c>
      <c r="BJ181" s="129">
        <f>IFERROR(W181/$AI181,"")</f>
        <v/>
      </c>
      <c r="BK181" s="129">
        <f>IFERROR(X181/$AI181,"")</f>
        <v/>
      </c>
      <c r="BL181" s="129">
        <f>IFERROR(Y181/$AI181,"")</f>
        <v/>
      </c>
      <c r="BM181" s="129">
        <f>IFERROR(Z181/$AI181,"")</f>
        <v/>
      </c>
      <c r="BN181" s="129">
        <f>IFERROR(AA181/$AI181,"")</f>
        <v/>
      </c>
      <c r="BO181" s="129">
        <f>IFERROR(AB181/$AI181,"")</f>
        <v/>
      </c>
      <c r="BP181" s="129">
        <f>IFERROR(AC181/$AI181,"")</f>
        <v/>
      </c>
      <c r="BQ181" s="129">
        <f>IFERROR(AD181/$AI181,"")</f>
        <v/>
      </c>
      <c r="BR181" s="129">
        <f>IFERROR(AE181/$AI181,"")</f>
        <v/>
      </c>
      <c r="BS181" s="129">
        <f>IFERROR(AF181/$AI181,"")</f>
        <v/>
      </c>
      <c r="BT181" s="129">
        <f>IFERROR(AG181/$AI181,"")</f>
        <v/>
      </c>
      <c r="BU181" s="129">
        <f>IFERROR(AH181/$AI181,"")</f>
        <v/>
      </c>
      <c r="BV181" s="126">
        <f>SUM(AQ181:BD181)</f>
        <v/>
      </c>
      <c r="BW181" s="126">
        <f>SUM(BE181:BU181)</f>
        <v/>
      </c>
      <c r="BX181" s="126">
        <f>SUM(AQ181:AU181)</f>
        <v/>
      </c>
    </row>
    <row r="182">
      <c r="B182" s="127" t="n"/>
      <c r="C182" s="125" t="n"/>
      <c r="D182" s="125" t="n"/>
      <c r="E182" s="125" t="n"/>
      <c r="F182" s="125" t="n"/>
      <c r="G182" s="125" t="n"/>
      <c r="H182" s="125" t="n"/>
      <c r="I182" s="125" t="n"/>
      <c r="J182" s="125" t="n"/>
      <c r="K182" s="125" t="n"/>
      <c r="L182" s="125" t="n"/>
      <c r="M182" s="125" t="n"/>
      <c r="N182" s="125" t="n"/>
      <c r="O182" s="125" t="n"/>
      <c r="P182" s="125" t="n"/>
      <c r="Q182" s="125" t="n"/>
      <c r="R182" s="125" t="n"/>
      <c r="S182" s="125" t="n"/>
      <c r="T182" s="125" t="n"/>
      <c r="U182" s="125" t="n"/>
      <c r="V182" s="125" t="n"/>
      <c r="W182" s="125" t="n"/>
      <c r="X182" s="125" t="n"/>
      <c r="Y182" s="125" t="n"/>
      <c r="Z182" s="125" t="n"/>
      <c r="AA182" s="125" t="n"/>
      <c r="AB182" s="125" t="n"/>
      <c r="AC182" s="125" t="n"/>
      <c r="AD182" s="125" t="n"/>
      <c r="AE182" s="125" t="n"/>
      <c r="AF182" s="125" t="n"/>
      <c r="AG182" s="125" t="n"/>
      <c r="AH182" s="125" t="n"/>
      <c r="AI182" s="127">
        <f>SUM(D182:AG182,AH182)</f>
        <v/>
      </c>
      <c r="AJ182" s="126">
        <f>(SUM($D182:$Q182))/AI182</f>
        <v/>
      </c>
      <c r="AK182" s="126">
        <f>(SUM($D182:$H182))/AI182</f>
        <v/>
      </c>
      <c r="AL182" s="126">
        <f>(SUM($R182:$AH182))/AI182</f>
        <v/>
      </c>
      <c r="AM182" s="161" t="n"/>
      <c r="AN182" s="125">
        <f>YEAR(C182)</f>
        <v/>
      </c>
      <c r="AO182" s="125">
        <f>MONTH(C182)</f>
        <v/>
      </c>
      <c r="AP182" s="125">
        <f>WEEKNUM(C182,2)</f>
        <v/>
      </c>
      <c r="AQ182" s="129">
        <f>IFERROR(D182/$AI182,"")</f>
        <v/>
      </c>
      <c r="AR182" s="129">
        <f>IFERROR(E182/$AI182,"")</f>
        <v/>
      </c>
      <c r="AS182" s="129">
        <f>IFERROR(F182/$AI182,"")</f>
        <v/>
      </c>
      <c r="AT182" s="129">
        <f>IFERROR(H182/$AI182,"")</f>
        <v/>
      </c>
      <c r="AU182" s="129">
        <f>IFERROR(I182/$AI182,"")</f>
        <v/>
      </c>
      <c r="AV182" s="129">
        <f>IFERROR(J182/$AI182,"")</f>
        <v/>
      </c>
      <c r="AW182" s="129">
        <f>IFERROR(K182/$AI182,"")</f>
        <v/>
      </c>
      <c r="AX182" s="129">
        <f>IFERROR(L182/$AI182,"")</f>
        <v/>
      </c>
      <c r="AY182" s="129">
        <f>IFERROR(M182/$AI182,"")</f>
        <v/>
      </c>
      <c r="AZ182" s="129">
        <f>IFERROR(N182/$AI182,"")</f>
        <v/>
      </c>
      <c r="BA182" s="129">
        <f>IFERROR(O182/$AI182,"")</f>
        <v/>
      </c>
      <c r="BB182" s="129">
        <f>IFERROR(P182/$AI182,"")</f>
        <v/>
      </c>
      <c r="BC182" s="129">
        <f>IFERROR(AG182/$AI182,"")</f>
        <v/>
      </c>
      <c r="BD182" s="129">
        <f>IFERROR(AH182/$AI182,"")</f>
        <v/>
      </c>
      <c r="BE182" s="129">
        <f>IFERROR(R182/$AI182,"")</f>
        <v/>
      </c>
      <c r="BF182" s="129">
        <f>IFERROR(S182/$AI182,"")</f>
        <v/>
      </c>
      <c r="BG182" s="129">
        <f>IFERROR(T182/$AI182,"")</f>
        <v/>
      </c>
      <c r="BH182" s="129">
        <f>IFERROR(U182/$AI182,"")</f>
        <v/>
      </c>
      <c r="BI182" s="129">
        <f>IFERROR(V182/$AI182,"")</f>
        <v/>
      </c>
      <c r="BJ182" s="129">
        <f>IFERROR(W182/$AI182,"")</f>
        <v/>
      </c>
      <c r="BK182" s="129">
        <f>IFERROR(X182/$AI182,"")</f>
        <v/>
      </c>
      <c r="BL182" s="129">
        <f>IFERROR(Y182/$AI182,"")</f>
        <v/>
      </c>
      <c r="BM182" s="129">
        <f>IFERROR(Z182/$AI182,"")</f>
        <v/>
      </c>
      <c r="BN182" s="129">
        <f>IFERROR(AA182/$AI182,"")</f>
        <v/>
      </c>
      <c r="BO182" s="129">
        <f>IFERROR(AB182/$AI182,"")</f>
        <v/>
      </c>
      <c r="BP182" s="129">
        <f>IFERROR(AC182/$AI182,"")</f>
        <v/>
      </c>
      <c r="BQ182" s="129">
        <f>IFERROR(AD182/$AI182,"")</f>
        <v/>
      </c>
      <c r="BR182" s="129">
        <f>IFERROR(AE182/$AI182,"")</f>
        <v/>
      </c>
      <c r="BS182" s="129">
        <f>IFERROR(AF182/$AI182,"")</f>
        <v/>
      </c>
      <c r="BT182" s="129">
        <f>IFERROR(AG182/$AI182,"")</f>
        <v/>
      </c>
      <c r="BU182" s="129">
        <f>IFERROR(AH182/$AI182,"")</f>
        <v/>
      </c>
      <c r="BV182" s="126">
        <f>SUM(AQ182:BD182)</f>
        <v/>
      </c>
      <c r="BW182" s="126">
        <f>SUM(BE182:BU182)</f>
        <v/>
      </c>
      <c r="BX182" s="126">
        <f>SUM(AQ182:AU182)</f>
        <v/>
      </c>
    </row>
    <row r="183">
      <c r="B183" s="127" t="n"/>
      <c r="C183" s="125" t="n"/>
      <c r="D183" s="125" t="n"/>
      <c r="E183" s="125" t="n"/>
      <c r="F183" s="125" t="n"/>
      <c r="G183" s="125" t="n"/>
      <c r="H183" s="125" t="n"/>
      <c r="I183" s="125" t="n"/>
      <c r="J183" s="125" t="n"/>
      <c r="K183" s="125" t="n"/>
      <c r="L183" s="125" t="n"/>
      <c r="M183" s="125" t="n"/>
      <c r="N183" s="125" t="n"/>
      <c r="O183" s="125" t="n"/>
      <c r="P183" s="125" t="n"/>
      <c r="Q183" s="125" t="n"/>
      <c r="R183" s="125" t="n"/>
      <c r="S183" s="125" t="n"/>
      <c r="T183" s="125" t="n"/>
      <c r="U183" s="125" t="n"/>
      <c r="V183" s="125" t="n"/>
      <c r="W183" s="125" t="n"/>
      <c r="X183" s="125" t="n"/>
      <c r="Y183" s="125" t="n"/>
      <c r="Z183" s="125" t="n"/>
      <c r="AA183" s="125" t="n"/>
      <c r="AB183" s="125" t="n"/>
      <c r="AC183" s="125" t="n"/>
      <c r="AD183" s="125" t="n"/>
      <c r="AE183" s="125" t="n"/>
      <c r="AF183" s="125" t="n"/>
      <c r="AG183" s="125" t="n"/>
      <c r="AH183" s="125" t="n"/>
      <c r="AI183" s="127">
        <f>SUM(D183:AG183,AH183)</f>
        <v/>
      </c>
      <c r="AJ183" s="126">
        <f>(SUM($D183:$Q183))/AI183</f>
        <v/>
      </c>
      <c r="AK183" s="126">
        <f>(SUM($D183:$H183))/AI183</f>
        <v/>
      </c>
      <c r="AL183" s="126">
        <f>(SUM($R183:$AH183))/AI183</f>
        <v/>
      </c>
      <c r="AM183" s="161" t="n"/>
      <c r="AN183" s="125">
        <f>YEAR(C183)</f>
        <v/>
      </c>
      <c r="AO183" s="125">
        <f>MONTH(C183)</f>
        <v/>
      </c>
      <c r="AP183" s="125">
        <f>WEEKNUM(C183,2)</f>
        <v/>
      </c>
      <c r="AQ183" s="129">
        <f>IFERROR(D183/$AI183,"")</f>
        <v/>
      </c>
      <c r="AR183" s="129">
        <f>IFERROR(E183/$AI183,"")</f>
        <v/>
      </c>
      <c r="AS183" s="129">
        <f>IFERROR(F183/$AI183,"")</f>
        <v/>
      </c>
      <c r="AT183" s="129">
        <f>IFERROR(H183/$AI183,"")</f>
        <v/>
      </c>
      <c r="AU183" s="129">
        <f>IFERROR(I183/$AI183,"")</f>
        <v/>
      </c>
      <c r="AV183" s="129">
        <f>IFERROR(J183/$AI183,"")</f>
        <v/>
      </c>
      <c r="AW183" s="129">
        <f>IFERROR(K183/$AI183,"")</f>
        <v/>
      </c>
      <c r="AX183" s="129">
        <f>IFERROR(L183/$AI183,"")</f>
        <v/>
      </c>
      <c r="AY183" s="129">
        <f>IFERROR(M183/$AI183,"")</f>
        <v/>
      </c>
      <c r="AZ183" s="129">
        <f>IFERROR(N183/$AI183,"")</f>
        <v/>
      </c>
      <c r="BA183" s="129">
        <f>IFERROR(O183/$AI183,"")</f>
        <v/>
      </c>
      <c r="BB183" s="129">
        <f>IFERROR(P183/$AI183,"")</f>
        <v/>
      </c>
      <c r="BC183" s="129">
        <f>IFERROR(AG183/$AI183,"")</f>
        <v/>
      </c>
      <c r="BD183" s="129">
        <f>IFERROR(AH183/$AI183,"")</f>
        <v/>
      </c>
      <c r="BE183" s="129">
        <f>IFERROR(R183/$AI183,"")</f>
        <v/>
      </c>
      <c r="BF183" s="129">
        <f>IFERROR(S183/$AI183,"")</f>
        <v/>
      </c>
      <c r="BG183" s="129">
        <f>IFERROR(T183/$AI183,"")</f>
        <v/>
      </c>
      <c r="BH183" s="129">
        <f>IFERROR(U183/$AI183,"")</f>
        <v/>
      </c>
      <c r="BI183" s="129">
        <f>IFERROR(V183/$AI183,"")</f>
        <v/>
      </c>
      <c r="BJ183" s="129">
        <f>IFERROR(W183/$AI183,"")</f>
        <v/>
      </c>
      <c r="BK183" s="129">
        <f>IFERROR(X183/$AI183,"")</f>
        <v/>
      </c>
      <c r="BL183" s="129">
        <f>IFERROR(Y183/$AI183,"")</f>
        <v/>
      </c>
      <c r="BM183" s="129">
        <f>IFERROR(Z183/$AI183,"")</f>
        <v/>
      </c>
      <c r="BN183" s="129">
        <f>IFERROR(AA183/$AI183,"")</f>
        <v/>
      </c>
      <c r="BO183" s="129">
        <f>IFERROR(AB183/$AI183,"")</f>
        <v/>
      </c>
      <c r="BP183" s="129">
        <f>IFERROR(AC183/$AI183,"")</f>
        <v/>
      </c>
      <c r="BQ183" s="129">
        <f>IFERROR(AD183/$AI183,"")</f>
        <v/>
      </c>
      <c r="BR183" s="129">
        <f>IFERROR(AE183/$AI183,"")</f>
        <v/>
      </c>
      <c r="BS183" s="129">
        <f>IFERROR(AF183/$AI183,"")</f>
        <v/>
      </c>
      <c r="BT183" s="129">
        <f>IFERROR(AG183/$AI183,"")</f>
        <v/>
      </c>
      <c r="BU183" s="129">
        <f>IFERROR(AH183/$AI183,"")</f>
        <v/>
      </c>
      <c r="BV183" s="126">
        <f>SUM(AQ183:BD183)</f>
        <v/>
      </c>
      <c r="BW183" s="126">
        <f>SUM(BE183:BU183)</f>
        <v/>
      </c>
      <c r="BX183" s="126">
        <f>SUM(AQ183:AU183)</f>
        <v/>
      </c>
    </row>
    <row r="184">
      <c r="B184" s="127" t="n"/>
      <c r="C184" s="125" t="n"/>
      <c r="D184" s="125" t="n"/>
      <c r="E184" s="125" t="n"/>
      <c r="F184" s="125" t="n"/>
      <c r="G184" s="125" t="n"/>
      <c r="H184" s="125" t="n"/>
      <c r="I184" s="125" t="n"/>
      <c r="J184" s="125" t="n"/>
      <c r="K184" s="125" t="n"/>
      <c r="L184" s="125" t="n"/>
      <c r="M184" s="125" t="n"/>
      <c r="N184" s="125" t="n"/>
      <c r="O184" s="125" t="n"/>
      <c r="P184" s="125" t="n"/>
      <c r="Q184" s="125" t="n"/>
      <c r="R184" s="125" t="n"/>
      <c r="S184" s="125" t="n"/>
      <c r="T184" s="125" t="n"/>
      <c r="U184" s="125" t="n"/>
      <c r="V184" s="125" t="n"/>
      <c r="W184" s="125" t="n"/>
      <c r="X184" s="125" t="n"/>
      <c r="Y184" s="125" t="n"/>
      <c r="Z184" s="125" t="n"/>
      <c r="AA184" s="125" t="n"/>
      <c r="AB184" s="125" t="n"/>
      <c r="AC184" s="125" t="n"/>
      <c r="AD184" s="125" t="n"/>
      <c r="AE184" s="125" t="n"/>
      <c r="AF184" s="125" t="n"/>
      <c r="AG184" s="125" t="n"/>
      <c r="AH184" s="125" t="n"/>
      <c r="AI184" s="127">
        <f>SUM(D184:AG184,AH184)</f>
        <v/>
      </c>
      <c r="AJ184" s="126">
        <f>(SUM($D184:$Q184))/AI184</f>
        <v/>
      </c>
      <c r="AK184" s="126">
        <f>(SUM($D184:$H184))/AI184</f>
        <v/>
      </c>
      <c r="AL184" s="126">
        <f>(SUM($R184:$AH184))/AI184</f>
        <v/>
      </c>
      <c r="AM184" s="161" t="n"/>
      <c r="AN184" s="125">
        <f>YEAR(C184)</f>
        <v/>
      </c>
      <c r="AO184" s="125">
        <f>MONTH(C184)</f>
        <v/>
      </c>
      <c r="AP184" s="125">
        <f>WEEKNUM(C184,2)</f>
        <v/>
      </c>
      <c r="AQ184" s="129">
        <f>IFERROR(D184/$AI184,"")</f>
        <v/>
      </c>
      <c r="AR184" s="129">
        <f>IFERROR(E184/$AI184,"")</f>
        <v/>
      </c>
      <c r="AS184" s="129">
        <f>IFERROR(F184/$AI184,"")</f>
        <v/>
      </c>
      <c r="AT184" s="129">
        <f>IFERROR(H184/$AI184,"")</f>
        <v/>
      </c>
      <c r="AU184" s="129">
        <f>IFERROR(I184/$AI184,"")</f>
        <v/>
      </c>
      <c r="AV184" s="129">
        <f>IFERROR(J184/$AI184,"")</f>
        <v/>
      </c>
      <c r="AW184" s="129">
        <f>IFERROR(K184/$AI184,"")</f>
        <v/>
      </c>
      <c r="AX184" s="129">
        <f>IFERROR(L184/$AI184,"")</f>
        <v/>
      </c>
      <c r="AY184" s="129">
        <f>IFERROR(M184/$AI184,"")</f>
        <v/>
      </c>
      <c r="AZ184" s="129">
        <f>IFERROR(N184/$AI184,"")</f>
        <v/>
      </c>
      <c r="BA184" s="129">
        <f>IFERROR(O184/$AI184,"")</f>
        <v/>
      </c>
      <c r="BB184" s="129">
        <f>IFERROR(P184/$AI184,"")</f>
        <v/>
      </c>
      <c r="BC184" s="129">
        <f>IFERROR(AG184/$AI184,"")</f>
        <v/>
      </c>
      <c r="BD184" s="129">
        <f>IFERROR(AH184/$AI184,"")</f>
        <v/>
      </c>
      <c r="BE184" s="129">
        <f>IFERROR(R184/$AI184,"")</f>
        <v/>
      </c>
      <c r="BF184" s="129">
        <f>IFERROR(S184/$AI184,"")</f>
        <v/>
      </c>
      <c r="BG184" s="129">
        <f>IFERROR(T184/$AI184,"")</f>
        <v/>
      </c>
      <c r="BH184" s="129">
        <f>IFERROR(U184/$AI184,"")</f>
        <v/>
      </c>
      <c r="BI184" s="129">
        <f>IFERROR(V184/$AI184,"")</f>
        <v/>
      </c>
      <c r="BJ184" s="129">
        <f>IFERROR(W184/$AI184,"")</f>
        <v/>
      </c>
      <c r="BK184" s="129">
        <f>IFERROR(X184/$AI184,"")</f>
        <v/>
      </c>
      <c r="BL184" s="129">
        <f>IFERROR(Y184/$AI184,"")</f>
        <v/>
      </c>
      <c r="BM184" s="129">
        <f>IFERROR(Z184/$AI184,"")</f>
        <v/>
      </c>
      <c r="BN184" s="129">
        <f>IFERROR(AA184/$AI184,"")</f>
        <v/>
      </c>
      <c r="BO184" s="129">
        <f>IFERROR(AB184/$AI184,"")</f>
        <v/>
      </c>
      <c r="BP184" s="129">
        <f>IFERROR(AC184/$AI184,"")</f>
        <v/>
      </c>
      <c r="BQ184" s="129">
        <f>IFERROR(AD184/$AI184,"")</f>
        <v/>
      </c>
      <c r="BR184" s="129">
        <f>IFERROR(AE184/$AI184,"")</f>
        <v/>
      </c>
      <c r="BS184" s="129">
        <f>IFERROR(AF184/$AI184,"")</f>
        <v/>
      </c>
      <c r="BT184" s="129">
        <f>IFERROR(AG184/$AI184,"")</f>
        <v/>
      </c>
      <c r="BU184" s="129">
        <f>IFERROR(AH184/$AI184,"")</f>
        <v/>
      </c>
      <c r="BV184" s="126">
        <f>SUM(AQ184:BD184)</f>
        <v/>
      </c>
      <c r="BW184" s="126">
        <f>SUM(BE184:BU184)</f>
        <v/>
      </c>
      <c r="BX184" s="126">
        <f>SUM(AQ184:AU184)</f>
        <v/>
      </c>
    </row>
    <row r="185">
      <c r="B185" s="127" t="n"/>
      <c r="C185" s="125" t="n"/>
      <c r="D185" s="125" t="n"/>
      <c r="E185" s="125" t="n"/>
      <c r="F185" s="125" t="n"/>
      <c r="G185" s="125" t="n"/>
      <c r="H185" s="125" t="n"/>
      <c r="I185" s="125" t="n"/>
      <c r="J185" s="125" t="n"/>
      <c r="K185" s="125" t="n"/>
      <c r="L185" s="125" t="n"/>
      <c r="M185" s="125" t="n"/>
      <c r="N185" s="125" t="n"/>
      <c r="O185" s="125" t="n"/>
      <c r="P185" s="125" t="n"/>
      <c r="Q185" s="125" t="n"/>
      <c r="R185" s="125" t="n"/>
      <c r="S185" s="125" t="n"/>
      <c r="T185" s="125" t="n"/>
      <c r="U185" s="125" t="n"/>
      <c r="V185" s="125" t="n"/>
      <c r="W185" s="125" t="n"/>
      <c r="X185" s="125" t="n"/>
      <c r="Y185" s="125" t="n"/>
      <c r="Z185" s="125" t="n"/>
      <c r="AA185" s="125" t="n"/>
      <c r="AB185" s="125" t="n"/>
      <c r="AC185" s="125" t="n"/>
      <c r="AD185" s="125" t="n"/>
      <c r="AE185" s="125" t="n"/>
      <c r="AF185" s="125" t="n"/>
      <c r="AG185" s="125" t="n"/>
      <c r="AH185" s="125" t="n"/>
      <c r="AI185" s="127">
        <f>SUM(D185:AG185,AH185)</f>
        <v/>
      </c>
      <c r="AJ185" s="126">
        <f>(SUM($D185:$Q185))/AI185</f>
        <v/>
      </c>
      <c r="AK185" s="126">
        <f>(SUM($D185:$H185))/AI185</f>
        <v/>
      </c>
      <c r="AL185" s="126">
        <f>(SUM($R185:$AH185))/AI185</f>
        <v/>
      </c>
      <c r="AM185" s="161" t="n"/>
      <c r="AN185" s="125">
        <f>YEAR(C185)</f>
        <v/>
      </c>
      <c r="AO185" s="125">
        <f>MONTH(C185)</f>
        <v/>
      </c>
      <c r="AP185" s="125">
        <f>WEEKNUM(C185,2)</f>
        <v/>
      </c>
      <c r="AQ185" s="129">
        <f>IFERROR(D185/$AI185,"")</f>
        <v/>
      </c>
      <c r="AR185" s="129">
        <f>IFERROR(E185/$AI185,"")</f>
        <v/>
      </c>
      <c r="AS185" s="129">
        <f>IFERROR(F185/$AI185,"")</f>
        <v/>
      </c>
      <c r="AT185" s="129">
        <f>IFERROR(H185/$AI185,"")</f>
        <v/>
      </c>
      <c r="AU185" s="129">
        <f>IFERROR(I185/$AI185,"")</f>
        <v/>
      </c>
      <c r="AV185" s="129">
        <f>IFERROR(J185/$AI185,"")</f>
        <v/>
      </c>
      <c r="AW185" s="129">
        <f>IFERROR(K185/$AI185,"")</f>
        <v/>
      </c>
      <c r="AX185" s="129">
        <f>IFERROR(L185/$AI185,"")</f>
        <v/>
      </c>
      <c r="AY185" s="129">
        <f>IFERROR(M185/$AI185,"")</f>
        <v/>
      </c>
      <c r="AZ185" s="129">
        <f>IFERROR(N185/$AI185,"")</f>
        <v/>
      </c>
      <c r="BA185" s="129">
        <f>IFERROR(O185/$AI185,"")</f>
        <v/>
      </c>
      <c r="BB185" s="129">
        <f>IFERROR(P185/$AI185,"")</f>
        <v/>
      </c>
      <c r="BC185" s="129">
        <f>IFERROR(AG185/$AI185,"")</f>
        <v/>
      </c>
      <c r="BD185" s="129">
        <f>IFERROR(AH185/$AI185,"")</f>
        <v/>
      </c>
      <c r="BE185" s="129">
        <f>IFERROR(R185/$AI185,"")</f>
        <v/>
      </c>
      <c r="BF185" s="129">
        <f>IFERROR(S185/$AI185,"")</f>
        <v/>
      </c>
      <c r="BG185" s="129">
        <f>IFERROR(T185/$AI185,"")</f>
        <v/>
      </c>
      <c r="BH185" s="129">
        <f>IFERROR(U185/$AI185,"")</f>
        <v/>
      </c>
      <c r="BI185" s="129">
        <f>IFERROR(V185/$AI185,"")</f>
        <v/>
      </c>
      <c r="BJ185" s="129">
        <f>IFERROR(W185/$AI185,"")</f>
        <v/>
      </c>
      <c r="BK185" s="129">
        <f>IFERROR(X185/$AI185,"")</f>
        <v/>
      </c>
      <c r="BL185" s="129">
        <f>IFERROR(Y185/$AI185,"")</f>
        <v/>
      </c>
      <c r="BM185" s="129">
        <f>IFERROR(Z185/$AI185,"")</f>
        <v/>
      </c>
      <c r="BN185" s="129">
        <f>IFERROR(AA185/$AI185,"")</f>
        <v/>
      </c>
      <c r="BO185" s="129">
        <f>IFERROR(AB185/$AI185,"")</f>
        <v/>
      </c>
      <c r="BP185" s="129">
        <f>IFERROR(AC185/$AI185,"")</f>
        <v/>
      </c>
      <c r="BQ185" s="129">
        <f>IFERROR(AD185/$AI185,"")</f>
        <v/>
      </c>
      <c r="BR185" s="129">
        <f>IFERROR(AE185/$AI185,"")</f>
        <v/>
      </c>
      <c r="BS185" s="129">
        <f>IFERROR(AF185/$AI185,"")</f>
        <v/>
      </c>
      <c r="BT185" s="129">
        <f>IFERROR(AG185/$AI185,"")</f>
        <v/>
      </c>
      <c r="BU185" s="129">
        <f>IFERROR(AH185/$AI185,"")</f>
        <v/>
      </c>
      <c r="BV185" s="126">
        <f>SUM(AQ185:BD185)</f>
        <v/>
      </c>
      <c r="BW185" s="126">
        <f>SUM(BE185:BU185)</f>
        <v/>
      </c>
      <c r="BX185" s="126">
        <f>SUM(AQ185:AU185)</f>
        <v/>
      </c>
    </row>
    <row r="186">
      <c r="B186" s="127" t="n"/>
      <c r="C186" s="125" t="n"/>
      <c r="D186" s="125" t="n"/>
      <c r="E186" s="125" t="n"/>
      <c r="F186" s="125" t="n"/>
      <c r="G186" s="125" t="n"/>
      <c r="H186" s="125" t="n"/>
      <c r="I186" s="125" t="n"/>
      <c r="J186" s="125" t="n"/>
      <c r="K186" s="125" t="n"/>
      <c r="L186" s="125" t="n"/>
      <c r="M186" s="125" t="n"/>
      <c r="N186" s="125" t="n"/>
      <c r="O186" s="125" t="n"/>
      <c r="P186" s="125" t="n"/>
      <c r="Q186" s="125" t="n"/>
      <c r="R186" s="125" t="n"/>
      <c r="S186" s="125" t="n"/>
      <c r="T186" s="125" t="n"/>
      <c r="U186" s="125" t="n"/>
      <c r="V186" s="125" t="n"/>
      <c r="W186" s="125" t="n"/>
      <c r="X186" s="125" t="n"/>
      <c r="Y186" s="125" t="n"/>
      <c r="Z186" s="125" t="n"/>
      <c r="AA186" s="125" t="n"/>
      <c r="AB186" s="125" t="n"/>
      <c r="AC186" s="125" t="n"/>
      <c r="AD186" s="125" t="n"/>
      <c r="AE186" s="125" t="n"/>
      <c r="AF186" s="125" t="n"/>
      <c r="AG186" s="125" t="n"/>
      <c r="AH186" s="125" t="n"/>
      <c r="AI186" s="127">
        <f>SUM(D186:AG186,AH186)</f>
        <v/>
      </c>
      <c r="AJ186" s="126">
        <f>(SUM($D186:$Q186))/AI186</f>
        <v/>
      </c>
      <c r="AK186" s="126">
        <f>(SUM($D186:$H186))/AI186</f>
        <v/>
      </c>
      <c r="AL186" s="126">
        <f>(SUM($R186:$AH186))/AI186</f>
        <v/>
      </c>
      <c r="AM186" s="161" t="n"/>
      <c r="AN186" s="125">
        <f>YEAR(C186)</f>
        <v/>
      </c>
      <c r="AO186" s="125">
        <f>MONTH(C186)</f>
        <v/>
      </c>
      <c r="AP186" s="125">
        <f>WEEKNUM(C186,2)</f>
        <v/>
      </c>
      <c r="AQ186" s="129">
        <f>IFERROR(D186/$AI186,"")</f>
        <v/>
      </c>
      <c r="AR186" s="129">
        <f>IFERROR(E186/$AI186,"")</f>
        <v/>
      </c>
      <c r="AS186" s="129">
        <f>IFERROR(F186/$AI186,"")</f>
        <v/>
      </c>
      <c r="AT186" s="129">
        <f>IFERROR(H186/$AI186,"")</f>
        <v/>
      </c>
      <c r="AU186" s="129">
        <f>IFERROR(I186/$AI186,"")</f>
        <v/>
      </c>
      <c r="AV186" s="129">
        <f>IFERROR(J186/$AI186,"")</f>
        <v/>
      </c>
      <c r="AW186" s="129">
        <f>IFERROR(K186/$AI186,"")</f>
        <v/>
      </c>
      <c r="AX186" s="129">
        <f>IFERROR(L186/$AI186,"")</f>
        <v/>
      </c>
      <c r="AY186" s="129">
        <f>IFERROR(M186/$AI186,"")</f>
        <v/>
      </c>
      <c r="AZ186" s="129">
        <f>IFERROR(N186/$AI186,"")</f>
        <v/>
      </c>
      <c r="BA186" s="129">
        <f>IFERROR(O186/$AI186,"")</f>
        <v/>
      </c>
      <c r="BB186" s="129">
        <f>IFERROR(P186/$AI186,"")</f>
        <v/>
      </c>
      <c r="BC186" s="129">
        <f>IFERROR(AG186/$AI186,"")</f>
        <v/>
      </c>
      <c r="BD186" s="129">
        <f>IFERROR(AH186/$AI186,"")</f>
        <v/>
      </c>
      <c r="BE186" s="129">
        <f>IFERROR(R186/$AI186,"")</f>
        <v/>
      </c>
      <c r="BF186" s="129">
        <f>IFERROR(S186/$AI186,"")</f>
        <v/>
      </c>
      <c r="BG186" s="129">
        <f>IFERROR(T186/$AI186,"")</f>
        <v/>
      </c>
      <c r="BH186" s="129">
        <f>IFERROR(U186/$AI186,"")</f>
        <v/>
      </c>
      <c r="BI186" s="129">
        <f>IFERROR(V186/$AI186,"")</f>
        <v/>
      </c>
      <c r="BJ186" s="129">
        <f>IFERROR(W186/$AI186,"")</f>
        <v/>
      </c>
      <c r="BK186" s="129">
        <f>IFERROR(X186/$AI186,"")</f>
        <v/>
      </c>
      <c r="BL186" s="129">
        <f>IFERROR(Y186/$AI186,"")</f>
        <v/>
      </c>
      <c r="BM186" s="129">
        <f>IFERROR(Z186/$AI186,"")</f>
        <v/>
      </c>
      <c r="BN186" s="129">
        <f>IFERROR(AA186/$AI186,"")</f>
        <v/>
      </c>
      <c r="BO186" s="129">
        <f>IFERROR(AB186/$AI186,"")</f>
        <v/>
      </c>
      <c r="BP186" s="129">
        <f>IFERROR(AC186/$AI186,"")</f>
        <v/>
      </c>
      <c r="BQ186" s="129">
        <f>IFERROR(AD186/$AI186,"")</f>
        <v/>
      </c>
      <c r="BR186" s="129">
        <f>IFERROR(AE186/$AI186,"")</f>
        <v/>
      </c>
      <c r="BS186" s="129">
        <f>IFERROR(AF186/$AI186,"")</f>
        <v/>
      </c>
      <c r="BT186" s="129">
        <f>IFERROR(AG186/$AI186,"")</f>
        <v/>
      </c>
      <c r="BU186" s="129">
        <f>IFERROR(AH186/$AI186,"")</f>
        <v/>
      </c>
      <c r="BV186" s="126">
        <f>SUM(AQ186:BD186)</f>
        <v/>
      </c>
      <c r="BW186" s="126">
        <f>SUM(BE186:BU186)</f>
        <v/>
      </c>
      <c r="BX186" s="126">
        <f>SUM(AQ186:AU186)</f>
        <v/>
      </c>
    </row>
    <row r="187">
      <c r="B187" s="127" t="n"/>
      <c r="C187" s="125" t="n"/>
      <c r="D187" s="125" t="n"/>
      <c r="E187" s="125" t="n"/>
      <c r="F187" s="125" t="n"/>
      <c r="G187" s="125" t="n"/>
      <c r="H187" s="125" t="n"/>
      <c r="I187" s="125" t="n"/>
      <c r="J187" s="125" t="n"/>
      <c r="K187" s="125" t="n"/>
      <c r="L187" s="125" t="n"/>
      <c r="M187" s="125" t="n"/>
      <c r="N187" s="125" t="n"/>
      <c r="O187" s="125" t="n"/>
      <c r="P187" s="125" t="n"/>
      <c r="Q187" s="125" t="n"/>
      <c r="R187" s="125" t="n"/>
      <c r="S187" s="125" t="n"/>
      <c r="T187" s="125" t="n"/>
      <c r="U187" s="125" t="n"/>
      <c r="V187" s="125" t="n"/>
      <c r="W187" s="125" t="n"/>
      <c r="X187" s="125" t="n"/>
      <c r="Y187" s="125" t="n"/>
      <c r="Z187" s="125" t="n"/>
      <c r="AA187" s="125" t="n"/>
      <c r="AB187" s="125" t="n"/>
      <c r="AC187" s="125" t="n"/>
      <c r="AD187" s="125" t="n"/>
      <c r="AE187" s="125" t="n"/>
      <c r="AF187" s="125" t="n"/>
      <c r="AG187" s="125" t="n"/>
      <c r="AH187" s="125" t="n"/>
      <c r="AI187" s="127">
        <f>SUM(D187:AG187,AH187)</f>
        <v/>
      </c>
      <c r="AJ187" s="126">
        <f>(SUM($D187:$Q187))/AI187</f>
        <v/>
      </c>
      <c r="AK187" s="126">
        <f>(SUM($D187:$H187))/AI187</f>
        <v/>
      </c>
      <c r="AL187" s="126">
        <f>(SUM($R187:$AH187))/AI187</f>
        <v/>
      </c>
      <c r="AM187" s="161" t="n"/>
      <c r="AN187" s="125">
        <f>YEAR(C187)</f>
        <v/>
      </c>
      <c r="AO187" s="125">
        <f>MONTH(C187)</f>
        <v/>
      </c>
      <c r="AP187" s="125">
        <f>WEEKNUM(C187,2)</f>
        <v/>
      </c>
      <c r="AQ187" s="129">
        <f>IFERROR(D187/$AI187,"")</f>
        <v/>
      </c>
      <c r="AR187" s="129">
        <f>IFERROR(E187/$AI187,"")</f>
        <v/>
      </c>
      <c r="AS187" s="129">
        <f>IFERROR(F187/$AI187,"")</f>
        <v/>
      </c>
      <c r="AT187" s="129">
        <f>IFERROR(H187/$AI187,"")</f>
        <v/>
      </c>
      <c r="AU187" s="129">
        <f>IFERROR(I187/$AI187,"")</f>
        <v/>
      </c>
      <c r="AV187" s="129">
        <f>IFERROR(J187/$AI187,"")</f>
        <v/>
      </c>
      <c r="AW187" s="129">
        <f>IFERROR(K187/$AI187,"")</f>
        <v/>
      </c>
      <c r="AX187" s="129">
        <f>IFERROR(L187/$AI187,"")</f>
        <v/>
      </c>
      <c r="AY187" s="129">
        <f>IFERROR(M187/$AI187,"")</f>
        <v/>
      </c>
      <c r="AZ187" s="129">
        <f>IFERROR(N187/$AI187,"")</f>
        <v/>
      </c>
      <c r="BA187" s="129">
        <f>IFERROR(O187/$AI187,"")</f>
        <v/>
      </c>
      <c r="BB187" s="129">
        <f>IFERROR(P187/$AI187,"")</f>
        <v/>
      </c>
      <c r="BC187" s="129">
        <f>IFERROR(AG187/$AI187,"")</f>
        <v/>
      </c>
      <c r="BD187" s="129">
        <f>IFERROR(AH187/$AI187,"")</f>
        <v/>
      </c>
      <c r="BE187" s="129">
        <f>IFERROR(R187/$AI187,"")</f>
        <v/>
      </c>
      <c r="BF187" s="129">
        <f>IFERROR(S187/$AI187,"")</f>
        <v/>
      </c>
      <c r="BG187" s="129">
        <f>IFERROR(T187/$AI187,"")</f>
        <v/>
      </c>
      <c r="BH187" s="129">
        <f>IFERROR(U187/$AI187,"")</f>
        <v/>
      </c>
      <c r="BI187" s="129">
        <f>IFERROR(V187/$AI187,"")</f>
        <v/>
      </c>
      <c r="BJ187" s="129">
        <f>IFERROR(W187/$AI187,"")</f>
        <v/>
      </c>
      <c r="BK187" s="129">
        <f>IFERROR(X187/$AI187,"")</f>
        <v/>
      </c>
      <c r="BL187" s="129">
        <f>IFERROR(Y187/$AI187,"")</f>
        <v/>
      </c>
      <c r="BM187" s="129">
        <f>IFERROR(Z187/$AI187,"")</f>
        <v/>
      </c>
      <c r="BN187" s="129">
        <f>IFERROR(AA187/$AI187,"")</f>
        <v/>
      </c>
      <c r="BO187" s="129">
        <f>IFERROR(AB187/$AI187,"")</f>
        <v/>
      </c>
      <c r="BP187" s="129">
        <f>IFERROR(AC187/$AI187,"")</f>
        <v/>
      </c>
      <c r="BQ187" s="129">
        <f>IFERROR(AD187/$AI187,"")</f>
        <v/>
      </c>
      <c r="BR187" s="129">
        <f>IFERROR(AE187/$AI187,"")</f>
        <v/>
      </c>
      <c r="BS187" s="129">
        <f>IFERROR(AF187/$AI187,"")</f>
        <v/>
      </c>
      <c r="BT187" s="129">
        <f>IFERROR(AG187/$AI187,"")</f>
        <v/>
      </c>
      <c r="BU187" s="129">
        <f>IFERROR(AH187/$AI187,"")</f>
        <v/>
      </c>
      <c r="BV187" s="126">
        <f>SUM(AQ187:BD187)</f>
        <v/>
      </c>
      <c r="BW187" s="126">
        <f>SUM(BE187:BU187)</f>
        <v/>
      </c>
      <c r="BX187" s="126">
        <f>SUM(AQ187:AU187)</f>
        <v/>
      </c>
    </row>
    <row r="188">
      <c r="B188" s="127" t="n"/>
      <c r="C188" s="125" t="n"/>
      <c r="D188" s="125" t="n"/>
      <c r="E188" s="125" t="n"/>
      <c r="F188" s="125" t="n"/>
      <c r="G188" s="125" t="n"/>
      <c r="H188" s="125" t="n"/>
      <c r="I188" s="125" t="n"/>
      <c r="J188" s="125" t="n"/>
      <c r="K188" s="125" t="n"/>
      <c r="L188" s="125" t="n"/>
      <c r="M188" s="125" t="n"/>
      <c r="N188" s="125" t="n"/>
      <c r="O188" s="125" t="n"/>
      <c r="P188" s="125" t="n"/>
      <c r="Q188" s="125" t="n"/>
      <c r="R188" s="125" t="n"/>
      <c r="S188" s="125" t="n"/>
      <c r="T188" s="125" t="n"/>
      <c r="U188" s="125" t="n"/>
      <c r="V188" s="125" t="n"/>
      <c r="W188" s="125" t="n"/>
      <c r="X188" s="125" t="n"/>
      <c r="Y188" s="125" t="n"/>
      <c r="Z188" s="125" t="n"/>
      <c r="AA188" s="125" t="n"/>
      <c r="AB188" s="125" t="n"/>
      <c r="AC188" s="125" t="n"/>
      <c r="AD188" s="125" t="n"/>
      <c r="AE188" s="125" t="n"/>
      <c r="AF188" s="125" t="n"/>
      <c r="AG188" s="125" t="n"/>
      <c r="AH188" s="125" t="n"/>
      <c r="AI188" s="127">
        <f>SUM(D188:AG188,AH188)</f>
        <v/>
      </c>
      <c r="AJ188" s="126">
        <f>(SUM($D188:$Q188))/AI188</f>
        <v/>
      </c>
      <c r="AK188" s="126">
        <f>(SUM($D188:$H188))/AI188</f>
        <v/>
      </c>
      <c r="AL188" s="126">
        <f>(SUM($R188:$AH188))/AI188</f>
        <v/>
      </c>
      <c r="AM188" s="161" t="n"/>
      <c r="AN188" s="125">
        <f>YEAR(C188)</f>
        <v/>
      </c>
      <c r="AO188" s="125">
        <f>MONTH(C188)</f>
        <v/>
      </c>
      <c r="AP188" s="125">
        <f>WEEKNUM(C188,2)</f>
        <v/>
      </c>
      <c r="AQ188" s="129">
        <f>IFERROR(D188/$AI188,"")</f>
        <v/>
      </c>
      <c r="AR188" s="129">
        <f>IFERROR(E188/$AI188,"")</f>
        <v/>
      </c>
      <c r="AS188" s="129">
        <f>IFERROR(F188/$AI188,"")</f>
        <v/>
      </c>
      <c r="AT188" s="129">
        <f>IFERROR(H188/$AI188,"")</f>
        <v/>
      </c>
      <c r="AU188" s="129">
        <f>IFERROR(I188/$AI188,"")</f>
        <v/>
      </c>
      <c r="AV188" s="129">
        <f>IFERROR(J188/$AI188,"")</f>
        <v/>
      </c>
      <c r="AW188" s="129">
        <f>IFERROR(K188/$AI188,"")</f>
        <v/>
      </c>
      <c r="AX188" s="129">
        <f>IFERROR(L188/$AI188,"")</f>
        <v/>
      </c>
      <c r="AY188" s="129">
        <f>IFERROR(M188/$AI188,"")</f>
        <v/>
      </c>
      <c r="AZ188" s="129">
        <f>IFERROR(N188/$AI188,"")</f>
        <v/>
      </c>
      <c r="BA188" s="129">
        <f>IFERROR(O188/$AI188,"")</f>
        <v/>
      </c>
      <c r="BB188" s="129">
        <f>IFERROR(P188/$AI188,"")</f>
        <v/>
      </c>
      <c r="BC188" s="129">
        <f>IFERROR(AG188/$AI188,"")</f>
        <v/>
      </c>
      <c r="BD188" s="129">
        <f>IFERROR(AH188/$AI188,"")</f>
        <v/>
      </c>
      <c r="BE188" s="129">
        <f>IFERROR(R188/$AI188,"")</f>
        <v/>
      </c>
      <c r="BF188" s="129">
        <f>IFERROR(S188/$AI188,"")</f>
        <v/>
      </c>
      <c r="BG188" s="129">
        <f>IFERROR(T188/$AI188,"")</f>
        <v/>
      </c>
      <c r="BH188" s="129">
        <f>IFERROR(U188/$AI188,"")</f>
        <v/>
      </c>
      <c r="BI188" s="129">
        <f>IFERROR(V188/$AI188,"")</f>
        <v/>
      </c>
      <c r="BJ188" s="129">
        <f>IFERROR(W188/$AI188,"")</f>
        <v/>
      </c>
      <c r="BK188" s="129">
        <f>IFERROR(X188/$AI188,"")</f>
        <v/>
      </c>
      <c r="BL188" s="129">
        <f>IFERROR(Y188/$AI188,"")</f>
        <v/>
      </c>
      <c r="BM188" s="129">
        <f>IFERROR(Z188/$AI188,"")</f>
        <v/>
      </c>
      <c r="BN188" s="129">
        <f>IFERROR(AA188/$AI188,"")</f>
        <v/>
      </c>
      <c r="BO188" s="129">
        <f>IFERROR(AB188/$AI188,"")</f>
        <v/>
      </c>
      <c r="BP188" s="129">
        <f>IFERROR(AC188/$AI188,"")</f>
        <v/>
      </c>
      <c r="BQ188" s="129">
        <f>IFERROR(AD188/$AI188,"")</f>
        <v/>
      </c>
      <c r="BR188" s="129">
        <f>IFERROR(AE188/$AI188,"")</f>
        <v/>
      </c>
      <c r="BS188" s="129">
        <f>IFERROR(AF188/$AI188,"")</f>
        <v/>
      </c>
      <c r="BT188" s="129">
        <f>IFERROR(AG188/$AI188,"")</f>
        <v/>
      </c>
      <c r="BU188" s="129">
        <f>IFERROR(AH188/$AI188,"")</f>
        <v/>
      </c>
      <c r="BV188" s="126">
        <f>SUM(AQ188:BD188)</f>
        <v/>
      </c>
      <c r="BW188" s="126">
        <f>SUM(BE188:BU188)</f>
        <v/>
      </c>
      <c r="BX188" s="126">
        <f>SUM(AQ188:AU188)</f>
        <v/>
      </c>
    </row>
    <row r="189">
      <c r="B189" s="127" t="n"/>
      <c r="C189" s="125" t="n"/>
      <c r="D189" s="125" t="n"/>
      <c r="E189" s="125" t="n"/>
      <c r="F189" s="125" t="n"/>
      <c r="G189" s="125" t="n"/>
      <c r="H189" s="125" t="n"/>
      <c r="I189" s="125" t="n"/>
      <c r="J189" s="125" t="n"/>
      <c r="K189" s="125" t="n"/>
      <c r="L189" s="125" t="n"/>
      <c r="M189" s="125" t="n"/>
      <c r="N189" s="125" t="n"/>
      <c r="O189" s="125" t="n"/>
      <c r="P189" s="125" t="n"/>
      <c r="Q189" s="125" t="n"/>
      <c r="R189" s="125" t="n"/>
      <c r="S189" s="125" t="n"/>
      <c r="T189" s="125" t="n"/>
      <c r="U189" s="125" t="n"/>
      <c r="V189" s="125" t="n"/>
      <c r="W189" s="125" t="n"/>
      <c r="X189" s="125" t="n"/>
      <c r="Y189" s="125" t="n"/>
      <c r="Z189" s="125" t="n"/>
      <c r="AA189" s="125" t="n"/>
      <c r="AB189" s="125" t="n"/>
      <c r="AC189" s="125" t="n"/>
      <c r="AD189" s="125" t="n"/>
      <c r="AE189" s="125" t="n"/>
      <c r="AF189" s="125" t="n"/>
      <c r="AG189" s="125" t="n"/>
      <c r="AH189" s="125" t="n"/>
      <c r="AI189" s="127">
        <f>SUM(D189:AG189,AH189)</f>
        <v/>
      </c>
      <c r="AJ189" s="126">
        <f>(SUM($D189:$Q189))/AI189</f>
        <v/>
      </c>
      <c r="AK189" s="126">
        <f>(SUM($D189:$H189))/AI189</f>
        <v/>
      </c>
      <c r="AL189" s="126">
        <f>(SUM($R189:$AH189))/AI189</f>
        <v/>
      </c>
      <c r="AM189" s="161" t="n"/>
      <c r="AN189" s="125">
        <f>YEAR(C189)</f>
        <v/>
      </c>
      <c r="AO189" s="125">
        <f>MONTH(C189)</f>
        <v/>
      </c>
      <c r="AP189" s="125">
        <f>WEEKNUM(C189,2)</f>
        <v/>
      </c>
      <c r="AQ189" s="129">
        <f>IFERROR(D189/$AI189,"")</f>
        <v/>
      </c>
      <c r="AR189" s="129">
        <f>IFERROR(E189/$AI189,"")</f>
        <v/>
      </c>
      <c r="AS189" s="129">
        <f>IFERROR(F189/$AI189,"")</f>
        <v/>
      </c>
      <c r="AT189" s="129">
        <f>IFERROR(H189/$AI189,"")</f>
        <v/>
      </c>
      <c r="AU189" s="129">
        <f>IFERROR(I189/$AI189,"")</f>
        <v/>
      </c>
      <c r="AV189" s="129">
        <f>IFERROR(J189/$AI189,"")</f>
        <v/>
      </c>
      <c r="AW189" s="129">
        <f>IFERROR(K189/$AI189,"")</f>
        <v/>
      </c>
      <c r="AX189" s="129">
        <f>IFERROR(L189/$AI189,"")</f>
        <v/>
      </c>
      <c r="AY189" s="129">
        <f>IFERROR(M189/$AI189,"")</f>
        <v/>
      </c>
      <c r="AZ189" s="129">
        <f>IFERROR(N189/$AI189,"")</f>
        <v/>
      </c>
      <c r="BA189" s="129">
        <f>IFERROR(O189/$AI189,"")</f>
        <v/>
      </c>
      <c r="BB189" s="129">
        <f>IFERROR(P189/$AI189,"")</f>
        <v/>
      </c>
      <c r="BC189" s="129">
        <f>IFERROR(AG189/$AI189,"")</f>
        <v/>
      </c>
      <c r="BD189" s="129">
        <f>IFERROR(AH189/$AI189,"")</f>
        <v/>
      </c>
      <c r="BE189" s="129">
        <f>IFERROR(R189/$AI189,"")</f>
        <v/>
      </c>
      <c r="BF189" s="129">
        <f>IFERROR(S189/$AI189,"")</f>
        <v/>
      </c>
      <c r="BG189" s="129">
        <f>IFERROR(T189/$AI189,"")</f>
        <v/>
      </c>
      <c r="BH189" s="129">
        <f>IFERROR(U189/$AI189,"")</f>
        <v/>
      </c>
      <c r="BI189" s="129">
        <f>IFERROR(V189/$AI189,"")</f>
        <v/>
      </c>
      <c r="BJ189" s="129">
        <f>IFERROR(W189/$AI189,"")</f>
        <v/>
      </c>
      <c r="BK189" s="129">
        <f>IFERROR(X189/$AI189,"")</f>
        <v/>
      </c>
      <c r="BL189" s="129">
        <f>IFERROR(Y189/$AI189,"")</f>
        <v/>
      </c>
      <c r="BM189" s="129">
        <f>IFERROR(Z189/$AI189,"")</f>
        <v/>
      </c>
      <c r="BN189" s="129">
        <f>IFERROR(AA189/$AI189,"")</f>
        <v/>
      </c>
      <c r="BO189" s="129">
        <f>IFERROR(AB189/$AI189,"")</f>
        <v/>
      </c>
      <c r="BP189" s="129">
        <f>IFERROR(AC189/$AI189,"")</f>
        <v/>
      </c>
      <c r="BQ189" s="129">
        <f>IFERROR(AD189/$AI189,"")</f>
        <v/>
      </c>
      <c r="BR189" s="129">
        <f>IFERROR(AE189/$AI189,"")</f>
        <v/>
      </c>
      <c r="BS189" s="129">
        <f>IFERROR(AF189/$AI189,"")</f>
        <v/>
      </c>
      <c r="BT189" s="129">
        <f>IFERROR(AG189/$AI189,"")</f>
        <v/>
      </c>
      <c r="BU189" s="129">
        <f>IFERROR(AH189/$AI189,"")</f>
        <v/>
      </c>
      <c r="BV189" s="126">
        <f>SUM(AQ189:BD189)</f>
        <v/>
      </c>
      <c r="BW189" s="126">
        <f>SUM(BE189:BU189)</f>
        <v/>
      </c>
      <c r="BX189" s="126">
        <f>SUM(AQ189:AU189)</f>
        <v/>
      </c>
    </row>
    <row r="190">
      <c r="B190" s="127" t="n"/>
      <c r="C190" s="125" t="n"/>
      <c r="D190" s="125" t="n"/>
      <c r="E190" s="125" t="n"/>
      <c r="F190" s="125" t="n"/>
      <c r="G190" s="125" t="n"/>
      <c r="H190" s="125" t="n"/>
      <c r="I190" s="125" t="n"/>
      <c r="J190" s="125" t="n"/>
      <c r="K190" s="125" t="n"/>
      <c r="L190" s="125" t="n"/>
      <c r="M190" s="125" t="n"/>
      <c r="N190" s="125" t="n"/>
      <c r="O190" s="125" t="n"/>
      <c r="P190" s="125" t="n"/>
      <c r="Q190" s="125" t="n"/>
      <c r="R190" s="125" t="n"/>
      <c r="S190" s="125" t="n"/>
      <c r="T190" s="125" t="n"/>
      <c r="U190" s="125" t="n"/>
      <c r="V190" s="125" t="n"/>
      <c r="W190" s="125" t="n"/>
      <c r="X190" s="125" t="n"/>
      <c r="Y190" s="125" t="n"/>
      <c r="Z190" s="125" t="n"/>
      <c r="AA190" s="125" t="n"/>
      <c r="AB190" s="125" t="n"/>
      <c r="AC190" s="125" t="n"/>
      <c r="AD190" s="125" t="n"/>
      <c r="AE190" s="125" t="n"/>
      <c r="AF190" s="125" t="n"/>
      <c r="AG190" s="125" t="n"/>
      <c r="AH190" s="125" t="n"/>
      <c r="AI190" s="127">
        <f>SUM(D190:AG190,AH190)</f>
        <v/>
      </c>
      <c r="AJ190" s="126">
        <f>(SUM($D190:$Q190))/AI190</f>
        <v/>
      </c>
      <c r="AK190" s="126">
        <f>(SUM($D190:$H190))/AI190</f>
        <v/>
      </c>
      <c r="AL190" s="126">
        <f>(SUM($R190:$AH190))/AI190</f>
        <v/>
      </c>
      <c r="AM190" s="161" t="n"/>
      <c r="AN190" s="125">
        <f>YEAR(C190)</f>
        <v/>
      </c>
      <c r="AO190" s="125">
        <f>MONTH(C190)</f>
        <v/>
      </c>
      <c r="AP190" s="125">
        <f>WEEKNUM(C190,2)</f>
        <v/>
      </c>
      <c r="AQ190" s="129">
        <f>IFERROR(D190/$AI190,"")</f>
        <v/>
      </c>
      <c r="AR190" s="129">
        <f>IFERROR(E190/$AI190,"")</f>
        <v/>
      </c>
      <c r="AS190" s="129">
        <f>IFERROR(F190/$AI190,"")</f>
        <v/>
      </c>
      <c r="AT190" s="129">
        <f>IFERROR(H190/$AI190,"")</f>
        <v/>
      </c>
      <c r="AU190" s="129">
        <f>IFERROR(I190/$AI190,"")</f>
        <v/>
      </c>
      <c r="AV190" s="129">
        <f>IFERROR(J190/$AI190,"")</f>
        <v/>
      </c>
      <c r="AW190" s="129">
        <f>IFERROR(K190/$AI190,"")</f>
        <v/>
      </c>
      <c r="AX190" s="129">
        <f>IFERROR(L190/$AI190,"")</f>
        <v/>
      </c>
      <c r="AY190" s="129">
        <f>IFERROR(M190/$AI190,"")</f>
        <v/>
      </c>
      <c r="AZ190" s="129">
        <f>IFERROR(N190/$AI190,"")</f>
        <v/>
      </c>
      <c r="BA190" s="129">
        <f>IFERROR(O190/$AI190,"")</f>
        <v/>
      </c>
      <c r="BB190" s="129">
        <f>IFERROR(P190/$AI190,"")</f>
        <v/>
      </c>
      <c r="BC190" s="129">
        <f>IFERROR(AG190/$AI190,"")</f>
        <v/>
      </c>
      <c r="BD190" s="129">
        <f>IFERROR(AH190/$AI190,"")</f>
        <v/>
      </c>
      <c r="BE190" s="129">
        <f>IFERROR(R190/$AI190,"")</f>
        <v/>
      </c>
      <c r="BF190" s="129">
        <f>IFERROR(S190/$AI190,"")</f>
        <v/>
      </c>
      <c r="BG190" s="129">
        <f>IFERROR(T190/$AI190,"")</f>
        <v/>
      </c>
      <c r="BH190" s="129">
        <f>IFERROR(U190/$AI190,"")</f>
        <v/>
      </c>
      <c r="BI190" s="129">
        <f>IFERROR(V190/$AI190,"")</f>
        <v/>
      </c>
      <c r="BJ190" s="129">
        <f>IFERROR(W190/$AI190,"")</f>
        <v/>
      </c>
      <c r="BK190" s="129">
        <f>IFERROR(X190/$AI190,"")</f>
        <v/>
      </c>
      <c r="BL190" s="129">
        <f>IFERROR(Y190/$AI190,"")</f>
        <v/>
      </c>
      <c r="BM190" s="129">
        <f>IFERROR(Z190/$AI190,"")</f>
        <v/>
      </c>
      <c r="BN190" s="129">
        <f>IFERROR(AA190/$AI190,"")</f>
        <v/>
      </c>
      <c r="BO190" s="129">
        <f>IFERROR(AB190/$AI190,"")</f>
        <v/>
      </c>
      <c r="BP190" s="129">
        <f>IFERROR(AC190/$AI190,"")</f>
        <v/>
      </c>
      <c r="BQ190" s="129">
        <f>IFERROR(AD190/$AI190,"")</f>
        <v/>
      </c>
      <c r="BR190" s="129">
        <f>IFERROR(AE190/$AI190,"")</f>
        <v/>
      </c>
      <c r="BS190" s="129">
        <f>IFERROR(AF190/$AI190,"")</f>
        <v/>
      </c>
      <c r="BT190" s="129">
        <f>IFERROR(AG190/$AI190,"")</f>
        <v/>
      </c>
      <c r="BU190" s="129">
        <f>IFERROR(AH190/$AI190,"")</f>
        <v/>
      </c>
      <c r="BV190" s="126">
        <f>SUM(AQ190:BD190)</f>
        <v/>
      </c>
      <c r="BW190" s="126">
        <f>SUM(BE190:BU190)</f>
        <v/>
      </c>
      <c r="BX190" s="126">
        <f>SUM(AQ190:AU190)</f>
        <v/>
      </c>
    </row>
    <row r="191">
      <c r="B191" s="127" t="n"/>
      <c r="C191" s="125" t="n"/>
      <c r="D191" s="125" t="n"/>
      <c r="E191" s="125" t="n"/>
      <c r="F191" s="125" t="n"/>
      <c r="G191" s="125" t="n"/>
      <c r="H191" s="125" t="n"/>
      <c r="I191" s="125" t="n"/>
      <c r="J191" s="125" t="n"/>
      <c r="K191" s="125" t="n"/>
      <c r="L191" s="125" t="n"/>
      <c r="M191" s="125" t="n"/>
      <c r="N191" s="125" t="n"/>
      <c r="O191" s="125" t="n"/>
      <c r="P191" s="125" t="n"/>
      <c r="Q191" s="125" t="n"/>
      <c r="R191" s="125" t="n"/>
      <c r="S191" s="125" t="n"/>
      <c r="T191" s="125" t="n"/>
      <c r="U191" s="125" t="n"/>
      <c r="V191" s="125" t="n"/>
      <c r="W191" s="125" t="n"/>
      <c r="X191" s="125" t="n"/>
      <c r="Y191" s="125" t="n"/>
      <c r="Z191" s="125" t="n"/>
      <c r="AA191" s="125" t="n"/>
      <c r="AB191" s="125" t="n"/>
      <c r="AC191" s="125" t="n"/>
      <c r="AD191" s="125" t="n"/>
      <c r="AE191" s="125" t="n"/>
      <c r="AF191" s="125" t="n"/>
      <c r="AG191" s="125" t="n"/>
      <c r="AH191" s="125" t="n"/>
      <c r="AI191" s="127">
        <f>SUM(D191:AG191,AH191)</f>
        <v/>
      </c>
      <c r="AJ191" s="126">
        <f>(SUM($D191:$Q191))/AI191</f>
        <v/>
      </c>
      <c r="AK191" s="126">
        <f>(SUM($D191:$H191))/AI191</f>
        <v/>
      </c>
      <c r="AL191" s="126">
        <f>(SUM($R191:$AH191))/AI191</f>
        <v/>
      </c>
      <c r="AM191" s="161" t="n"/>
      <c r="AN191" s="125">
        <f>YEAR(C191)</f>
        <v/>
      </c>
      <c r="AO191" s="125">
        <f>MONTH(C191)</f>
        <v/>
      </c>
      <c r="AP191" s="125">
        <f>WEEKNUM(C191,2)</f>
        <v/>
      </c>
      <c r="AQ191" s="129">
        <f>IFERROR(D191/$AI191,"")</f>
        <v/>
      </c>
      <c r="AR191" s="129">
        <f>IFERROR(E191/$AI191,"")</f>
        <v/>
      </c>
      <c r="AS191" s="129">
        <f>IFERROR(F191/$AI191,"")</f>
        <v/>
      </c>
      <c r="AT191" s="129">
        <f>IFERROR(H191/$AI191,"")</f>
        <v/>
      </c>
      <c r="AU191" s="129">
        <f>IFERROR(I191/$AI191,"")</f>
        <v/>
      </c>
      <c r="AV191" s="129">
        <f>IFERROR(J191/$AI191,"")</f>
        <v/>
      </c>
      <c r="AW191" s="129">
        <f>IFERROR(K191/$AI191,"")</f>
        <v/>
      </c>
      <c r="AX191" s="129">
        <f>IFERROR(L191/$AI191,"")</f>
        <v/>
      </c>
      <c r="AY191" s="129">
        <f>IFERROR(M191/$AI191,"")</f>
        <v/>
      </c>
      <c r="AZ191" s="129">
        <f>IFERROR(N191/$AI191,"")</f>
        <v/>
      </c>
      <c r="BA191" s="129">
        <f>IFERROR(O191/$AI191,"")</f>
        <v/>
      </c>
      <c r="BB191" s="129">
        <f>IFERROR(P191/$AI191,"")</f>
        <v/>
      </c>
      <c r="BC191" s="129">
        <f>IFERROR(AG191/$AI191,"")</f>
        <v/>
      </c>
      <c r="BD191" s="129">
        <f>IFERROR(AH191/$AI191,"")</f>
        <v/>
      </c>
      <c r="BE191" s="129">
        <f>IFERROR(R191/$AI191,"")</f>
        <v/>
      </c>
      <c r="BF191" s="129">
        <f>IFERROR(S191/$AI191,"")</f>
        <v/>
      </c>
      <c r="BG191" s="129">
        <f>IFERROR(T191/$AI191,"")</f>
        <v/>
      </c>
      <c r="BH191" s="129">
        <f>IFERROR(U191/$AI191,"")</f>
        <v/>
      </c>
      <c r="BI191" s="129">
        <f>IFERROR(V191/$AI191,"")</f>
        <v/>
      </c>
      <c r="BJ191" s="129">
        <f>IFERROR(W191/$AI191,"")</f>
        <v/>
      </c>
      <c r="BK191" s="129">
        <f>IFERROR(X191/$AI191,"")</f>
        <v/>
      </c>
      <c r="BL191" s="129">
        <f>IFERROR(Y191/$AI191,"")</f>
        <v/>
      </c>
      <c r="BM191" s="129">
        <f>IFERROR(Z191/$AI191,"")</f>
        <v/>
      </c>
      <c r="BN191" s="129">
        <f>IFERROR(AA191/$AI191,"")</f>
        <v/>
      </c>
      <c r="BO191" s="129">
        <f>IFERROR(AB191/$AI191,"")</f>
        <v/>
      </c>
      <c r="BP191" s="129">
        <f>IFERROR(AC191/$AI191,"")</f>
        <v/>
      </c>
      <c r="BQ191" s="129">
        <f>IFERROR(AD191/$AI191,"")</f>
        <v/>
      </c>
      <c r="BR191" s="129">
        <f>IFERROR(AE191/$AI191,"")</f>
        <v/>
      </c>
      <c r="BS191" s="129">
        <f>IFERROR(AF191/$AI191,"")</f>
        <v/>
      </c>
      <c r="BT191" s="129">
        <f>IFERROR(AG191/$AI191,"")</f>
        <v/>
      </c>
      <c r="BU191" s="129">
        <f>IFERROR(AH191/$AI191,"")</f>
        <v/>
      </c>
      <c r="BV191" s="126">
        <f>SUM(AQ191:BD191)</f>
        <v/>
      </c>
      <c r="BW191" s="126">
        <f>SUM(BE191:BU191)</f>
        <v/>
      </c>
      <c r="BX191" s="126">
        <f>SUM(AQ191:AU191)</f>
        <v/>
      </c>
    </row>
    <row r="192">
      <c r="B192" s="127" t="n"/>
      <c r="C192" s="125" t="n"/>
      <c r="D192" s="125" t="n"/>
      <c r="E192" s="125" t="n"/>
      <c r="F192" s="125" t="n"/>
      <c r="G192" s="125" t="n"/>
      <c r="H192" s="125" t="n"/>
      <c r="I192" s="125" t="n"/>
      <c r="J192" s="125" t="n"/>
      <c r="K192" s="125" t="n"/>
      <c r="L192" s="125" t="n"/>
      <c r="M192" s="125" t="n"/>
      <c r="N192" s="125" t="n"/>
      <c r="O192" s="125" t="n"/>
      <c r="P192" s="125" t="n"/>
      <c r="Q192" s="125" t="n"/>
      <c r="R192" s="125" t="n"/>
      <c r="S192" s="125" t="n"/>
      <c r="T192" s="125" t="n"/>
      <c r="U192" s="125" t="n"/>
      <c r="V192" s="125" t="n"/>
      <c r="W192" s="125" t="n"/>
      <c r="X192" s="125" t="n"/>
      <c r="Y192" s="125" t="n"/>
      <c r="Z192" s="125" t="n"/>
      <c r="AA192" s="125" t="n"/>
      <c r="AB192" s="125" t="n"/>
      <c r="AC192" s="125" t="n"/>
      <c r="AD192" s="125" t="n"/>
      <c r="AE192" s="125" t="n"/>
      <c r="AF192" s="125" t="n"/>
      <c r="AG192" s="125" t="n"/>
      <c r="AH192" s="125" t="n"/>
      <c r="AI192" s="127">
        <f>SUM(D192:AG192,AH192)</f>
        <v/>
      </c>
      <c r="AJ192" s="126">
        <f>(SUM($D192:$Q192))/AI192</f>
        <v/>
      </c>
      <c r="AK192" s="126">
        <f>(SUM($D192:$H192))/AI192</f>
        <v/>
      </c>
      <c r="AL192" s="126">
        <f>(SUM($R192:$AH192))/AI192</f>
        <v/>
      </c>
      <c r="AM192" s="161" t="n"/>
      <c r="AN192" s="125">
        <f>YEAR(C192)</f>
        <v/>
      </c>
      <c r="AO192" s="125">
        <f>MONTH(C192)</f>
        <v/>
      </c>
      <c r="AP192" s="125">
        <f>WEEKNUM(C192,2)</f>
        <v/>
      </c>
      <c r="AQ192" s="129">
        <f>IFERROR(D192/$AI192,"")</f>
        <v/>
      </c>
      <c r="AR192" s="129">
        <f>IFERROR(E192/$AI192,"")</f>
        <v/>
      </c>
      <c r="AS192" s="129">
        <f>IFERROR(F192/$AI192,"")</f>
        <v/>
      </c>
      <c r="AT192" s="129">
        <f>IFERROR(H192/$AI192,"")</f>
        <v/>
      </c>
      <c r="AU192" s="129">
        <f>IFERROR(I192/$AI192,"")</f>
        <v/>
      </c>
      <c r="AV192" s="129">
        <f>IFERROR(J192/$AI192,"")</f>
        <v/>
      </c>
      <c r="AW192" s="129">
        <f>IFERROR(K192/$AI192,"")</f>
        <v/>
      </c>
      <c r="AX192" s="129">
        <f>IFERROR(L192/$AI192,"")</f>
        <v/>
      </c>
      <c r="AY192" s="129">
        <f>IFERROR(M192/$AI192,"")</f>
        <v/>
      </c>
      <c r="AZ192" s="129">
        <f>IFERROR(N192/$AI192,"")</f>
        <v/>
      </c>
      <c r="BA192" s="129">
        <f>IFERROR(O192/$AI192,"")</f>
        <v/>
      </c>
      <c r="BB192" s="129">
        <f>IFERROR(P192/$AI192,"")</f>
        <v/>
      </c>
      <c r="BC192" s="129">
        <f>IFERROR(AG192/$AI192,"")</f>
        <v/>
      </c>
      <c r="BD192" s="129">
        <f>IFERROR(AH192/$AI192,"")</f>
        <v/>
      </c>
      <c r="BE192" s="129">
        <f>IFERROR(R192/$AI192,"")</f>
        <v/>
      </c>
      <c r="BF192" s="129">
        <f>IFERROR(S192/$AI192,"")</f>
        <v/>
      </c>
      <c r="BG192" s="129">
        <f>IFERROR(T192/$AI192,"")</f>
        <v/>
      </c>
      <c r="BH192" s="129">
        <f>IFERROR(U192/$AI192,"")</f>
        <v/>
      </c>
      <c r="BI192" s="129">
        <f>IFERROR(V192/$AI192,"")</f>
        <v/>
      </c>
      <c r="BJ192" s="129">
        <f>IFERROR(W192/$AI192,"")</f>
        <v/>
      </c>
      <c r="BK192" s="129">
        <f>IFERROR(X192/$AI192,"")</f>
        <v/>
      </c>
      <c r="BL192" s="129">
        <f>IFERROR(Y192/$AI192,"")</f>
        <v/>
      </c>
      <c r="BM192" s="129">
        <f>IFERROR(Z192/$AI192,"")</f>
        <v/>
      </c>
      <c r="BN192" s="129">
        <f>IFERROR(AA192/$AI192,"")</f>
        <v/>
      </c>
      <c r="BO192" s="129">
        <f>IFERROR(AB192/$AI192,"")</f>
        <v/>
      </c>
      <c r="BP192" s="129">
        <f>IFERROR(AC192/$AI192,"")</f>
        <v/>
      </c>
      <c r="BQ192" s="129">
        <f>IFERROR(AD192/$AI192,"")</f>
        <v/>
      </c>
      <c r="BR192" s="129">
        <f>IFERROR(AE192/$AI192,"")</f>
        <v/>
      </c>
      <c r="BS192" s="129">
        <f>IFERROR(AF192/$AI192,"")</f>
        <v/>
      </c>
      <c r="BT192" s="129">
        <f>IFERROR(AG192/$AI192,"")</f>
        <v/>
      </c>
      <c r="BU192" s="129">
        <f>IFERROR(AH192/$AI192,"")</f>
        <v/>
      </c>
      <c r="BV192" s="126">
        <f>SUM(AQ192:BD192)</f>
        <v/>
      </c>
      <c r="BW192" s="126">
        <f>SUM(BE192:BU192)</f>
        <v/>
      </c>
      <c r="BX192" s="126">
        <f>SUM(AQ192:AU192)</f>
        <v/>
      </c>
    </row>
    <row r="193">
      <c r="B193" s="127" t="n"/>
      <c r="C193" s="125" t="n"/>
      <c r="D193" s="125" t="n"/>
      <c r="E193" s="125" t="n"/>
      <c r="F193" s="125" t="n"/>
      <c r="G193" s="125" t="n"/>
      <c r="H193" s="125" t="n"/>
      <c r="I193" s="125" t="n"/>
      <c r="J193" s="125" t="n"/>
      <c r="K193" s="125" t="n"/>
      <c r="L193" s="125" t="n"/>
      <c r="M193" s="125" t="n"/>
      <c r="N193" s="125" t="n"/>
      <c r="O193" s="125" t="n"/>
      <c r="P193" s="125" t="n"/>
      <c r="Q193" s="125" t="n"/>
      <c r="R193" s="125" t="n"/>
      <c r="S193" s="125" t="n"/>
      <c r="T193" s="125" t="n"/>
      <c r="U193" s="125" t="n"/>
      <c r="V193" s="125" t="n"/>
      <c r="W193" s="125" t="n"/>
      <c r="X193" s="125" t="n"/>
      <c r="Y193" s="125" t="n"/>
      <c r="Z193" s="125" t="n"/>
      <c r="AA193" s="125" t="n"/>
      <c r="AB193" s="125" t="n"/>
      <c r="AC193" s="125" t="n"/>
      <c r="AD193" s="125" t="n"/>
      <c r="AE193" s="125" t="n"/>
      <c r="AF193" s="125" t="n"/>
      <c r="AG193" s="125" t="n"/>
      <c r="AH193" s="125" t="n"/>
      <c r="AI193" s="127">
        <f>SUM(D193:AG193,AH193)</f>
        <v/>
      </c>
      <c r="AJ193" s="126">
        <f>(SUM($D193:$Q193))/AI193</f>
        <v/>
      </c>
      <c r="AK193" s="126">
        <f>(SUM($D193:$H193))/AI193</f>
        <v/>
      </c>
      <c r="AL193" s="126">
        <f>(SUM($R193:$AH193))/AI193</f>
        <v/>
      </c>
      <c r="AM193" s="161" t="n"/>
      <c r="AN193" s="125">
        <f>YEAR(C193)</f>
        <v/>
      </c>
      <c r="AO193" s="125">
        <f>MONTH(C193)</f>
        <v/>
      </c>
      <c r="AP193" s="125">
        <f>WEEKNUM(C193,2)</f>
        <v/>
      </c>
      <c r="AQ193" s="129">
        <f>IFERROR(D193/$AI193,"")</f>
        <v/>
      </c>
      <c r="AR193" s="129">
        <f>IFERROR(E193/$AI193,"")</f>
        <v/>
      </c>
      <c r="AS193" s="129">
        <f>IFERROR(F193/$AI193,"")</f>
        <v/>
      </c>
      <c r="AT193" s="129">
        <f>IFERROR(H193/$AI193,"")</f>
        <v/>
      </c>
      <c r="AU193" s="129">
        <f>IFERROR(I193/$AI193,"")</f>
        <v/>
      </c>
      <c r="AV193" s="129">
        <f>IFERROR(J193/$AI193,"")</f>
        <v/>
      </c>
      <c r="AW193" s="129">
        <f>IFERROR(K193/$AI193,"")</f>
        <v/>
      </c>
      <c r="AX193" s="129">
        <f>IFERROR(L193/$AI193,"")</f>
        <v/>
      </c>
      <c r="AY193" s="129">
        <f>IFERROR(M193/$AI193,"")</f>
        <v/>
      </c>
      <c r="AZ193" s="129">
        <f>IFERROR(N193/$AI193,"")</f>
        <v/>
      </c>
      <c r="BA193" s="129">
        <f>IFERROR(O193/$AI193,"")</f>
        <v/>
      </c>
      <c r="BB193" s="129">
        <f>IFERROR(P193/$AI193,"")</f>
        <v/>
      </c>
      <c r="BC193" s="129">
        <f>IFERROR(AG193/$AI193,"")</f>
        <v/>
      </c>
      <c r="BD193" s="129">
        <f>IFERROR(AH193/$AI193,"")</f>
        <v/>
      </c>
      <c r="BE193" s="129">
        <f>IFERROR(R193/$AI193,"")</f>
        <v/>
      </c>
      <c r="BF193" s="129">
        <f>IFERROR(S193/$AI193,"")</f>
        <v/>
      </c>
      <c r="BG193" s="129">
        <f>IFERROR(T193/$AI193,"")</f>
        <v/>
      </c>
      <c r="BH193" s="129">
        <f>IFERROR(U193/$AI193,"")</f>
        <v/>
      </c>
      <c r="BI193" s="129">
        <f>IFERROR(V193/$AI193,"")</f>
        <v/>
      </c>
      <c r="BJ193" s="129">
        <f>IFERROR(W193/$AI193,"")</f>
        <v/>
      </c>
      <c r="BK193" s="129">
        <f>IFERROR(X193/$AI193,"")</f>
        <v/>
      </c>
      <c r="BL193" s="129">
        <f>IFERROR(Y193/$AI193,"")</f>
        <v/>
      </c>
      <c r="BM193" s="129">
        <f>IFERROR(Z193/$AI193,"")</f>
        <v/>
      </c>
      <c r="BN193" s="129">
        <f>IFERROR(AA193/$AI193,"")</f>
        <v/>
      </c>
      <c r="BO193" s="129">
        <f>IFERROR(AB193/$AI193,"")</f>
        <v/>
      </c>
      <c r="BP193" s="129">
        <f>IFERROR(AC193/$AI193,"")</f>
        <v/>
      </c>
      <c r="BQ193" s="129">
        <f>IFERROR(AD193/$AI193,"")</f>
        <v/>
      </c>
      <c r="BR193" s="129">
        <f>IFERROR(AE193/$AI193,"")</f>
        <v/>
      </c>
      <c r="BS193" s="129">
        <f>IFERROR(AF193/$AI193,"")</f>
        <v/>
      </c>
      <c r="BT193" s="129">
        <f>IFERROR(AG193/$AI193,"")</f>
        <v/>
      </c>
      <c r="BU193" s="129">
        <f>IFERROR(AH193/$AI193,"")</f>
        <v/>
      </c>
      <c r="BV193" s="126">
        <f>SUM(AQ193:BD193)</f>
        <v/>
      </c>
      <c r="BW193" s="126">
        <f>SUM(BE193:BU193)</f>
        <v/>
      </c>
      <c r="BX193" s="126">
        <f>SUM(AQ193:AU193)</f>
        <v/>
      </c>
    </row>
    <row r="194">
      <c r="B194" s="127" t="n"/>
      <c r="C194" s="125" t="n"/>
      <c r="D194" s="125" t="n"/>
      <c r="E194" s="125" t="n"/>
      <c r="F194" s="125" t="n"/>
      <c r="G194" s="125" t="n"/>
      <c r="H194" s="125" t="n"/>
      <c r="I194" s="125" t="n"/>
      <c r="J194" s="125" t="n"/>
      <c r="K194" s="125" t="n"/>
      <c r="L194" s="125" t="n"/>
      <c r="M194" s="125" t="n"/>
      <c r="N194" s="125" t="n"/>
      <c r="O194" s="125" t="n"/>
      <c r="P194" s="125" t="n"/>
      <c r="Q194" s="125" t="n"/>
      <c r="R194" s="125" t="n"/>
      <c r="S194" s="125" t="n"/>
      <c r="T194" s="125" t="n"/>
      <c r="U194" s="125" t="n"/>
      <c r="V194" s="125" t="n"/>
      <c r="W194" s="125" t="n"/>
      <c r="X194" s="125" t="n"/>
      <c r="Y194" s="125" t="n"/>
      <c r="Z194" s="125" t="n"/>
      <c r="AA194" s="125" t="n"/>
      <c r="AB194" s="125" t="n"/>
      <c r="AC194" s="125" t="n"/>
      <c r="AD194" s="125" t="n"/>
      <c r="AE194" s="125" t="n"/>
      <c r="AF194" s="125" t="n"/>
      <c r="AG194" s="125" t="n"/>
      <c r="AH194" s="125" t="n"/>
      <c r="AI194" s="127">
        <f>SUM(D194:AG194,AH194)</f>
        <v/>
      </c>
      <c r="AJ194" s="126">
        <f>(SUM($D194:$Q194))/AI194</f>
        <v/>
      </c>
      <c r="AK194" s="126">
        <f>(SUM($D194:$H194))/AI194</f>
        <v/>
      </c>
      <c r="AL194" s="126">
        <f>(SUM($R194:$AH194))/AI194</f>
        <v/>
      </c>
      <c r="AM194" s="161" t="n"/>
      <c r="AN194" s="125">
        <f>YEAR(C194)</f>
        <v/>
      </c>
      <c r="AO194" s="125">
        <f>MONTH(C194)</f>
        <v/>
      </c>
      <c r="AP194" s="125">
        <f>WEEKNUM(C194,2)</f>
        <v/>
      </c>
      <c r="AQ194" s="129">
        <f>IFERROR(D194/$AI194,"")</f>
        <v/>
      </c>
      <c r="AR194" s="129">
        <f>IFERROR(E194/$AI194,"")</f>
        <v/>
      </c>
      <c r="AS194" s="129">
        <f>IFERROR(F194/$AI194,"")</f>
        <v/>
      </c>
      <c r="AT194" s="129">
        <f>IFERROR(H194/$AI194,"")</f>
        <v/>
      </c>
      <c r="AU194" s="129">
        <f>IFERROR(I194/$AI194,"")</f>
        <v/>
      </c>
      <c r="AV194" s="129">
        <f>IFERROR(J194/$AI194,"")</f>
        <v/>
      </c>
      <c r="AW194" s="129">
        <f>IFERROR(K194/$AI194,"")</f>
        <v/>
      </c>
      <c r="AX194" s="129">
        <f>IFERROR(L194/$AI194,"")</f>
        <v/>
      </c>
      <c r="AY194" s="129">
        <f>IFERROR(M194/$AI194,"")</f>
        <v/>
      </c>
      <c r="AZ194" s="129">
        <f>IFERROR(N194/$AI194,"")</f>
        <v/>
      </c>
      <c r="BA194" s="129">
        <f>IFERROR(O194/$AI194,"")</f>
        <v/>
      </c>
      <c r="BB194" s="129">
        <f>IFERROR(P194/$AI194,"")</f>
        <v/>
      </c>
      <c r="BC194" s="129">
        <f>IFERROR(AG194/$AI194,"")</f>
        <v/>
      </c>
      <c r="BD194" s="129">
        <f>IFERROR(AH194/$AI194,"")</f>
        <v/>
      </c>
      <c r="BE194" s="129">
        <f>IFERROR(R194/$AI194,"")</f>
        <v/>
      </c>
      <c r="BF194" s="129">
        <f>IFERROR(S194/$AI194,"")</f>
        <v/>
      </c>
      <c r="BG194" s="129">
        <f>IFERROR(T194/$AI194,"")</f>
        <v/>
      </c>
      <c r="BH194" s="129">
        <f>IFERROR(U194/$AI194,"")</f>
        <v/>
      </c>
      <c r="BI194" s="129">
        <f>IFERROR(V194/$AI194,"")</f>
        <v/>
      </c>
      <c r="BJ194" s="129">
        <f>IFERROR(W194/$AI194,"")</f>
        <v/>
      </c>
      <c r="BK194" s="129">
        <f>IFERROR(X194/$AI194,"")</f>
        <v/>
      </c>
      <c r="BL194" s="129">
        <f>IFERROR(Y194/$AI194,"")</f>
        <v/>
      </c>
      <c r="BM194" s="129">
        <f>IFERROR(Z194/$AI194,"")</f>
        <v/>
      </c>
      <c r="BN194" s="129">
        <f>IFERROR(AA194/$AI194,"")</f>
        <v/>
      </c>
      <c r="BO194" s="129">
        <f>IFERROR(AB194/$AI194,"")</f>
        <v/>
      </c>
      <c r="BP194" s="129">
        <f>IFERROR(AC194/$AI194,"")</f>
        <v/>
      </c>
      <c r="BQ194" s="129">
        <f>IFERROR(AD194/$AI194,"")</f>
        <v/>
      </c>
      <c r="BR194" s="129">
        <f>IFERROR(AE194/$AI194,"")</f>
        <v/>
      </c>
      <c r="BS194" s="129">
        <f>IFERROR(AF194/$AI194,"")</f>
        <v/>
      </c>
      <c r="BT194" s="129">
        <f>IFERROR(AG194/$AI194,"")</f>
        <v/>
      </c>
      <c r="BU194" s="129">
        <f>IFERROR(AH194/$AI194,"")</f>
        <v/>
      </c>
      <c r="BV194" s="126">
        <f>SUM(AQ194:BD194)</f>
        <v/>
      </c>
      <c r="BW194" s="126">
        <f>SUM(BE194:BU194)</f>
        <v/>
      </c>
      <c r="BX194" s="126">
        <f>SUM(AQ194:AU194)</f>
        <v/>
      </c>
    </row>
    <row r="195">
      <c r="B195" s="127" t="n"/>
      <c r="C195" s="125" t="n"/>
      <c r="D195" s="125" t="n"/>
      <c r="E195" s="125" t="n"/>
      <c r="F195" s="125" t="n"/>
      <c r="G195" s="125" t="n"/>
      <c r="H195" s="125" t="n"/>
      <c r="I195" s="125" t="n"/>
      <c r="J195" s="125" t="n"/>
      <c r="K195" s="125" t="n"/>
      <c r="L195" s="125" t="n"/>
      <c r="M195" s="125" t="n"/>
      <c r="N195" s="125" t="n"/>
      <c r="O195" s="125" t="n"/>
      <c r="P195" s="125" t="n"/>
      <c r="Q195" s="125" t="n"/>
      <c r="R195" s="125" t="n"/>
      <c r="S195" s="125" t="n"/>
      <c r="T195" s="125" t="n"/>
      <c r="U195" s="125" t="n"/>
      <c r="V195" s="125" t="n"/>
      <c r="W195" s="125" t="n"/>
      <c r="X195" s="125" t="n"/>
      <c r="Y195" s="125" t="n"/>
      <c r="Z195" s="125" t="n"/>
      <c r="AA195" s="125" t="n"/>
      <c r="AB195" s="125" t="n"/>
      <c r="AC195" s="125" t="n"/>
      <c r="AD195" s="125" t="n"/>
      <c r="AE195" s="125" t="n"/>
      <c r="AF195" s="125" t="n"/>
      <c r="AG195" s="125" t="n"/>
      <c r="AH195" s="125" t="n"/>
      <c r="AI195" s="127">
        <f>SUM(D195:AG195,AH195)</f>
        <v/>
      </c>
      <c r="AJ195" s="126">
        <f>(SUM($D195:$Q195))/AI195</f>
        <v/>
      </c>
      <c r="AK195" s="126">
        <f>(SUM($D195:$H195))/AI195</f>
        <v/>
      </c>
      <c r="AL195" s="126">
        <f>(SUM($R195:$AH195))/AI195</f>
        <v/>
      </c>
      <c r="AM195" s="161" t="n"/>
      <c r="AN195" s="125">
        <f>YEAR(C195)</f>
        <v/>
      </c>
      <c r="AO195" s="125">
        <f>MONTH(C195)</f>
        <v/>
      </c>
      <c r="AP195" s="125">
        <f>WEEKNUM(C195,2)</f>
        <v/>
      </c>
      <c r="AQ195" s="129">
        <f>IFERROR(D195/$AI195,"")</f>
        <v/>
      </c>
      <c r="AR195" s="129">
        <f>IFERROR(E195/$AI195,"")</f>
        <v/>
      </c>
      <c r="AS195" s="129">
        <f>IFERROR(F195/$AI195,"")</f>
        <v/>
      </c>
      <c r="AT195" s="129">
        <f>IFERROR(H195/$AI195,"")</f>
        <v/>
      </c>
      <c r="AU195" s="129">
        <f>IFERROR(I195/$AI195,"")</f>
        <v/>
      </c>
      <c r="AV195" s="129">
        <f>IFERROR(J195/$AI195,"")</f>
        <v/>
      </c>
      <c r="AW195" s="129">
        <f>IFERROR(K195/$AI195,"")</f>
        <v/>
      </c>
      <c r="AX195" s="129">
        <f>IFERROR(L195/$AI195,"")</f>
        <v/>
      </c>
      <c r="AY195" s="129">
        <f>IFERROR(M195/$AI195,"")</f>
        <v/>
      </c>
      <c r="AZ195" s="129">
        <f>IFERROR(N195/$AI195,"")</f>
        <v/>
      </c>
      <c r="BA195" s="129">
        <f>IFERROR(O195/$AI195,"")</f>
        <v/>
      </c>
      <c r="BB195" s="129">
        <f>IFERROR(P195/$AI195,"")</f>
        <v/>
      </c>
      <c r="BC195" s="129">
        <f>IFERROR(AG195/$AI195,"")</f>
        <v/>
      </c>
      <c r="BD195" s="129">
        <f>IFERROR(AH195/$AI195,"")</f>
        <v/>
      </c>
      <c r="BE195" s="129">
        <f>IFERROR(R195/$AI195,"")</f>
        <v/>
      </c>
      <c r="BF195" s="129">
        <f>IFERROR(S195/$AI195,"")</f>
        <v/>
      </c>
      <c r="BG195" s="129">
        <f>IFERROR(T195/$AI195,"")</f>
        <v/>
      </c>
      <c r="BH195" s="129">
        <f>IFERROR(U195/$AI195,"")</f>
        <v/>
      </c>
      <c r="BI195" s="129">
        <f>IFERROR(V195/$AI195,"")</f>
        <v/>
      </c>
      <c r="BJ195" s="129">
        <f>IFERROR(W195/$AI195,"")</f>
        <v/>
      </c>
      <c r="BK195" s="129">
        <f>IFERROR(X195/$AI195,"")</f>
        <v/>
      </c>
      <c r="BL195" s="129">
        <f>IFERROR(Y195/$AI195,"")</f>
        <v/>
      </c>
      <c r="BM195" s="129">
        <f>IFERROR(Z195/$AI195,"")</f>
        <v/>
      </c>
      <c r="BN195" s="129">
        <f>IFERROR(AA195/$AI195,"")</f>
        <v/>
      </c>
      <c r="BO195" s="129">
        <f>IFERROR(AB195/$AI195,"")</f>
        <v/>
      </c>
      <c r="BP195" s="129">
        <f>IFERROR(AC195/$AI195,"")</f>
        <v/>
      </c>
      <c r="BQ195" s="129">
        <f>IFERROR(AD195/$AI195,"")</f>
        <v/>
      </c>
      <c r="BR195" s="129">
        <f>IFERROR(AE195/$AI195,"")</f>
        <v/>
      </c>
      <c r="BS195" s="129">
        <f>IFERROR(AF195/$AI195,"")</f>
        <v/>
      </c>
      <c r="BT195" s="129">
        <f>IFERROR(AG195/$AI195,"")</f>
        <v/>
      </c>
      <c r="BU195" s="129">
        <f>IFERROR(AH195/$AI195,"")</f>
        <v/>
      </c>
      <c r="BV195" s="126">
        <f>SUM(AQ195:BD195)</f>
        <v/>
      </c>
      <c r="BW195" s="126">
        <f>SUM(BE195:BU195)</f>
        <v/>
      </c>
      <c r="BX195" s="126">
        <f>SUM(AQ195:AU195)</f>
        <v/>
      </c>
    </row>
    <row r="196">
      <c r="B196" s="127" t="n"/>
      <c r="C196" s="125" t="n"/>
      <c r="D196" s="125" t="n"/>
      <c r="E196" s="125" t="n"/>
      <c r="F196" s="125" t="n"/>
      <c r="G196" s="125" t="n"/>
      <c r="H196" s="125" t="n"/>
      <c r="I196" s="125" t="n"/>
      <c r="J196" s="125" t="n"/>
      <c r="K196" s="125" t="n"/>
      <c r="L196" s="125" t="n"/>
      <c r="M196" s="125" t="n"/>
      <c r="N196" s="125" t="n"/>
      <c r="O196" s="125" t="n"/>
      <c r="P196" s="125" t="n"/>
      <c r="Q196" s="125" t="n"/>
      <c r="R196" s="125" t="n"/>
      <c r="S196" s="125" t="n"/>
      <c r="T196" s="125" t="n"/>
      <c r="U196" s="125" t="n"/>
      <c r="V196" s="125" t="n"/>
      <c r="W196" s="125" t="n"/>
      <c r="X196" s="125" t="n"/>
      <c r="Y196" s="125" t="n"/>
      <c r="Z196" s="125" t="n"/>
      <c r="AA196" s="125" t="n"/>
      <c r="AB196" s="125" t="n"/>
      <c r="AC196" s="125" t="n"/>
      <c r="AD196" s="125" t="n"/>
      <c r="AE196" s="125" t="n"/>
      <c r="AF196" s="125" t="n"/>
      <c r="AG196" s="125" t="n"/>
      <c r="AH196" s="125" t="n"/>
      <c r="AI196" s="127">
        <f>SUM(D196:AG196,AH196)</f>
        <v/>
      </c>
      <c r="AJ196" s="126">
        <f>(SUM($D196:$Q196))/AI196</f>
        <v/>
      </c>
      <c r="AK196" s="126">
        <f>(SUM($D196:$H196))/AI196</f>
        <v/>
      </c>
      <c r="AL196" s="126">
        <f>(SUM($R196:$AH196))/AI196</f>
        <v/>
      </c>
      <c r="AM196" s="161" t="n"/>
      <c r="AN196" s="125">
        <f>YEAR(C196)</f>
        <v/>
      </c>
      <c r="AO196" s="125">
        <f>MONTH(C196)</f>
        <v/>
      </c>
      <c r="AP196" s="125">
        <f>WEEKNUM(C196,2)</f>
        <v/>
      </c>
      <c r="AQ196" s="129">
        <f>IFERROR(D196/$AI196,"")</f>
        <v/>
      </c>
      <c r="AR196" s="129">
        <f>IFERROR(E196/$AI196,"")</f>
        <v/>
      </c>
      <c r="AS196" s="129">
        <f>IFERROR(F196/$AI196,"")</f>
        <v/>
      </c>
      <c r="AT196" s="129">
        <f>IFERROR(H196/$AI196,"")</f>
        <v/>
      </c>
      <c r="AU196" s="129">
        <f>IFERROR(I196/$AI196,"")</f>
        <v/>
      </c>
      <c r="AV196" s="129">
        <f>IFERROR(J196/$AI196,"")</f>
        <v/>
      </c>
      <c r="AW196" s="129">
        <f>IFERROR(K196/$AI196,"")</f>
        <v/>
      </c>
      <c r="AX196" s="129">
        <f>IFERROR(L196/$AI196,"")</f>
        <v/>
      </c>
      <c r="AY196" s="129">
        <f>IFERROR(M196/$AI196,"")</f>
        <v/>
      </c>
      <c r="AZ196" s="129">
        <f>IFERROR(N196/$AI196,"")</f>
        <v/>
      </c>
      <c r="BA196" s="129">
        <f>IFERROR(O196/$AI196,"")</f>
        <v/>
      </c>
      <c r="BB196" s="129">
        <f>IFERROR(P196/$AI196,"")</f>
        <v/>
      </c>
      <c r="BC196" s="129">
        <f>IFERROR(AG196/$AI196,"")</f>
        <v/>
      </c>
      <c r="BD196" s="129">
        <f>IFERROR(AH196/$AI196,"")</f>
        <v/>
      </c>
      <c r="BE196" s="129">
        <f>IFERROR(R196/$AI196,"")</f>
        <v/>
      </c>
      <c r="BF196" s="129">
        <f>IFERROR(S196/$AI196,"")</f>
        <v/>
      </c>
      <c r="BG196" s="129">
        <f>IFERROR(T196/$AI196,"")</f>
        <v/>
      </c>
      <c r="BH196" s="129">
        <f>IFERROR(U196/$AI196,"")</f>
        <v/>
      </c>
      <c r="BI196" s="129">
        <f>IFERROR(V196/$AI196,"")</f>
        <v/>
      </c>
      <c r="BJ196" s="129">
        <f>IFERROR(W196/$AI196,"")</f>
        <v/>
      </c>
      <c r="BK196" s="129">
        <f>IFERROR(X196/$AI196,"")</f>
        <v/>
      </c>
      <c r="BL196" s="129">
        <f>IFERROR(Y196/$AI196,"")</f>
        <v/>
      </c>
      <c r="BM196" s="129">
        <f>IFERROR(Z196/$AI196,"")</f>
        <v/>
      </c>
      <c r="BN196" s="129">
        <f>IFERROR(AA196/$AI196,"")</f>
        <v/>
      </c>
      <c r="BO196" s="129">
        <f>IFERROR(AB196/$AI196,"")</f>
        <v/>
      </c>
      <c r="BP196" s="129">
        <f>IFERROR(AC196/$AI196,"")</f>
        <v/>
      </c>
      <c r="BQ196" s="129">
        <f>IFERROR(AD196/$AI196,"")</f>
        <v/>
      </c>
      <c r="BR196" s="129">
        <f>IFERROR(AE196/$AI196,"")</f>
        <v/>
      </c>
      <c r="BS196" s="129">
        <f>IFERROR(AF196/$AI196,"")</f>
        <v/>
      </c>
      <c r="BT196" s="129">
        <f>IFERROR(AG196/$AI196,"")</f>
        <v/>
      </c>
      <c r="BU196" s="129">
        <f>IFERROR(AH196/$AI196,"")</f>
        <v/>
      </c>
      <c r="BV196" s="126">
        <f>SUM(AQ196:BD196)</f>
        <v/>
      </c>
      <c r="BW196" s="126">
        <f>SUM(BE196:BU196)</f>
        <v/>
      </c>
      <c r="BX196" s="126">
        <f>SUM(AQ196:AU196)</f>
        <v/>
      </c>
    </row>
    <row r="197">
      <c r="B197" s="127" t="n"/>
      <c r="C197" s="125" t="n"/>
      <c r="D197" s="125" t="n"/>
      <c r="E197" s="125" t="n"/>
      <c r="F197" s="125" t="n"/>
      <c r="G197" s="125" t="n"/>
      <c r="H197" s="125" t="n"/>
      <c r="I197" s="125" t="n"/>
      <c r="J197" s="125" t="n"/>
      <c r="K197" s="125" t="n"/>
      <c r="L197" s="125" t="n"/>
      <c r="M197" s="125" t="n"/>
      <c r="N197" s="125" t="n"/>
      <c r="O197" s="125" t="n"/>
      <c r="P197" s="125" t="n"/>
      <c r="Q197" s="125" t="n"/>
      <c r="R197" s="125" t="n"/>
      <c r="S197" s="125" t="n"/>
      <c r="T197" s="125" t="n"/>
      <c r="U197" s="125" t="n"/>
      <c r="V197" s="125" t="n"/>
      <c r="W197" s="125" t="n"/>
      <c r="X197" s="125" t="n"/>
      <c r="Y197" s="125" t="n"/>
      <c r="Z197" s="125" t="n"/>
      <c r="AA197" s="125" t="n"/>
      <c r="AB197" s="125" t="n"/>
      <c r="AC197" s="125" t="n"/>
      <c r="AD197" s="125" t="n"/>
      <c r="AE197" s="125" t="n"/>
      <c r="AF197" s="125" t="n"/>
      <c r="AG197" s="125" t="n"/>
      <c r="AH197" s="125" t="n"/>
      <c r="AI197" s="127">
        <f>SUM(D197:AG197,AH197)</f>
        <v/>
      </c>
      <c r="AJ197" s="126">
        <f>(SUM($D197:$Q197))/AI197</f>
        <v/>
      </c>
      <c r="AK197" s="126">
        <f>(SUM($D197:$H197))/AI197</f>
        <v/>
      </c>
      <c r="AL197" s="126">
        <f>(SUM($R197:$AH197))/AI197</f>
        <v/>
      </c>
      <c r="AM197" s="161" t="n"/>
      <c r="AN197" s="125">
        <f>YEAR(C197)</f>
        <v/>
      </c>
      <c r="AO197" s="125">
        <f>MONTH(C197)</f>
        <v/>
      </c>
      <c r="AP197" s="125">
        <f>WEEKNUM(C197,2)</f>
        <v/>
      </c>
      <c r="AQ197" s="129">
        <f>IFERROR(D197/$AI197,"")</f>
        <v/>
      </c>
      <c r="AR197" s="129">
        <f>IFERROR(E197/$AI197,"")</f>
        <v/>
      </c>
      <c r="AS197" s="129">
        <f>IFERROR(F197/$AI197,"")</f>
        <v/>
      </c>
      <c r="AT197" s="129">
        <f>IFERROR(H197/$AI197,"")</f>
        <v/>
      </c>
      <c r="AU197" s="129">
        <f>IFERROR(I197/$AI197,"")</f>
        <v/>
      </c>
      <c r="AV197" s="129">
        <f>IFERROR(J197/$AI197,"")</f>
        <v/>
      </c>
      <c r="AW197" s="129">
        <f>IFERROR(K197/$AI197,"")</f>
        <v/>
      </c>
      <c r="AX197" s="129">
        <f>IFERROR(L197/$AI197,"")</f>
        <v/>
      </c>
      <c r="AY197" s="129">
        <f>IFERROR(M197/$AI197,"")</f>
        <v/>
      </c>
      <c r="AZ197" s="129">
        <f>IFERROR(N197/$AI197,"")</f>
        <v/>
      </c>
      <c r="BA197" s="129">
        <f>IFERROR(O197/$AI197,"")</f>
        <v/>
      </c>
      <c r="BB197" s="129">
        <f>IFERROR(P197/$AI197,"")</f>
        <v/>
      </c>
      <c r="BC197" s="129">
        <f>IFERROR(AG197/$AI197,"")</f>
        <v/>
      </c>
      <c r="BD197" s="129">
        <f>IFERROR(AH197/$AI197,"")</f>
        <v/>
      </c>
      <c r="BE197" s="129">
        <f>IFERROR(R197/$AI197,"")</f>
        <v/>
      </c>
      <c r="BF197" s="129">
        <f>IFERROR(S197/$AI197,"")</f>
        <v/>
      </c>
      <c r="BG197" s="129">
        <f>IFERROR(T197/$AI197,"")</f>
        <v/>
      </c>
      <c r="BH197" s="129">
        <f>IFERROR(U197/$AI197,"")</f>
        <v/>
      </c>
      <c r="BI197" s="129">
        <f>IFERROR(V197/$AI197,"")</f>
        <v/>
      </c>
      <c r="BJ197" s="129">
        <f>IFERROR(W197/$AI197,"")</f>
        <v/>
      </c>
      <c r="BK197" s="129">
        <f>IFERROR(X197/$AI197,"")</f>
        <v/>
      </c>
      <c r="BL197" s="129">
        <f>IFERROR(Y197/$AI197,"")</f>
        <v/>
      </c>
      <c r="BM197" s="129">
        <f>IFERROR(Z197/$AI197,"")</f>
        <v/>
      </c>
      <c r="BN197" s="129">
        <f>IFERROR(AA197/$AI197,"")</f>
        <v/>
      </c>
      <c r="BO197" s="129">
        <f>IFERROR(AB197/$AI197,"")</f>
        <v/>
      </c>
      <c r="BP197" s="129">
        <f>IFERROR(AC197/$AI197,"")</f>
        <v/>
      </c>
      <c r="BQ197" s="129">
        <f>IFERROR(AD197/$AI197,"")</f>
        <v/>
      </c>
      <c r="BR197" s="129">
        <f>IFERROR(AE197/$AI197,"")</f>
        <v/>
      </c>
      <c r="BS197" s="129">
        <f>IFERROR(AF197/$AI197,"")</f>
        <v/>
      </c>
      <c r="BT197" s="129">
        <f>IFERROR(AG197/$AI197,"")</f>
        <v/>
      </c>
      <c r="BU197" s="129">
        <f>IFERROR(AH197/$AI197,"")</f>
        <v/>
      </c>
      <c r="BV197" s="126">
        <f>SUM(AQ197:BD197)</f>
        <v/>
      </c>
      <c r="BW197" s="126">
        <f>SUM(BE197:BU197)</f>
        <v/>
      </c>
      <c r="BX197" s="126">
        <f>SUM(AQ197:AU197)</f>
        <v/>
      </c>
    </row>
    <row r="198">
      <c r="B198" s="127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5" t="n"/>
      <c r="U198" s="125" t="n"/>
      <c r="V198" s="125" t="n"/>
      <c r="W198" s="125" t="n"/>
      <c r="X198" s="125" t="n"/>
      <c r="Y198" s="125" t="n"/>
      <c r="Z198" s="125" t="n"/>
      <c r="AA198" s="125" t="n"/>
      <c r="AB198" s="125" t="n"/>
      <c r="AC198" s="125" t="n"/>
      <c r="AD198" s="125" t="n"/>
      <c r="AE198" s="125" t="n"/>
      <c r="AF198" s="125" t="n"/>
      <c r="AG198" s="125" t="n"/>
      <c r="AH198" s="125" t="n"/>
      <c r="AI198" s="127">
        <f>SUM(D198:AG198,AH198)</f>
        <v/>
      </c>
      <c r="AJ198" s="126">
        <f>(SUM($D198:$Q198))/AI198</f>
        <v/>
      </c>
      <c r="AK198" s="126">
        <f>(SUM($D198:$H198))/AI198</f>
        <v/>
      </c>
      <c r="AL198" s="126">
        <f>(SUM($R198:$AH198))/AI198</f>
        <v/>
      </c>
      <c r="AM198" s="161" t="n"/>
      <c r="AN198" s="125">
        <f>YEAR(C198)</f>
        <v/>
      </c>
      <c r="AO198" s="125">
        <f>MONTH(C198)</f>
        <v/>
      </c>
      <c r="AP198" s="125">
        <f>WEEKNUM(C198,2)</f>
        <v/>
      </c>
      <c r="AQ198" s="129">
        <f>IFERROR(D198/$AI198,"")</f>
        <v/>
      </c>
      <c r="AR198" s="129">
        <f>IFERROR(E198/$AI198,"")</f>
        <v/>
      </c>
      <c r="AS198" s="129">
        <f>IFERROR(F198/$AI198,"")</f>
        <v/>
      </c>
      <c r="AT198" s="129">
        <f>IFERROR(H198/$AI198,"")</f>
        <v/>
      </c>
      <c r="AU198" s="129">
        <f>IFERROR(I198/$AI198,"")</f>
        <v/>
      </c>
      <c r="AV198" s="129">
        <f>IFERROR(J198/$AI198,"")</f>
        <v/>
      </c>
      <c r="AW198" s="129">
        <f>IFERROR(K198/$AI198,"")</f>
        <v/>
      </c>
      <c r="AX198" s="129">
        <f>IFERROR(L198/$AI198,"")</f>
        <v/>
      </c>
      <c r="AY198" s="129">
        <f>IFERROR(M198/$AI198,"")</f>
        <v/>
      </c>
      <c r="AZ198" s="129">
        <f>IFERROR(N198/$AI198,"")</f>
        <v/>
      </c>
      <c r="BA198" s="129">
        <f>IFERROR(O198/$AI198,"")</f>
        <v/>
      </c>
      <c r="BB198" s="129">
        <f>IFERROR(P198/$AI198,"")</f>
        <v/>
      </c>
      <c r="BC198" s="129">
        <f>IFERROR(AG198/$AI198,"")</f>
        <v/>
      </c>
      <c r="BD198" s="129">
        <f>IFERROR(AH198/$AI198,"")</f>
        <v/>
      </c>
      <c r="BE198" s="129">
        <f>IFERROR(R198/$AI198,"")</f>
        <v/>
      </c>
      <c r="BF198" s="129">
        <f>IFERROR(S198/$AI198,"")</f>
        <v/>
      </c>
      <c r="BG198" s="129">
        <f>IFERROR(T198/$AI198,"")</f>
        <v/>
      </c>
      <c r="BH198" s="129">
        <f>IFERROR(U198/$AI198,"")</f>
        <v/>
      </c>
      <c r="BI198" s="129">
        <f>IFERROR(V198/$AI198,"")</f>
        <v/>
      </c>
      <c r="BJ198" s="129">
        <f>IFERROR(W198/$AI198,"")</f>
        <v/>
      </c>
      <c r="BK198" s="129">
        <f>IFERROR(X198/$AI198,"")</f>
        <v/>
      </c>
      <c r="BL198" s="129">
        <f>IFERROR(Y198/$AI198,"")</f>
        <v/>
      </c>
      <c r="BM198" s="129">
        <f>IFERROR(Z198/$AI198,"")</f>
        <v/>
      </c>
      <c r="BN198" s="129">
        <f>IFERROR(AA198/$AI198,"")</f>
        <v/>
      </c>
      <c r="BO198" s="129">
        <f>IFERROR(AB198/$AI198,"")</f>
        <v/>
      </c>
      <c r="BP198" s="129">
        <f>IFERROR(AC198/$AI198,"")</f>
        <v/>
      </c>
      <c r="BQ198" s="129">
        <f>IFERROR(AD198/$AI198,"")</f>
        <v/>
      </c>
      <c r="BR198" s="129">
        <f>IFERROR(AE198/$AI198,"")</f>
        <v/>
      </c>
      <c r="BS198" s="129">
        <f>IFERROR(AF198/$AI198,"")</f>
        <v/>
      </c>
      <c r="BT198" s="129">
        <f>IFERROR(AG198/$AI198,"")</f>
        <v/>
      </c>
      <c r="BU198" s="129">
        <f>IFERROR(AH198/$AI198,"")</f>
        <v/>
      </c>
      <c r="BV198" s="126">
        <f>SUM(AQ198:BD198)</f>
        <v/>
      </c>
      <c r="BW198" s="126">
        <f>SUM(BE198:BU198)</f>
        <v/>
      </c>
      <c r="BX198" s="126">
        <f>SUM(AQ198:AU198)</f>
        <v/>
      </c>
    </row>
    <row r="199">
      <c r="B199" s="127" t="n"/>
      <c r="C199" s="125" t="n"/>
      <c r="D199" s="125" t="n"/>
      <c r="E199" s="125" t="n"/>
      <c r="F199" s="125" t="n"/>
      <c r="G199" s="125" t="n"/>
      <c r="H199" s="125" t="n"/>
      <c r="I199" s="125" t="n"/>
      <c r="J199" s="125" t="n"/>
      <c r="K199" s="125" t="n"/>
      <c r="L199" s="125" t="n"/>
      <c r="M199" s="125" t="n"/>
      <c r="N199" s="125" t="n"/>
      <c r="O199" s="125" t="n"/>
      <c r="P199" s="125" t="n"/>
      <c r="Q199" s="125" t="n"/>
      <c r="R199" s="125" t="n"/>
      <c r="S199" s="125" t="n"/>
      <c r="T199" s="125" t="n"/>
      <c r="U199" s="125" t="n"/>
      <c r="V199" s="125" t="n"/>
      <c r="W199" s="125" t="n"/>
      <c r="X199" s="125" t="n"/>
      <c r="Y199" s="125" t="n"/>
      <c r="Z199" s="125" t="n"/>
      <c r="AA199" s="125" t="n"/>
      <c r="AB199" s="125" t="n"/>
      <c r="AC199" s="125" t="n"/>
      <c r="AD199" s="125" t="n"/>
      <c r="AE199" s="125" t="n"/>
      <c r="AF199" s="125" t="n"/>
      <c r="AG199" s="125" t="n"/>
      <c r="AH199" s="125" t="n"/>
      <c r="AI199" s="127">
        <f>SUM(D199:AG199,AH199)</f>
        <v/>
      </c>
      <c r="AJ199" s="126">
        <f>(SUM($D199:$Q199))/AI199</f>
        <v/>
      </c>
      <c r="AK199" s="126">
        <f>(SUM($D199:$H199))/AI199</f>
        <v/>
      </c>
      <c r="AL199" s="126">
        <f>(SUM($R199:$AH199))/AI199</f>
        <v/>
      </c>
      <c r="AM199" s="126" t="n"/>
      <c r="AN199" s="125">
        <f>YEAR(C199)</f>
        <v/>
      </c>
      <c r="AO199" s="125">
        <f>MONTH(C199)</f>
        <v/>
      </c>
      <c r="AP199" s="125">
        <f>WEEKNUM(C199,2)</f>
        <v/>
      </c>
      <c r="AQ199" s="129">
        <f>IFERROR(D199/$AI199,"")</f>
        <v/>
      </c>
      <c r="AR199" s="129">
        <f>IFERROR(E199/$AI199,"")</f>
        <v/>
      </c>
      <c r="AS199" s="129">
        <f>IFERROR(H199/$AI199,"")</f>
        <v/>
      </c>
      <c r="AT199" s="129">
        <f>IFERROR(I199/$AI199,"")</f>
        <v/>
      </c>
      <c r="AU199" s="129">
        <f>IFERROR(J199/$AI199,"")</f>
        <v/>
      </c>
      <c r="AV199" s="129">
        <f>IFERROR(K199/$AI199,"")</f>
        <v/>
      </c>
      <c r="AW199" s="129">
        <f>IFERROR(L199/$AI199,"")</f>
        <v/>
      </c>
      <c r="AX199" s="129">
        <f>IFERROR(M199/$AI199,"")</f>
        <v/>
      </c>
      <c r="AY199" s="129">
        <f>IFERROR(N199/$AI199,"")</f>
        <v/>
      </c>
      <c r="AZ199" s="129">
        <f>IFERROR(O199/$AI199,"")</f>
        <v/>
      </c>
      <c r="BA199" s="129">
        <f>IFERROR(P199/$AI199,"")</f>
        <v/>
      </c>
      <c r="BB199" s="129">
        <f>IFERROR(AG199/$AI199,"")</f>
        <v/>
      </c>
      <c r="BC199" s="129" t="n"/>
      <c r="BD199" s="129">
        <f>IFERROR(AH199/$AI199,"")</f>
        <v/>
      </c>
      <c r="BE199" s="129">
        <f>IFERROR(R199/$AI199,"")</f>
        <v/>
      </c>
      <c r="BF199" s="129">
        <f>IFERROR(S199/$AI199,"")</f>
        <v/>
      </c>
      <c r="BG199" s="129">
        <f>IFERROR(T199/$AI199,"")</f>
        <v/>
      </c>
      <c r="BH199" s="129">
        <f>IFERROR(U199/$AI199,"")</f>
        <v/>
      </c>
      <c r="BI199" s="129">
        <f>IFERROR(V199/$AI199,"")</f>
        <v/>
      </c>
      <c r="BJ199" s="129">
        <f>IFERROR(W199/$AI199,"")</f>
        <v/>
      </c>
      <c r="BK199" s="129">
        <f>IFERROR(X199/$AI199,"")</f>
        <v/>
      </c>
      <c r="BL199" s="129">
        <f>IFERROR(Y199/$AI199,"")</f>
        <v/>
      </c>
      <c r="BM199" s="129">
        <f>IFERROR(Z199/$AI199,"")</f>
        <v/>
      </c>
      <c r="BN199" s="129">
        <f>IFERROR(AA199/$AI199,"")</f>
        <v/>
      </c>
      <c r="BO199" s="129">
        <f>IFERROR(AB199/$AI199,"")</f>
        <v/>
      </c>
      <c r="BP199" s="129">
        <f>IFERROR(AC199/$AI199,"")</f>
        <v/>
      </c>
      <c r="BQ199" s="129">
        <f>IFERROR(AD199/$AI199,"")</f>
        <v/>
      </c>
      <c r="BR199" s="129">
        <f>IFERROR(AE199/$AI199,"")</f>
        <v/>
      </c>
      <c r="BS199" s="129">
        <f>IFERROR(AF199/$AI199,"")</f>
        <v/>
      </c>
      <c r="BT199" s="129">
        <f>IFERROR(AG199/$AI199,"")</f>
        <v/>
      </c>
      <c r="BU199" s="129">
        <f>IFERROR(AH199/$AI199,"")</f>
        <v/>
      </c>
      <c r="BV199" s="126">
        <f>SUM(AQ199:BD199)</f>
        <v/>
      </c>
      <c r="BW199" s="126">
        <f>SUM(BE199:BU199)</f>
        <v/>
      </c>
      <c r="BX199" s="126">
        <f>SUM(AQ199:AU199)</f>
        <v/>
      </c>
    </row>
    <row r="200">
      <c r="B200" s="127" t="n"/>
      <c r="C200" s="125" t="n"/>
      <c r="D200" s="125" t="n"/>
      <c r="E200" s="125" t="n"/>
      <c r="F200" s="125" t="n"/>
      <c r="G200" s="125" t="n"/>
      <c r="H200" s="125" t="n"/>
      <c r="I200" s="125" t="n"/>
      <c r="J200" s="125" t="n"/>
      <c r="K200" s="125" t="n"/>
      <c r="L200" s="125" t="n"/>
      <c r="M200" s="125" t="n"/>
      <c r="N200" s="125" t="n"/>
      <c r="O200" s="125" t="n"/>
      <c r="P200" s="125" t="n"/>
      <c r="Q200" s="125" t="n"/>
      <c r="R200" s="125" t="n"/>
      <c r="S200" s="125" t="n"/>
      <c r="T200" s="125" t="n"/>
      <c r="U200" s="125" t="n"/>
      <c r="V200" s="125" t="n"/>
      <c r="W200" s="125" t="n"/>
      <c r="X200" s="125" t="n"/>
      <c r="Y200" s="125" t="n"/>
      <c r="Z200" s="125" t="n"/>
      <c r="AA200" s="125" t="n"/>
      <c r="AB200" s="125" t="n"/>
      <c r="AC200" s="125" t="n"/>
      <c r="AD200" s="125" t="n"/>
      <c r="AE200" s="125" t="n"/>
      <c r="AF200" s="125" t="n"/>
      <c r="AG200" s="125" t="n"/>
      <c r="AH200" s="125" t="n"/>
      <c r="AI200" s="127">
        <f>SUM(D200:AG200,AH200)</f>
        <v/>
      </c>
      <c r="AJ200" s="126">
        <f>(SUM($D200:$Q200))/AI200</f>
        <v/>
      </c>
      <c r="AK200" s="126">
        <f>(SUM($D200:$H200))/AI200</f>
        <v/>
      </c>
      <c r="AL200" s="126">
        <f>(SUM($R200:$AH200))/AI200</f>
        <v/>
      </c>
      <c r="AM200" s="126" t="n"/>
      <c r="AN200" s="125">
        <f>YEAR(C200)</f>
        <v/>
      </c>
      <c r="AO200" s="125">
        <f>MONTH(C200)</f>
        <v/>
      </c>
      <c r="AP200" s="125">
        <f>WEEKNUM(C200,2)</f>
        <v/>
      </c>
      <c r="AQ200" s="129">
        <f>IFERROR(D200/$AI200,"")</f>
        <v/>
      </c>
      <c r="AR200" s="129">
        <f>IFERROR(E200/$AI200,"")</f>
        <v/>
      </c>
      <c r="AS200" s="129">
        <f>IFERROR(H200/$AI200,"")</f>
        <v/>
      </c>
      <c r="AT200" s="129">
        <f>IFERROR(I200/$AI200,"")</f>
        <v/>
      </c>
      <c r="AU200" s="129">
        <f>IFERROR(J200/$AI200,"")</f>
        <v/>
      </c>
      <c r="AV200" s="129">
        <f>IFERROR(K200/$AI200,"")</f>
        <v/>
      </c>
      <c r="AW200" s="129">
        <f>IFERROR(L200/$AI200,"")</f>
        <v/>
      </c>
      <c r="AX200" s="129">
        <f>IFERROR(M200/$AI200,"")</f>
        <v/>
      </c>
      <c r="AY200" s="129">
        <f>IFERROR(N200/$AI200,"")</f>
        <v/>
      </c>
      <c r="AZ200" s="129">
        <f>IFERROR(O200/$AI200,"")</f>
        <v/>
      </c>
      <c r="BA200" s="129">
        <f>IFERROR(P200/$AI200,"")</f>
        <v/>
      </c>
      <c r="BB200" s="129">
        <f>IFERROR(AG200/$AI200,"")</f>
        <v/>
      </c>
      <c r="BC200" s="129" t="n"/>
      <c r="BD200" s="129">
        <f>IFERROR(AH200/$AI200,"")</f>
        <v/>
      </c>
      <c r="BE200" s="129">
        <f>IFERROR(R200/$AI200,"")</f>
        <v/>
      </c>
      <c r="BF200" s="129">
        <f>IFERROR(S200/$AI200,"")</f>
        <v/>
      </c>
      <c r="BG200" s="129">
        <f>IFERROR(T200/$AI200,"")</f>
        <v/>
      </c>
      <c r="BH200" s="129">
        <f>IFERROR(U200/$AI200,"")</f>
        <v/>
      </c>
      <c r="BI200" s="129">
        <f>IFERROR(V200/$AI200,"")</f>
        <v/>
      </c>
      <c r="BJ200" s="129">
        <f>IFERROR(W200/$AI200,"")</f>
        <v/>
      </c>
      <c r="BK200" s="129">
        <f>IFERROR(X200/$AI200,"")</f>
        <v/>
      </c>
      <c r="BL200" s="129">
        <f>IFERROR(Y200/$AI200,"")</f>
        <v/>
      </c>
      <c r="BM200" s="129">
        <f>IFERROR(Z200/$AI200,"")</f>
        <v/>
      </c>
      <c r="BN200" s="129">
        <f>IFERROR(AA200/$AI200,"")</f>
        <v/>
      </c>
      <c r="BO200" s="129">
        <f>IFERROR(AB200/$AI200,"")</f>
        <v/>
      </c>
      <c r="BP200" s="129">
        <f>IFERROR(AC200/$AI200,"")</f>
        <v/>
      </c>
      <c r="BQ200" s="129">
        <f>IFERROR(AD200/$AI200,"")</f>
        <v/>
      </c>
      <c r="BR200" s="129">
        <f>IFERROR(AE200/$AI200,"")</f>
        <v/>
      </c>
      <c r="BS200" s="129">
        <f>IFERROR(AF200/$AI200,"")</f>
        <v/>
      </c>
      <c r="BT200" s="129">
        <f>IFERROR(AG200/$AI200,"")</f>
        <v/>
      </c>
      <c r="BU200" s="129">
        <f>IFERROR(AH200/$AI200,"")</f>
        <v/>
      </c>
      <c r="BV200" s="126">
        <f>SUM(AQ200:BD200)</f>
        <v/>
      </c>
      <c r="BW200" s="126">
        <f>SUM(BE200:BU200)</f>
        <v/>
      </c>
      <c r="BX200" s="126">
        <f>SUM(AQ200:AU200)</f>
        <v/>
      </c>
    </row>
    <row r="201">
      <c r="B201" s="127" t="n"/>
      <c r="C201" s="125" t="n"/>
      <c r="D201" s="125" t="n"/>
      <c r="E201" s="125" t="n"/>
      <c r="F201" s="125" t="n"/>
      <c r="G201" s="125" t="n"/>
      <c r="H201" s="125" t="n"/>
      <c r="I201" s="125" t="n"/>
      <c r="J201" s="125" t="n"/>
      <c r="K201" s="125" t="n"/>
      <c r="L201" s="125" t="n"/>
      <c r="M201" s="125" t="n"/>
      <c r="N201" s="125" t="n"/>
      <c r="O201" s="125" t="n"/>
      <c r="P201" s="125" t="n"/>
      <c r="Q201" s="125" t="n"/>
      <c r="R201" s="125" t="n"/>
      <c r="S201" s="125" t="n"/>
      <c r="T201" s="125" t="n"/>
      <c r="U201" s="125" t="n"/>
      <c r="V201" s="125" t="n"/>
      <c r="W201" s="125" t="n"/>
      <c r="X201" s="125" t="n"/>
      <c r="Y201" s="125" t="n"/>
      <c r="Z201" s="125" t="n"/>
      <c r="AA201" s="125" t="n"/>
      <c r="AB201" s="125" t="n"/>
      <c r="AC201" s="125" t="n"/>
      <c r="AD201" s="125" t="n"/>
      <c r="AE201" s="125" t="n"/>
      <c r="AF201" s="125" t="n"/>
      <c r="AG201" s="125" t="n"/>
      <c r="AH201" s="125" t="n"/>
      <c r="AI201" s="127">
        <f>SUM(D201:AG201,AH201)</f>
        <v/>
      </c>
      <c r="AJ201" s="126">
        <f>(SUM($D201:$Q201))/AI201</f>
        <v/>
      </c>
      <c r="AK201" s="126">
        <f>(SUM($D201:$H201))/AI201</f>
        <v/>
      </c>
      <c r="AL201" s="126">
        <f>(SUM($R201:$AH201))/AI201</f>
        <v/>
      </c>
      <c r="AM201" s="126" t="n"/>
      <c r="AN201" s="125">
        <f>YEAR(C201)</f>
        <v/>
      </c>
      <c r="AO201" s="125">
        <f>MONTH(C201)</f>
        <v/>
      </c>
      <c r="AP201" s="125">
        <f>WEEKNUM(C201,2)</f>
        <v/>
      </c>
      <c r="AQ201" s="129">
        <f>IFERROR(D201/$AI201,"")</f>
        <v/>
      </c>
      <c r="AR201" s="129">
        <f>IFERROR(E201/$AI201,"")</f>
        <v/>
      </c>
      <c r="AS201" s="129">
        <f>IFERROR(H201/$AI201,"")</f>
        <v/>
      </c>
      <c r="AT201" s="129">
        <f>IFERROR(I201/$AI201,"")</f>
        <v/>
      </c>
      <c r="AU201" s="129">
        <f>IFERROR(J201/$AI201,"")</f>
        <v/>
      </c>
      <c r="AV201" s="129">
        <f>IFERROR(K201/$AI201,"")</f>
        <v/>
      </c>
      <c r="AW201" s="129">
        <f>IFERROR(L201/$AI201,"")</f>
        <v/>
      </c>
      <c r="AX201" s="129">
        <f>IFERROR(M201/$AI201,"")</f>
        <v/>
      </c>
      <c r="AY201" s="129">
        <f>IFERROR(N201/$AI201,"")</f>
        <v/>
      </c>
      <c r="AZ201" s="129">
        <f>IFERROR(O201/$AI201,"")</f>
        <v/>
      </c>
      <c r="BA201" s="129">
        <f>IFERROR(P201/$AI201,"")</f>
        <v/>
      </c>
      <c r="BB201" s="129">
        <f>IFERROR(AG201/$AI201,"")</f>
        <v/>
      </c>
      <c r="BC201" s="129" t="n"/>
      <c r="BD201" s="129">
        <f>IFERROR(AH201/$AI201,"")</f>
        <v/>
      </c>
      <c r="BE201" s="129">
        <f>IFERROR(R201/$AI201,"")</f>
        <v/>
      </c>
      <c r="BF201" s="129">
        <f>IFERROR(S201/$AI201,"")</f>
        <v/>
      </c>
      <c r="BG201" s="129">
        <f>IFERROR(T201/$AI201,"")</f>
        <v/>
      </c>
      <c r="BH201" s="129">
        <f>IFERROR(U201/$AI201,"")</f>
        <v/>
      </c>
      <c r="BI201" s="129">
        <f>IFERROR(V201/$AI201,"")</f>
        <v/>
      </c>
      <c r="BJ201" s="129">
        <f>IFERROR(W201/$AI201,"")</f>
        <v/>
      </c>
      <c r="BK201" s="129">
        <f>IFERROR(X201/$AI201,"")</f>
        <v/>
      </c>
      <c r="BL201" s="129">
        <f>IFERROR(Y201/$AI201,"")</f>
        <v/>
      </c>
      <c r="BM201" s="129">
        <f>IFERROR(Z201/$AI201,"")</f>
        <v/>
      </c>
      <c r="BN201" s="129">
        <f>IFERROR(AA201/$AI201,"")</f>
        <v/>
      </c>
      <c r="BO201" s="129">
        <f>IFERROR(AB201/$AI201,"")</f>
        <v/>
      </c>
      <c r="BP201" s="129">
        <f>IFERROR(AC201/$AI201,"")</f>
        <v/>
      </c>
      <c r="BQ201" s="129">
        <f>IFERROR(AD201/$AI201,"")</f>
        <v/>
      </c>
      <c r="BR201" s="129">
        <f>IFERROR(AE201/$AI201,"")</f>
        <v/>
      </c>
      <c r="BS201" s="129">
        <f>IFERROR(AF201/$AI201,"")</f>
        <v/>
      </c>
      <c r="BT201" s="129">
        <f>IFERROR(AG201/$AI201,"")</f>
        <v/>
      </c>
      <c r="BU201" s="129">
        <f>IFERROR(AH201/$AI201,"")</f>
        <v/>
      </c>
      <c r="BV201" s="126">
        <f>SUM(AQ201:BD201)</f>
        <v/>
      </c>
      <c r="BW201" s="126">
        <f>SUM(BE201:BU201)</f>
        <v/>
      </c>
      <c r="BX201" s="126">
        <f>SUM(AQ201:AU201)</f>
        <v/>
      </c>
    </row>
    <row r="202">
      <c r="B202" s="127" t="n"/>
      <c r="C202" s="125" t="n"/>
      <c r="D202" s="125" t="n"/>
      <c r="E202" s="125" t="n"/>
      <c r="F202" s="125" t="n"/>
      <c r="G202" s="125" t="n"/>
      <c r="H202" s="125" t="n"/>
      <c r="I202" s="125" t="n"/>
      <c r="J202" s="125" t="n"/>
      <c r="K202" s="125" t="n"/>
      <c r="L202" s="125" t="n"/>
      <c r="M202" s="125" t="n"/>
      <c r="N202" s="125" t="n"/>
      <c r="O202" s="125" t="n"/>
      <c r="P202" s="125" t="n"/>
      <c r="Q202" s="125" t="n"/>
      <c r="R202" s="125" t="n"/>
      <c r="S202" s="125" t="n"/>
      <c r="T202" s="125" t="n"/>
      <c r="U202" s="125" t="n"/>
      <c r="V202" s="125" t="n"/>
      <c r="W202" s="125" t="n"/>
      <c r="X202" s="125" t="n"/>
      <c r="Y202" s="125" t="n"/>
      <c r="Z202" s="125" t="n"/>
      <c r="AA202" s="125" t="n"/>
      <c r="AB202" s="125" t="n"/>
      <c r="AC202" s="125" t="n"/>
      <c r="AD202" s="125" t="n"/>
      <c r="AE202" s="125" t="n"/>
      <c r="AF202" s="125" t="n"/>
      <c r="AG202" s="125" t="n"/>
      <c r="AH202" s="125" t="n"/>
      <c r="AI202" s="127">
        <f>SUM(D202:AG202,AH202)</f>
        <v/>
      </c>
      <c r="AJ202" s="126">
        <f>(SUM($D202:$Q202))/AI202</f>
        <v/>
      </c>
      <c r="AK202" s="126">
        <f>(SUM($D202:$H202))/AI202</f>
        <v/>
      </c>
      <c r="AL202" s="126">
        <f>(SUM($R202:$AH202))/AI202</f>
        <v/>
      </c>
      <c r="AM202" s="126" t="n"/>
      <c r="AN202" s="125">
        <f>YEAR(C202)</f>
        <v/>
      </c>
      <c r="AO202" s="125">
        <f>MONTH(C202)</f>
        <v/>
      </c>
      <c r="AP202" s="125">
        <f>WEEKNUM(C202,2)</f>
        <v/>
      </c>
      <c r="AQ202" s="129">
        <f>IFERROR(D202/$AI202,"")</f>
        <v/>
      </c>
      <c r="AR202" s="129">
        <f>IFERROR(E202/$AI202,"")</f>
        <v/>
      </c>
      <c r="AS202" s="129">
        <f>IFERROR(H202/$AI202,"")</f>
        <v/>
      </c>
      <c r="AT202" s="129">
        <f>IFERROR(I202/$AI202,"")</f>
        <v/>
      </c>
      <c r="AU202" s="129">
        <f>IFERROR(J202/$AI202,"")</f>
        <v/>
      </c>
      <c r="AV202" s="129">
        <f>IFERROR(K202/$AI202,"")</f>
        <v/>
      </c>
      <c r="AW202" s="129">
        <f>IFERROR(L202/$AI202,"")</f>
        <v/>
      </c>
      <c r="AX202" s="129">
        <f>IFERROR(M202/$AI202,"")</f>
        <v/>
      </c>
      <c r="AY202" s="129">
        <f>IFERROR(N202/$AI202,"")</f>
        <v/>
      </c>
      <c r="AZ202" s="129">
        <f>IFERROR(O202/$AI202,"")</f>
        <v/>
      </c>
      <c r="BA202" s="129">
        <f>IFERROR(P202/$AI202,"")</f>
        <v/>
      </c>
      <c r="BB202" s="129">
        <f>IFERROR(AG202/$AI202,"")</f>
        <v/>
      </c>
      <c r="BC202" s="129" t="n"/>
      <c r="BD202" s="129">
        <f>IFERROR(AH202/$AI202,"")</f>
        <v/>
      </c>
      <c r="BE202" s="129">
        <f>IFERROR(R202/$AI202,"")</f>
        <v/>
      </c>
      <c r="BF202" s="129">
        <f>IFERROR(S202/$AI202,"")</f>
        <v/>
      </c>
      <c r="BG202" s="129">
        <f>IFERROR(T202/$AI202,"")</f>
        <v/>
      </c>
      <c r="BH202" s="129">
        <f>IFERROR(U202/$AI202,"")</f>
        <v/>
      </c>
      <c r="BI202" s="129">
        <f>IFERROR(V202/$AI202,"")</f>
        <v/>
      </c>
      <c r="BJ202" s="129">
        <f>IFERROR(W202/$AI202,"")</f>
        <v/>
      </c>
      <c r="BK202" s="129">
        <f>IFERROR(X202/$AI202,"")</f>
        <v/>
      </c>
      <c r="BL202" s="129">
        <f>IFERROR(Y202/$AI202,"")</f>
        <v/>
      </c>
      <c r="BM202" s="129">
        <f>IFERROR(Z202/$AI202,"")</f>
        <v/>
      </c>
      <c r="BN202" s="129">
        <f>IFERROR(AA202/$AI202,"")</f>
        <v/>
      </c>
      <c r="BO202" s="129">
        <f>IFERROR(AB202/$AI202,"")</f>
        <v/>
      </c>
      <c r="BP202" s="129">
        <f>IFERROR(AC202/$AI202,"")</f>
        <v/>
      </c>
      <c r="BQ202" s="129">
        <f>IFERROR(AD202/$AI202,"")</f>
        <v/>
      </c>
      <c r="BR202" s="129">
        <f>IFERROR(AE202/$AI202,"")</f>
        <v/>
      </c>
      <c r="BS202" s="129">
        <f>IFERROR(AF202/$AI202,"")</f>
        <v/>
      </c>
      <c r="BT202" s="129">
        <f>IFERROR(AG202/$AI202,"")</f>
        <v/>
      </c>
      <c r="BU202" s="129">
        <f>IFERROR(AH202/$AI202,"")</f>
        <v/>
      </c>
      <c r="BV202" s="126">
        <f>SUM(AQ202:BD202)</f>
        <v/>
      </c>
      <c r="BW202" s="126">
        <f>SUM(BE202:BU202)</f>
        <v/>
      </c>
      <c r="BX202" s="126">
        <f>SUM(AQ202:AU202)</f>
        <v/>
      </c>
    </row>
    <row r="203">
      <c r="B203" s="127" t="n"/>
      <c r="C203" s="125" t="n"/>
      <c r="D203" s="125" t="n"/>
      <c r="E203" s="125" t="n"/>
      <c r="F203" s="125" t="n"/>
      <c r="G203" s="125" t="n"/>
      <c r="H203" s="125" t="n"/>
      <c r="I203" s="125" t="n"/>
      <c r="J203" s="125" t="n"/>
      <c r="K203" s="125" t="n"/>
      <c r="L203" s="125" t="n"/>
      <c r="M203" s="125" t="n"/>
      <c r="N203" s="125" t="n"/>
      <c r="O203" s="125" t="n"/>
      <c r="P203" s="125" t="n"/>
      <c r="Q203" s="125" t="n"/>
      <c r="R203" s="125" t="n"/>
      <c r="S203" s="125" t="n"/>
      <c r="T203" s="125" t="n"/>
      <c r="U203" s="125" t="n"/>
      <c r="V203" s="125" t="n"/>
      <c r="W203" s="125" t="n"/>
      <c r="X203" s="125" t="n"/>
      <c r="Y203" s="125" t="n"/>
      <c r="Z203" s="125" t="n"/>
      <c r="AA203" s="125" t="n"/>
      <c r="AB203" s="125" t="n"/>
      <c r="AC203" s="125" t="n"/>
      <c r="AD203" s="125" t="n"/>
      <c r="AE203" s="125" t="n"/>
      <c r="AF203" s="125" t="n"/>
      <c r="AG203" s="125" t="n"/>
      <c r="AH203" s="125" t="n"/>
      <c r="AI203" s="127">
        <f>SUM(D203:AG203,AH203)</f>
        <v/>
      </c>
      <c r="AJ203" s="126">
        <f>(SUM($D203:$Q203))/AI203</f>
        <v/>
      </c>
      <c r="AK203" s="126">
        <f>(SUM($D203:$H203))/AI203</f>
        <v/>
      </c>
      <c r="AL203" s="126">
        <f>(SUM($R203:$AH203))/AI203</f>
        <v/>
      </c>
      <c r="AM203" s="126" t="n"/>
      <c r="AN203" s="125">
        <f>YEAR(C203)</f>
        <v/>
      </c>
      <c r="AO203" s="125">
        <f>MONTH(C203)</f>
        <v/>
      </c>
      <c r="AP203" s="125">
        <f>WEEKNUM(C203,2)</f>
        <v/>
      </c>
      <c r="AQ203" s="129">
        <f>IFERROR(D203/$AI203,"")</f>
        <v/>
      </c>
      <c r="AR203" s="129">
        <f>IFERROR(E203/$AI203,"")</f>
        <v/>
      </c>
      <c r="AS203" s="129">
        <f>IFERROR(H203/$AI203,"")</f>
        <v/>
      </c>
      <c r="AT203" s="129">
        <f>IFERROR(I203/$AI203,"")</f>
        <v/>
      </c>
      <c r="AU203" s="129">
        <f>IFERROR(J203/$AI203,"")</f>
        <v/>
      </c>
      <c r="AV203" s="129">
        <f>IFERROR(K203/$AI203,"")</f>
        <v/>
      </c>
      <c r="AW203" s="129">
        <f>IFERROR(L203/$AI203,"")</f>
        <v/>
      </c>
      <c r="AX203" s="129">
        <f>IFERROR(M203/$AI203,"")</f>
        <v/>
      </c>
      <c r="AY203" s="129">
        <f>IFERROR(N203/$AI203,"")</f>
        <v/>
      </c>
      <c r="AZ203" s="129">
        <f>IFERROR(O203/$AI203,"")</f>
        <v/>
      </c>
      <c r="BA203" s="129">
        <f>IFERROR(P203/$AI203,"")</f>
        <v/>
      </c>
      <c r="BB203" s="129">
        <f>IFERROR(AG203/$AI203,"")</f>
        <v/>
      </c>
      <c r="BC203" s="129" t="n"/>
      <c r="BD203" s="129">
        <f>IFERROR(AH203/$AI203,"")</f>
        <v/>
      </c>
      <c r="BE203" s="129">
        <f>IFERROR(R203/$AI203,"")</f>
        <v/>
      </c>
      <c r="BF203" s="129">
        <f>IFERROR(S203/$AI203,"")</f>
        <v/>
      </c>
      <c r="BG203" s="129">
        <f>IFERROR(T203/$AI203,"")</f>
        <v/>
      </c>
      <c r="BH203" s="129">
        <f>IFERROR(U203/$AI203,"")</f>
        <v/>
      </c>
      <c r="BI203" s="129">
        <f>IFERROR(V203/$AI203,"")</f>
        <v/>
      </c>
      <c r="BJ203" s="129">
        <f>IFERROR(W203/$AI203,"")</f>
        <v/>
      </c>
      <c r="BK203" s="129">
        <f>IFERROR(X203/$AI203,"")</f>
        <v/>
      </c>
      <c r="BL203" s="129">
        <f>IFERROR(Y203/$AI203,"")</f>
        <v/>
      </c>
      <c r="BM203" s="129">
        <f>IFERROR(Z203/$AI203,"")</f>
        <v/>
      </c>
      <c r="BN203" s="129">
        <f>IFERROR(AA203/$AI203,"")</f>
        <v/>
      </c>
      <c r="BO203" s="129">
        <f>IFERROR(AB203/$AI203,"")</f>
        <v/>
      </c>
      <c r="BP203" s="129">
        <f>IFERROR(AC203/$AI203,"")</f>
        <v/>
      </c>
      <c r="BQ203" s="129">
        <f>IFERROR(AD203/$AI203,"")</f>
        <v/>
      </c>
      <c r="BR203" s="129">
        <f>IFERROR(AE203/$AI203,"")</f>
        <v/>
      </c>
      <c r="BS203" s="129">
        <f>IFERROR(AF203/$AI203,"")</f>
        <v/>
      </c>
      <c r="BT203" s="129">
        <f>IFERROR(AG203/$AI203,"")</f>
        <v/>
      </c>
      <c r="BU203" s="129">
        <f>IFERROR(AH203/$AI203,"")</f>
        <v/>
      </c>
      <c r="BV203" s="126">
        <f>SUM(AQ203:BD203)</f>
        <v/>
      </c>
      <c r="BW203" s="126">
        <f>SUM(BE203:BU203)</f>
        <v/>
      </c>
      <c r="BX203" s="126">
        <f>SUM(AQ203:AU203)</f>
        <v/>
      </c>
    </row>
    <row r="204">
      <c r="B204" s="127" t="n"/>
      <c r="C204" s="125" t="n"/>
      <c r="D204" s="125" t="n"/>
      <c r="E204" s="125" t="n"/>
      <c r="F204" s="125" t="n"/>
      <c r="G204" s="125" t="n"/>
      <c r="H204" s="125" t="n"/>
      <c r="I204" s="125" t="n"/>
      <c r="J204" s="125" t="n"/>
      <c r="K204" s="125" t="n"/>
      <c r="L204" s="125" t="n"/>
      <c r="M204" s="125" t="n"/>
      <c r="N204" s="125" t="n"/>
      <c r="O204" s="125" t="n"/>
      <c r="P204" s="125" t="n"/>
      <c r="Q204" s="125" t="n"/>
      <c r="R204" s="125" t="n"/>
      <c r="S204" s="125" t="n"/>
      <c r="T204" s="125" t="n"/>
      <c r="U204" s="125" t="n"/>
      <c r="V204" s="125" t="n"/>
      <c r="W204" s="125" t="n"/>
      <c r="X204" s="125" t="n"/>
      <c r="Y204" s="125" t="n"/>
      <c r="Z204" s="125" t="n"/>
      <c r="AA204" s="125" t="n"/>
      <c r="AB204" s="125" t="n"/>
      <c r="AC204" s="125" t="n"/>
      <c r="AD204" s="125" t="n"/>
      <c r="AE204" s="125" t="n"/>
      <c r="AF204" s="125" t="n"/>
      <c r="AG204" s="125" t="n"/>
      <c r="AH204" s="125" t="n"/>
      <c r="AI204" s="127">
        <f>SUM(D204:AG204,AH204)</f>
        <v/>
      </c>
      <c r="AJ204" s="126">
        <f>(SUM($D204:$Q204))/AI204</f>
        <v/>
      </c>
      <c r="AK204" s="126">
        <f>(SUM($D204:$H204))/AI204</f>
        <v/>
      </c>
      <c r="AL204" s="126">
        <f>(SUM($R204:$AH204))/AI204</f>
        <v/>
      </c>
      <c r="AM204" s="126" t="n"/>
      <c r="AN204" s="125">
        <f>YEAR(C204)</f>
        <v/>
      </c>
      <c r="AO204" s="125">
        <f>MONTH(C204)</f>
        <v/>
      </c>
      <c r="AP204" s="125">
        <f>WEEKNUM(C204,2)</f>
        <v/>
      </c>
      <c r="AQ204" s="129">
        <f>IFERROR(D204/$AI204,"")</f>
        <v/>
      </c>
      <c r="AR204" s="129">
        <f>IFERROR(E204/$AI204,"")</f>
        <v/>
      </c>
      <c r="AS204" s="129">
        <f>IFERROR(H204/$AI204,"")</f>
        <v/>
      </c>
      <c r="AT204" s="129">
        <f>IFERROR(I204/$AI204,"")</f>
        <v/>
      </c>
      <c r="AU204" s="129">
        <f>IFERROR(J204/$AI204,"")</f>
        <v/>
      </c>
      <c r="AV204" s="129">
        <f>IFERROR(K204/$AI204,"")</f>
        <v/>
      </c>
      <c r="AW204" s="129">
        <f>IFERROR(L204/$AI204,"")</f>
        <v/>
      </c>
      <c r="AX204" s="129">
        <f>IFERROR(M204/$AI204,"")</f>
        <v/>
      </c>
      <c r="AY204" s="129">
        <f>IFERROR(N204/$AI204,"")</f>
        <v/>
      </c>
      <c r="AZ204" s="129">
        <f>IFERROR(O204/$AI204,"")</f>
        <v/>
      </c>
      <c r="BA204" s="129">
        <f>IFERROR(P204/$AI204,"")</f>
        <v/>
      </c>
      <c r="BB204" s="129">
        <f>IFERROR(AG204/$AI204,"")</f>
        <v/>
      </c>
      <c r="BC204" s="129" t="n"/>
      <c r="BD204" s="129">
        <f>IFERROR(AH204/$AI204,"")</f>
        <v/>
      </c>
      <c r="BE204" s="129">
        <f>IFERROR(R204/$AI204,"")</f>
        <v/>
      </c>
      <c r="BF204" s="129">
        <f>IFERROR(S204/$AI204,"")</f>
        <v/>
      </c>
      <c r="BG204" s="129">
        <f>IFERROR(T204/$AI204,"")</f>
        <v/>
      </c>
      <c r="BH204" s="129">
        <f>IFERROR(U204/$AI204,"")</f>
        <v/>
      </c>
      <c r="BI204" s="129">
        <f>IFERROR(V204/$AI204,"")</f>
        <v/>
      </c>
      <c r="BJ204" s="129">
        <f>IFERROR(W204/$AI204,"")</f>
        <v/>
      </c>
      <c r="BK204" s="129">
        <f>IFERROR(X204/$AI204,"")</f>
        <v/>
      </c>
      <c r="BL204" s="129">
        <f>IFERROR(Y204/$AI204,"")</f>
        <v/>
      </c>
      <c r="BM204" s="129">
        <f>IFERROR(Z204/$AI204,"")</f>
        <v/>
      </c>
      <c r="BN204" s="129">
        <f>IFERROR(AA204/$AI204,"")</f>
        <v/>
      </c>
      <c r="BO204" s="129">
        <f>IFERROR(AB204/$AI204,"")</f>
        <v/>
      </c>
      <c r="BP204" s="129">
        <f>IFERROR(AC204/$AI204,"")</f>
        <v/>
      </c>
      <c r="BQ204" s="129">
        <f>IFERROR(AD204/$AI204,"")</f>
        <v/>
      </c>
      <c r="BR204" s="129">
        <f>IFERROR(AE204/$AI204,"")</f>
        <v/>
      </c>
      <c r="BS204" s="129">
        <f>IFERROR(AF204/$AI204,"")</f>
        <v/>
      </c>
      <c r="BT204" s="129">
        <f>IFERROR(AG204/$AI204,"")</f>
        <v/>
      </c>
      <c r="BU204" s="129">
        <f>IFERROR(AH204/$AI204,"")</f>
        <v/>
      </c>
      <c r="BV204" s="126">
        <f>SUM(AQ204:BD204)</f>
        <v/>
      </c>
      <c r="BW204" s="126">
        <f>SUM(BE204:BU204)</f>
        <v/>
      </c>
      <c r="BX204" s="126">
        <f>SUM(AQ204:AU204)</f>
        <v/>
      </c>
    </row>
    <row r="205">
      <c r="B205" s="127" t="n"/>
      <c r="C205" s="125" t="n"/>
      <c r="D205" s="125" t="n"/>
      <c r="E205" s="125" t="n"/>
      <c r="F205" s="125" t="n"/>
      <c r="G205" s="125" t="n"/>
      <c r="H205" s="125" t="n"/>
      <c r="I205" s="125" t="n"/>
      <c r="J205" s="125" t="n"/>
      <c r="K205" s="125" t="n"/>
      <c r="L205" s="125" t="n"/>
      <c r="M205" s="125" t="n"/>
      <c r="N205" s="125" t="n"/>
      <c r="O205" s="125" t="n"/>
      <c r="P205" s="125" t="n"/>
      <c r="Q205" s="125" t="n"/>
      <c r="R205" s="125" t="n"/>
      <c r="S205" s="125" t="n"/>
      <c r="T205" s="125" t="n"/>
      <c r="U205" s="125" t="n"/>
      <c r="V205" s="125" t="n"/>
      <c r="W205" s="125" t="n"/>
      <c r="X205" s="125" t="n"/>
      <c r="Y205" s="125" t="n"/>
      <c r="Z205" s="125" t="n"/>
      <c r="AA205" s="125" t="n"/>
      <c r="AB205" s="125" t="n"/>
      <c r="AC205" s="125" t="n"/>
      <c r="AD205" s="125" t="n"/>
      <c r="AE205" s="125" t="n"/>
      <c r="AF205" s="125" t="n"/>
      <c r="AG205" s="125" t="n"/>
      <c r="AH205" s="125" t="n"/>
      <c r="AI205" s="127">
        <f>SUM(D205:AG205,AH205)</f>
        <v/>
      </c>
      <c r="AJ205" s="126">
        <f>(SUM($D205:$Q205))/AI205</f>
        <v/>
      </c>
      <c r="AK205" s="126">
        <f>(SUM($D205:$H205))/AI205</f>
        <v/>
      </c>
      <c r="AL205" s="126">
        <f>(SUM($R205:$AH205))/AI205</f>
        <v/>
      </c>
      <c r="AM205" s="126" t="n"/>
      <c r="AN205" s="125">
        <f>YEAR(C205)</f>
        <v/>
      </c>
      <c r="AO205" s="125">
        <f>MONTH(C205)</f>
        <v/>
      </c>
      <c r="AP205" s="125">
        <f>WEEKNUM(C205,2)</f>
        <v/>
      </c>
      <c r="AQ205" s="129">
        <f>IFERROR(D205/$AI205,"")</f>
        <v/>
      </c>
      <c r="AR205" s="129">
        <f>IFERROR(E205/$AI205,"")</f>
        <v/>
      </c>
      <c r="AS205" s="129">
        <f>IFERROR(H205/$AI205,"")</f>
        <v/>
      </c>
      <c r="AT205" s="129">
        <f>IFERROR(I205/$AI205,"")</f>
        <v/>
      </c>
      <c r="AU205" s="129">
        <f>IFERROR(J205/$AI205,"")</f>
        <v/>
      </c>
      <c r="AV205" s="129">
        <f>IFERROR(K205/$AI205,"")</f>
        <v/>
      </c>
      <c r="AW205" s="129">
        <f>IFERROR(L205/$AI205,"")</f>
        <v/>
      </c>
      <c r="AX205" s="129">
        <f>IFERROR(M205/$AI205,"")</f>
        <v/>
      </c>
      <c r="AY205" s="129">
        <f>IFERROR(N205/$AI205,"")</f>
        <v/>
      </c>
      <c r="AZ205" s="129">
        <f>IFERROR(O205/$AI205,"")</f>
        <v/>
      </c>
      <c r="BA205" s="129">
        <f>IFERROR(P205/$AI205,"")</f>
        <v/>
      </c>
      <c r="BB205" s="129">
        <f>IFERROR(AG205/$AI205,"")</f>
        <v/>
      </c>
      <c r="BC205" s="129" t="n"/>
      <c r="BD205" s="129">
        <f>IFERROR(AH205/$AI205,"")</f>
        <v/>
      </c>
      <c r="BE205" s="129">
        <f>IFERROR(R205/$AI205,"")</f>
        <v/>
      </c>
      <c r="BF205" s="129">
        <f>IFERROR(S205/$AI205,"")</f>
        <v/>
      </c>
      <c r="BG205" s="129">
        <f>IFERROR(T205/$AI205,"")</f>
        <v/>
      </c>
      <c r="BH205" s="129">
        <f>IFERROR(U205/$AI205,"")</f>
        <v/>
      </c>
      <c r="BI205" s="129">
        <f>IFERROR(V205/$AI205,"")</f>
        <v/>
      </c>
      <c r="BJ205" s="129">
        <f>IFERROR(W205/$AI205,"")</f>
        <v/>
      </c>
      <c r="BK205" s="129">
        <f>IFERROR(X205/$AI205,"")</f>
        <v/>
      </c>
      <c r="BL205" s="129">
        <f>IFERROR(Y205/$AI205,"")</f>
        <v/>
      </c>
      <c r="BM205" s="129">
        <f>IFERROR(Z205/$AI205,"")</f>
        <v/>
      </c>
      <c r="BN205" s="129">
        <f>IFERROR(AA205/$AI205,"")</f>
        <v/>
      </c>
      <c r="BO205" s="129">
        <f>IFERROR(AB205/$AI205,"")</f>
        <v/>
      </c>
      <c r="BP205" s="129">
        <f>IFERROR(AC205/$AI205,"")</f>
        <v/>
      </c>
      <c r="BQ205" s="129">
        <f>IFERROR(AD205/$AI205,"")</f>
        <v/>
      </c>
      <c r="BR205" s="129">
        <f>IFERROR(AE205/$AI205,"")</f>
        <v/>
      </c>
      <c r="BS205" s="129">
        <f>IFERROR(AF205/$AI205,"")</f>
        <v/>
      </c>
      <c r="BT205" s="129">
        <f>IFERROR(AG205/$AI205,"")</f>
        <v/>
      </c>
      <c r="BU205" s="129">
        <f>IFERROR(AH205/$AI205,"")</f>
        <v/>
      </c>
      <c r="BV205" s="126">
        <f>SUM(AQ205:BD205)</f>
        <v/>
      </c>
      <c r="BW205" s="126">
        <f>SUM(BE205:BU205)</f>
        <v/>
      </c>
      <c r="BX205" s="126">
        <f>SUM(AQ205:AU205)</f>
        <v/>
      </c>
    </row>
    <row r="206">
      <c r="B206" s="127" t="n"/>
      <c r="C206" s="125" t="n"/>
      <c r="D206" s="125" t="n"/>
      <c r="E206" s="125" t="n"/>
      <c r="F206" s="125" t="n"/>
      <c r="G206" s="125" t="n"/>
      <c r="H206" s="125" t="n"/>
      <c r="I206" s="125" t="n"/>
      <c r="J206" s="125" t="n"/>
      <c r="K206" s="125" t="n"/>
      <c r="L206" s="125" t="n"/>
      <c r="M206" s="125" t="n"/>
      <c r="N206" s="125" t="n"/>
      <c r="O206" s="125" t="n"/>
      <c r="P206" s="125" t="n"/>
      <c r="Q206" s="125" t="n"/>
      <c r="R206" s="125" t="n"/>
      <c r="S206" s="125" t="n"/>
      <c r="T206" s="125" t="n"/>
      <c r="U206" s="125" t="n"/>
      <c r="V206" s="125" t="n"/>
      <c r="W206" s="125" t="n"/>
      <c r="X206" s="125" t="n"/>
      <c r="Y206" s="125" t="n"/>
      <c r="Z206" s="125" t="n"/>
      <c r="AA206" s="125" t="n"/>
      <c r="AB206" s="125" t="n"/>
      <c r="AC206" s="125" t="n"/>
      <c r="AD206" s="125" t="n"/>
      <c r="AE206" s="125" t="n"/>
      <c r="AF206" s="125" t="n"/>
      <c r="AG206" s="125" t="n"/>
      <c r="AH206" s="125" t="n"/>
      <c r="AI206" s="127">
        <f>SUM(D206:AG206,AH206)</f>
        <v/>
      </c>
      <c r="AJ206" s="126">
        <f>(SUM($D206:$Q206))/AI206</f>
        <v/>
      </c>
      <c r="AK206" s="126">
        <f>(SUM($D206:$H206))/AI206</f>
        <v/>
      </c>
      <c r="AL206" s="126">
        <f>(SUM($R206:$AH206))/AI206</f>
        <v/>
      </c>
      <c r="AM206" s="126" t="n"/>
      <c r="AN206" s="125">
        <f>YEAR(C206)</f>
        <v/>
      </c>
      <c r="AO206" s="125">
        <f>MONTH(C206)</f>
        <v/>
      </c>
      <c r="AP206" s="125">
        <f>WEEKNUM(C206,2)</f>
        <v/>
      </c>
      <c r="AQ206" s="129">
        <f>IFERROR(D206/$AI206,"")</f>
        <v/>
      </c>
      <c r="AR206" s="129">
        <f>IFERROR(E206/$AI206,"")</f>
        <v/>
      </c>
      <c r="AS206" s="129">
        <f>IFERROR(H206/$AI206,"")</f>
        <v/>
      </c>
      <c r="AT206" s="129">
        <f>IFERROR(I206/$AI206,"")</f>
        <v/>
      </c>
      <c r="AU206" s="129">
        <f>IFERROR(J206/$AI206,"")</f>
        <v/>
      </c>
      <c r="AV206" s="129">
        <f>IFERROR(K206/$AI206,"")</f>
        <v/>
      </c>
      <c r="AW206" s="129">
        <f>IFERROR(L206/$AI206,"")</f>
        <v/>
      </c>
      <c r="AX206" s="129">
        <f>IFERROR(M206/$AI206,"")</f>
        <v/>
      </c>
      <c r="AY206" s="129">
        <f>IFERROR(N206/$AI206,"")</f>
        <v/>
      </c>
      <c r="AZ206" s="129">
        <f>IFERROR(O206/$AI206,"")</f>
        <v/>
      </c>
      <c r="BA206" s="129">
        <f>IFERROR(P206/$AI206,"")</f>
        <v/>
      </c>
      <c r="BB206" s="129">
        <f>IFERROR(AG206/$AI206,"")</f>
        <v/>
      </c>
      <c r="BC206" s="129" t="n"/>
      <c r="BD206" s="129">
        <f>IFERROR(AH206/$AI206,"")</f>
        <v/>
      </c>
      <c r="BE206" s="129">
        <f>IFERROR(R206/$AI206,"")</f>
        <v/>
      </c>
      <c r="BF206" s="129">
        <f>IFERROR(S206/$AI206,"")</f>
        <v/>
      </c>
      <c r="BG206" s="129">
        <f>IFERROR(T206/$AI206,"")</f>
        <v/>
      </c>
      <c r="BH206" s="129">
        <f>IFERROR(U206/$AI206,"")</f>
        <v/>
      </c>
      <c r="BI206" s="129">
        <f>IFERROR(V206/$AI206,"")</f>
        <v/>
      </c>
      <c r="BJ206" s="129">
        <f>IFERROR(W206/$AI206,"")</f>
        <v/>
      </c>
      <c r="BK206" s="129">
        <f>IFERROR(X206/$AI206,"")</f>
        <v/>
      </c>
      <c r="BL206" s="129">
        <f>IFERROR(Y206/$AI206,"")</f>
        <v/>
      </c>
      <c r="BM206" s="129">
        <f>IFERROR(Z206/$AI206,"")</f>
        <v/>
      </c>
      <c r="BN206" s="129">
        <f>IFERROR(AA206/$AI206,"")</f>
        <v/>
      </c>
      <c r="BO206" s="129">
        <f>IFERROR(AB206/$AI206,"")</f>
        <v/>
      </c>
      <c r="BP206" s="129">
        <f>IFERROR(AC206/$AI206,"")</f>
        <v/>
      </c>
      <c r="BQ206" s="129">
        <f>IFERROR(AD206/$AI206,"")</f>
        <v/>
      </c>
      <c r="BR206" s="129">
        <f>IFERROR(AE206/$AI206,"")</f>
        <v/>
      </c>
      <c r="BS206" s="129">
        <f>IFERROR(AF206/$AI206,"")</f>
        <v/>
      </c>
      <c r="BT206" s="129">
        <f>IFERROR(AG206/$AI206,"")</f>
        <v/>
      </c>
      <c r="BU206" s="129">
        <f>IFERROR(AH206/$AI206,"")</f>
        <v/>
      </c>
      <c r="BV206" s="126">
        <f>SUM(AQ206:BD206)</f>
        <v/>
      </c>
      <c r="BW206" s="126">
        <f>SUM(BE206:BU206)</f>
        <v/>
      </c>
      <c r="BX206" s="126">
        <f>SUM(AQ206:AU206)</f>
        <v/>
      </c>
    </row>
    <row r="207">
      <c r="B207" s="127" t="n"/>
      <c r="C207" s="125" t="n"/>
      <c r="D207" s="125" t="n"/>
      <c r="E207" s="125" t="n"/>
      <c r="F207" s="125" t="n"/>
      <c r="G207" s="125" t="n"/>
      <c r="H207" s="125" t="n"/>
      <c r="I207" s="125" t="n"/>
      <c r="J207" s="125" t="n"/>
      <c r="K207" s="125" t="n"/>
      <c r="L207" s="125" t="n"/>
      <c r="M207" s="125" t="n"/>
      <c r="N207" s="125" t="n"/>
      <c r="O207" s="125" t="n"/>
      <c r="P207" s="125" t="n"/>
      <c r="Q207" s="125" t="n"/>
      <c r="R207" s="125" t="n"/>
      <c r="S207" s="125" t="n"/>
      <c r="T207" s="125" t="n"/>
      <c r="U207" s="125" t="n"/>
      <c r="V207" s="125" t="n"/>
      <c r="W207" s="125" t="n"/>
      <c r="X207" s="125" t="n"/>
      <c r="Y207" s="125" t="n"/>
      <c r="Z207" s="125" t="n"/>
      <c r="AA207" s="125" t="n"/>
      <c r="AB207" s="125" t="n"/>
      <c r="AC207" s="125" t="n"/>
      <c r="AD207" s="125" t="n"/>
      <c r="AE207" s="125" t="n"/>
      <c r="AF207" s="125" t="n"/>
      <c r="AG207" s="125" t="n"/>
      <c r="AH207" s="125" t="n"/>
      <c r="AI207" s="127">
        <f>SUM(D207:AG207,AH207)</f>
        <v/>
      </c>
      <c r="AJ207" s="126">
        <f>(SUM($D207:$Q207))/AI207</f>
        <v/>
      </c>
      <c r="AK207" s="126">
        <f>(SUM($D207:$H207))/AI207</f>
        <v/>
      </c>
      <c r="AL207" s="126">
        <f>(SUM($R207:$AH207))/AI207</f>
        <v/>
      </c>
      <c r="AM207" s="126" t="n"/>
      <c r="AN207" s="125">
        <f>YEAR(C207)</f>
        <v/>
      </c>
      <c r="AO207" s="125">
        <f>MONTH(C207)</f>
        <v/>
      </c>
      <c r="AP207" s="125">
        <f>WEEKNUM(C207,2)</f>
        <v/>
      </c>
      <c r="AQ207" s="129">
        <f>IFERROR(D207/$AI207,"")</f>
        <v/>
      </c>
      <c r="AR207" s="129">
        <f>IFERROR(E207/$AI207,"")</f>
        <v/>
      </c>
      <c r="AS207" s="129">
        <f>IFERROR(H207/$AI207,"")</f>
        <v/>
      </c>
      <c r="AT207" s="129">
        <f>IFERROR(I207/$AI207,"")</f>
        <v/>
      </c>
      <c r="AU207" s="129">
        <f>IFERROR(J207/$AI207,"")</f>
        <v/>
      </c>
      <c r="AV207" s="129">
        <f>IFERROR(K207/$AI207,"")</f>
        <v/>
      </c>
      <c r="AW207" s="129">
        <f>IFERROR(L207/$AI207,"")</f>
        <v/>
      </c>
      <c r="AX207" s="129">
        <f>IFERROR(M207/$AI207,"")</f>
        <v/>
      </c>
      <c r="AY207" s="129">
        <f>IFERROR(N207/$AI207,"")</f>
        <v/>
      </c>
      <c r="AZ207" s="129">
        <f>IFERROR(O207/$AI207,"")</f>
        <v/>
      </c>
      <c r="BA207" s="129">
        <f>IFERROR(P207/$AI207,"")</f>
        <v/>
      </c>
      <c r="BB207" s="129">
        <f>IFERROR(AG207/$AI207,"")</f>
        <v/>
      </c>
      <c r="BC207" s="129" t="n"/>
      <c r="BD207" s="129">
        <f>IFERROR(AH207/$AI207,"")</f>
        <v/>
      </c>
      <c r="BE207" s="129">
        <f>IFERROR(R207/$AI207,"")</f>
        <v/>
      </c>
      <c r="BF207" s="129">
        <f>IFERROR(S207/$AI207,"")</f>
        <v/>
      </c>
      <c r="BG207" s="129">
        <f>IFERROR(T207/$AI207,"")</f>
        <v/>
      </c>
      <c r="BH207" s="129">
        <f>IFERROR(U207/$AI207,"")</f>
        <v/>
      </c>
      <c r="BI207" s="129">
        <f>IFERROR(V207/$AI207,"")</f>
        <v/>
      </c>
      <c r="BJ207" s="129">
        <f>IFERROR(W207/$AI207,"")</f>
        <v/>
      </c>
      <c r="BK207" s="129">
        <f>IFERROR(X207/$AI207,"")</f>
        <v/>
      </c>
      <c r="BL207" s="129">
        <f>IFERROR(Y207/$AI207,"")</f>
        <v/>
      </c>
      <c r="BM207" s="129">
        <f>IFERROR(Z207/$AI207,"")</f>
        <v/>
      </c>
      <c r="BN207" s="129">
        <f>IFERROR(AA207/$AI207,"")</f>
        <v/>
      </c>
      <c r="BO207" s="129">
        <f>IFERROR(AB207/$AI207,"")</f>
        <v/>
      </c>
      <c r="BP207" s="129">
        <f>IFERROR(AC207/$AI207,"")</f>
        <v/>
      </c>
      <c r="BQ207" s="129">
        <f>IFERROR(AD207/$AI207,"")</f>
        <v/>
      </c>
      <c r="BR207" s="129">
        <f>IFERROR(AE207/$AI207,"")</f>
        <v/>
      </c>
      <c r="BS207" s="129">
        <f>IFERROR(AF207/$AI207,"")</f>
        <v/>
      </c>
      <c r="BT207" s="129">
        <f>IFERROR(AG207/$AI207,"")</f>
        <v/>
      </c>
      <c r="BU207" s="129">
        <f>IFERROR(AH207/$AI207,"")</f>
        <v/>
      </c>
      <c r="BV207" s="126">
        <f>SUM(AQ207:BD207)</f>
        <v/>
      </c>
      <c r="BW207" s="126">
        <f>SUM(BE207:BU207)</f>
        <v/>
      </c>
      <c r="BX207" s="126">
        <f>SUM(AQ207:AU207)</f>
        <v/>
      </c>
    </row>
    <row r="208">
      <c r="B208" s="127" t="n"/>
      <c r="C208" s="125" t="n"/>
      <c r="D208" s="125" t="n"/>
      <c r="E208" s="125" t="n"/>
      <c r="F208" s="125" t="n"/>
      <c r="G208" s="125" t="n"/>
      <c r="H208" s="125" t="n"/>
      <c r="I208" s="125" t="n"/>
      <c r="J208" s="125" t="n"/>
      <c r="K208" s="125" t="n"/>
      <c r="L208" s="125" t="n"/>
      <c r="M208" s="125" t="n"/>
      <c r="N208" s="125" t="n"/>
      <c r="O208" s="125" t="n"/>
      <c r="P208" s="125" t="n"/>
      <c r="Q208" s="125" t="n"/>
      <c r="R208" s="125" t="n"/>
      <c r="S208" s="125" t="n"/>
      <c r="T208" s="125" t="n"/>
      <c r="U208" s="125" t="n"/>
      <c r="V208" s="125" t="n"/>
      <c r="W208" s="125" t="n"/>
      <c r="X208" s="125" t="n"/>
      <c r="Y208" s="125" t="n"/>
      <c r="Z208" s="125" t="n"/>
      <c r="AA208" s="125" t="n"/>
      <c r="AB208" s="125" t="n"/>
      <c r="AC208" s="125" t="n"/>
      <c r="AD208" s="125" t="n"/>
      <c r="AE208" s="125" t="n"/>
      <c r="AF208" s="125" t="n"/>
      <c r="AG208" s="125" t="n"/>
      <c r="AH208" s="125" t="n"/>
      <c r="AI208" s="127">
        <f>SUM(D208:AG208,AH208)</f>
        <v/>
      </c>
      <c r="AJ208" s="126">
        <f>(SUM($D208:$Q208))/AI208</f>
        <v/>
      </c>
      <c r="AK208" s="126">
        <f>(SUM($D208:$H208))/AI208</f>
        <v/>
      </c>
      <c r="AL208" s="126">
        <f>(SUM($R208:$AH208))/AI208</f>
        <v/>
      </c>
      <c r="AM208" s="126" t="n"/>
      <c r="AN208" s="125">
        <f>YEAR(C208)</f>
        <v/>
      </c>
      <c r="AO208" s="125">
        <f>MONTH(C208)</f>
        <v/>
      </c>
      <c r="AP208" s="125">
        <f>WEEKNUM(C208,2)</f>
        <v/>
      </c>
      <c r="AQ208" s="129">
        <f>IFERROR(D208/$AI208,"")</f>
        <v/>
      </c>
      <c r="AR208" s="129">
        <f>IFERROR(E208/$AI208,"")</f>
        <v/>
      </c>
      <c r="AS208" s="129">
        <f>IFERROR(H208/$AI208,"")</f>
        <v/>
      </c>
      <c r="AT208" s="129">
        <f>IFERROR(I208/$AI208,"")</f>
        <v/>
      </c>
      <c r="AU208" s="129">
        <f>IFERROR(J208/$AI208,"")</f>
        <v/>
      </c>
      <c r="AV208" s="129">
        <f>IFERROR(K208/$AI208,"")</f>
        <v/>
      </c>
      <c r="AW208" s="129">
        <f>IFERROR(L208/$AI208,"")</f>
        <v/>
      </c>
      <c r="AX208" s="129">
        <f>IFERROR(M208/$AI208,"")</f>
        <v/>
      </c>
      <c r="AY208" s="129">
        <f>IFERROR(N208/$AI208,"")</f>
        <v/>
      </c>
      <c r="AZ208" s="129">
        <f>IFERROR(O208/$AI208,"")</f>
        <v/>
      </c>
      <c r="BA208" s="129">
        <f>IFERROR(P208/$AI208,"")</f>
        <v/>
      </c>
      <c r="BB208" s="129">
        <f>IFERROR(AG208/$AI208,"")</f>
        <v/>
      </c>
      <c r="BC208" s="129" t="n"/>
      <c r="BD208" s="129">
        <f>IFERROR(AH208/$AI208,"")</f>
        <v/>
      </c>
      <c r="BE208" s="129">
        <f>IFERROR(R208/$AI208,"")</f>
        <v/>
      </c>
      <c r="BF208" s="129">
        <f>IFERROR(S208/$AI208,"")</f>
        <v/>
      </c>
      <c r="BG208" s="129">
        <f>IFERROR(T208/$AI208,"")</f>
        <v/>
      </c>
      <c r="BH208" s="129">
        <f>IFERROR(U208/$AI208,"")</f>
        <v/>
      </c>
      <c r="BI208" s="129">
        <f>IFERROR(V208/$AI208,"")</f>
        <v/>
      </c>
      <c r="BJ208" s="129">
        <f>IFERROR(W208/$AI208,"")</f>
        <v/>
      </c>
      <c r="BK208" s="129">
        <f>IFERROR(X208/$AI208,"")</f>
        <v/>
      </c>
      <c r="BL208" s="129">
        <f>IFERROR(Y208/$AI208,"")</f>
        <v/>
      </c>
      <c r="BM208" s="129">
        <f>IFERROR(Z208/$AI208,"")</f>
        <v/>
      </c>
      <c r="BN208" s="129">
        <f>IFERROR(AA208/$AI208,"")</f>
        <v/>
      </c>
      <c r="BO208" s="129">
        <f>IFERROR(AB208/$AI208,"")</f>
        <v/>
      </c>
      <c r="BP208" s="129">
        <f>IFERROR(AC208/$AI208,"")</f>
        <v/>
      </c>
      <c r="BQ208" s="129">
        <f>IFERROR(AD208/$AI208,"")</f>
        <v/>
      </c>
      <c r="BR208" s="129">
        <f>IFERROR(AE208/$AI208,"")</f>
        <v/>
      </c>
      <c r="BS208" s="129">
        <f>IFERROR(AF208/$AI208,"")</f>
        <v/>
      </c>
      <c r="BT208" s="129">
        <f>IFERROR(AG208/$AI208,"")</f>
        <v/>
      </c>
      <c r="BU208" s="129">
        <f>IFERROR(AH208/$AI208,"")</f>
        <v/>
      </c>
      <c r="BV208" s="126">
        <f>SUM(AQ208:BD208)</f>
        <v/>
      </c>
      <c r="BW208" s="126">
        <f>SUM(BE208:BU208)</f>
        <v/>
      </c>
      <c r="BX208" s="126">
        <f>SUM(AQ208:AU208)</f>
        <v/>
      </c>
    </row>
    <row r="209">
      <c r="B209" s="127" t="n"/>
      <c r="C209" s="125" t="n"/>
      <c r="D209" s="125" t="n"/>
      <c r="E209" s="125" t="n"/>
      <c r="F209" s="125" t="n"/>
      <c r="G209" s="125" t="n"/>
      <c r="H209" s="125" t="n"/>
      <c r="I209" s="125" t="n"/>
      <c r="J209" s="125" t="n"/>
      <c r="K209" s="125" t="n"/>
      <c r="L209" s="125" t="n"/>
      <c r="M209" s="125" t="n"/>
      <c r="N209" s="125" t="n"/>
      <c r="O209" s="125" t="n"/>
      <c r="P209" s="125" t="n"/>
      <c r="Q209" s="125" t="n"/>
      <c r="R209" s="125" t="n"/>
      <c r="S209" s="125" t="n"/>
      <c r="T209" s="125" t="n"/>
      <c r="U209" s="125" t="n"/>
      <c r="V209" s="125" t="n"/>
      <c r="W209" s="125" t="n"/>
      <c r="X209" s="125" t="n"/>
      <c r="Y209" s="125" t="n"/>
      <c r="Z209" s="125" t="n"/>
      <c r="AA209" s="125" t="n"/>
      <c r="AB209" s="125" t="n"/>
      <c r="AC209" s="125" t="n"/>
      <c r="AD209" s="125" t="n"/>
      <c r="AE209" s="125" t="n"/>
      <c r="AF209" s="125" t="n"/>
      <c r="AG209" s="125" t="n"/>
      <c r="AH209" s="125" t="n"/>
      <c r="AI209" s="127">
        <f>SUM(D209:AG209,AH209)</f>
        <v/>
      </c>
      <c r="AJ209" s="126">
        <f>(SUM($D209:$Q209))/AI209</f>
        <v/>
      </c>
      <c r="AK209" s="126">
        <f>(SUM($D209:$H209))/AI209</f>
        <v/>
      </c>
      <c r="AL209" s="126">
        <f>(SUM($R209:$AH209))/AI209</f>
        <v/>
      </c>
      <c r="AM209" s="126" t="n"/>
      <c r="AN209" s="125">
        <f>YEAR(C209)</f>
        <v/>
      </c>
      <c r="AO209" s="125">
        <f>MONTH(C209)</f>
        <v/>
      </c>
      <c r="AP209" s="125">
        <f>WEEKNUM(C209,2)</f>
        <v/>
      </c>
      <c r="AQ209" s="129">
        <f>IFERROR(D209/$AI209,"")</f>
        <v/>
      </c>
      <c r="AR209" s="129">
        <f>IFERROR(E209/$AI209,"")</f>
        <v/>
      </c>
      <c r="AS209" s="129">
        <f>IFERROR(H209/$AI209,"")</f>
        <v/>
      </c>
      <c r="AT209" s="129">
        <f>IFERROR(I209/$AI209,"")</f>
        <v/>
      </c>
      <c r="AU209" s="129">
        <f>IFERROR(J209/$AI209,"")</f>
        <v/>
      </c>
      <c r="AV209" s="129">
        <f>IFERROR(K209/$AI209,"")</f>
        <v/>
      </c>
      <c r="AW209" s="129">
        <f>IFERROR(L209/$AI209,"")</f>
        <v/>
      </c>
      <c r="AX209" s="129">
        <f>IFERROR(M209/$AI209,"")</f>
        <v/>
      </c>
      <c r="AY209" s="129">
        <f>IFERROR(N209/$AI209,"")</f>
        <v/>
      </c>
      <c r="AZ209" s="129">
        <f>IFERROR(O209/$AI209,"")</f>
        <v/>
      </c>
      <c r="BA209" s="129">
        <f>IFERROR(P209/$AI209,"")</f>
        <v/>
      </c>
      <c r="BB209" s="129">
        <f>IFERROR(AG209/$AI209,"")</f>
        <v/>
      </c>
      <c r="BC209" s="129" t="n"/>
      <c r="BD209" s="129">
        <f>IFERROR(AH209/$AI209,"")</f>
        <v/>
      </c>
      <c r="BE209" s="129">
        <f>IFERROR(R209/$AI209,"")</f>
        <v/>
      </c>
      <c r="BF209" s="129">
        <f>IFERROR(S209/$AI209,"")</f>
        <v/>
      </c>
      <c r="BG209" s="129">
        <f>IFERROR(T209/$AI209,"")</f>
        <v/>
      </c>
      <c r="BH209" s="129">
        <f>IFERROR(U209/$AI209,"")</f>
        <v/>
      </c>
      <c r="BI209" s="129">
        <f>IFERROR(V209/$AI209,"")</f>
        <v/>
      </c>
      <c r="BJ209" s="129">
        <f>IFERROR(W209/$AI209,"")</f>
        <v/>
      </c>
      <c r="BK209" s="129">
        <f>IFERROR(X209/$AI209,"")</f>
        <v/>
      </c>
      <c r="BL209" s="129">
        <f>IFERROR(Y209/$AI209,"")</f>
        <v/>
      </c>
      <c r="BM209" s="129">
        <f>IFERROR(Z209/$AI209,"")</f>
        <v/>
      </c>
      <c r="BN209" s="129">
        <f>IFERROR(AA209/$AI209,"")</f>
        <v/>
      </c>
      <c r="BO209" s="129">
        <f>IFERROR(AB209/$AI209,"")</f>
        <v/>
      </c>
      <c r="BP209" s="129">
        <f>IFERROR(AC209/$AI209,"")</f>
        <v/>
      </c>
      <c r="BQ209" s="129">
        <f>IFERROR(AD209/$AI209,"")</f>
        <v/>
      </c>
      <c r="BR209" s="129">
        <f>IFERROR(AE209/$AI209,"")</f>
        <v/>
      </c>
      <c r="BS209" s="129">
        <f>IFERROR(AF209/$AI209,"")</f>
        <v/>
      </c>
      <c r="BT209" s="129">
        <f>IFERROR(AG209/$AI209,"")</f>
        <v/>
      </c>
      <c r="BU209" s="129">
        <f>IFERROR(AH209/$AI209,"")</f>
        <v/>
      </c>
      <c r="BV209" s="126">
        <f>SUM(AQ209:BD209)</f>
        <v/>
      </c>
      <c r="BW209" s="126">
        <f>SUM(BE209:BU209)</f>
        <v/>
      </c>
      <c r="BX209" s="126">
        <f>SUM(AQ209:AU209)</f>
        <v/>
      </c>
    </row>
    <row r="210">
      <c r="B210" s="127" t="n"/>
      <c r="C210" s="125" t="n"/>
      <c r="D210" s="125" t="n"/>
      <c r="E210" s="125" t="n"/>
      <c r="F210" s="125" t="n"/>
      <c r="G210" s="125" t="n"/>
      <c r="H210" s="125" t="n"/>
      <c r="I210" s="125" t="n"/>
      <c r="J210" s="125" t="n"/>
      <c r="K210" s="125" t="n"/>
      <c r="L210" s="125" t="n"/>
      <c r="M210" s="125" t="n"/>
      <c r="N210" s="125" t="n"/>
      <c r="O210" s="125" t="n"/>
      <c r="P210" s="125" t="n"/>
      <c r="Q210" s="125" t="n"/>
      <c r="R210" s="125" t="n"/>
      <c r="S210" s="125" t="n"/>
      <c r="T210" s="125" t="n"/>
      <c r="U210" s="125" t="n"/>
      <c r="V210" s="125" t="n"/>
      <c r="W210" s="125" t="n"/>
      <c r="X210" s="125" t="n"/>
      <c r="Y210" s="125" t="n"/>
      <c r="Z210" s="125" t="n"/>
      <c r="AA210" s="125" t="n"/>
      <c r="AB210" s="125" t="n"/>
      <c r="AC210" s="125" t="n"/>
      <c r="AD210" s="125" t="n"/>
      <c r="AE210" s="125" t="n"/>
      <c r="AF210" s="125" t="n"/>
      <c r="AG210" s="125" t="n"/>
      <c r="AH210" s="125" t="n"/>
      <c r="AI210" s="127">
        <f>SUM(D210:AG210,AH210)</f>
        <v/>
      </c>
      <c r="AJ210" s="126">
        <f>(SUM($D210:$Q210))/AI210</f>
        <v/>
      </c>
      <c r="AK210" s="126">
        <f>(SUM($D210:$H210))/AI210</f>
        <v/>
      </c>
      <c r="AL210" s="126">
        <f>(SUM($R210:$AH210))/AI210</f>
        <v/>
      </c>
      <c r="AM210" s="126" t="n"/>
      <c r="AN210" s="125">
        <f>YEAR(C210)</f>
        <v/>
      </c>
      <c r="AO210" s="125">
        <f>MONTH(C210)</f>
        <v/>
      </c>
      <c r="AP210" s="125">
        <f>WEEKNUM(C210,2)</f>
        <v/>
      </c>
      <c r="AQ210" s="129">
        <f>IFERROR(D210/$AI210,"")</f>
        <v/>
      </c>
      <c r="AR210" s="129">
        <f>IFERROR(E210/$AI210,"")</f>
        <v/>
      </c>
      <c r="AS210" s="129">
        <f>IFERROR(H210/$AI210,"")</f>
        <v/>
      </c>
      <c r="AT210" s="129">
        <f>IFERROR(I210/$AI210,"")</f>
        <v/>
      </c>
      <c r="AU210" s="129">
        <f>IFERROR(J210/$AI210,"")</f>
        <v/>
      </c>
      <c r="AV210" s="129">
        <f>IFERROR(K210/$AI210,"")</f>
        <v/>
      </c>
      <c r="AW210" s="129">
        <f>IFERROR(L210/$AI210,"")</f>
        <v/>
      </c>
      <c r="AX210" s="129">
        <f>IFERROR(M210/$AI210,"")</f>
        <v/>
      </c>
      <c r="AY210" s="129">
        <f>IFERROR(N210/$AI210,"")</f>
        <v/>
      </c>
      <c r="AZ210" s="129">
        <f>IFERROR(O210/$AI210,"")</f>
        <v/>
      </c>
      <c r="BA210" s="129">
        <f>IFERROR(P210/$AI210,"")</f>
        <v/>
      </c>
      <c r="BB210" s="129">
        <f>IFERROR(AG210/$AI210,"")</f>
        <v/>
      </c>
      <c r="BC210" s="129" t="n"/>
      <c r="BD210" s="129">
        <f>IFERROR(AH210/$AI210,"")</f>
        <v/>
      </c>
      <c r="BE210" s="129">
        <f>IFERROR(R210/$AI210,"")</f>
        <v/>
      </c>
      <c r="BF210" s="129">
        <f>IFERROR(S210/$AI210,"")</f>
        <v/>
      </c>
      <c r="BG210" s="129">
        <f>IFERROR(T210/$AI210,"")</f>
        <v/>
      </c>
      <c r="BH210" s="129">
        <f>IFERROR(U210/$AI210,"")</f>
        <v/>
      </c>
      <c r="BI210" s="129">
        <f>IFERROR(V210/$AI210,"")</f>
        <v/>
      </c>
      <c r="BJ210" s="129">
        <f>IFERROR(W210/$AI210,"")</f>
        <v/>
      </c>
      <c r="BK210" s="129">
        <f>IFERROR(X210/$AI210,"")</f>
        <v/>
      </c>
      <c r="BL210" s="129">
        <f>IFERROR(Y210/$AI210,"")</f>
        <v/>
      </c>
      <c r="BM210" s="129">
        <f>IFERROR(Z210/$AI210,"")</f>
        <v/>
      </c>
      <c r="BN210" s="129">
        <f>IFERROR(AA210/$AI210,"")</f>
        <v/>
      </c>
      <c r="BO210" s="129">
        <f>IFERROR(AB210/$AI210,"")</f>
        <v/>
      </c>
      <c r="BP210" s="129">
        <f>IFERROR(AC210/$AI210,"")</f>
        <v/>
      </c>
      <c r="BQ210" s="129">
        <f>IFERROR(AD210/$AI210,"")</f>
        <v/>
      </c>
      <c r="BR210" s="129">
        <f>IFERROR(AE210/$AI210,"")</f>
        <v/>
      </c>
      <c r="BS210" s="129">
        <f>IFERROR(AF210/$AI210,"")</f>
        <v/>
      </c>
      <c r="BT210" s="129">
        <f>IFERROR(AG210/$AI210,"")</f>
        <v/>
      </c>
      <c r="BU210" s="129">
        <f>IFERROR(AH210/$AI210,"")</f>
        <v/>
      </c>
      <c r="BV210" s="126">
        <f>SUM(AQ210:BD210)</f>
        <v/>
      </c>
      <c r="BW210" s="126">
        <f>SUM(BE210:BU210)</f>
        <v/>
      </c>
      <c r="BX210" s="126">
        <f>SUM(AQ210:AU210)</f>
        <v/>
      </c>
    </row>
    <row r="211">
      <c r="B211" s="127" t="n"/>
      <c r="C211" s="125" t="n"/>
      <c r="D211" s="125" t="n"/>
      <c r="E211" s="125" t="n"/>
      <c r="F211" s="125" t="n"/>
      <c r="G211" s="125" t="n"/>
      <c r="H211" s="125" t="n"/>
      <c r="I211" s="125" t="n"/>
      <c r="J211" s="125" t="n"/>
      <c r="K211" s="125" t="n"/>
      <c r="L211" s="125" t="n"/>
      <c r="M211" s="125" t="n"/>
      <c r="N211" s="125" t="n"/>
      <c r="O211" s="125" t="n"/>
      <c r="P211" s="125" t="n"/>
      <c r="Q211" s="125" t="n"/>
      <c r="R211" s="125" t="n"/>
      <c r="S211" s="125" t="n"/>
      <c r="T211" s="125" t="n"/>
      <c r="U211" s="125" t="n"/>
      <c r="V211" s="125" t="n"/>
      <c r="W211" s="125" t="n"/>
      <c r="X211" s="125" t="n"/>
      <c r="Y211" s="125" t="n"/>
      <c r="Z211" s="125" t="n"/>
      <c r="AA211" s="125" t="n"/>
      <c r="AB211" s="125" t="n"/>
      <c r="AC211" s="125" t="n"/>
      <c r="AD211" s="125" t="n"/>
      <c r="AE211" s="125" t="n"/>
      <c r="AF211" s="125" t="n"/>
      <c r="AG211" s="125" t="n"/>
      <c r="AH211" s="125" t="n"/>
      <c r="AI211" s="127">
        <f>SUM(D211:AG211,AH211)</f>
        <v/>
      </c>
      <c r="AJ211" s="126">
        <f>(SUM($D211:$Q211))/AI211</f>
        <v/>
      </c>
      <c r="AK211" s="126">
        <f>(SUM($D211:$H211))/AI211</f>
        <v/>
      </c>
      <c r="AL211" s="126">
        <f>(SUM($R211:$AH211))/AI211</f>
        <v/>
      </c>
      <c r="AM211" s="126" t="n"/>
      <c r="AN211" s="125">
        <f>YEAR(C211)</f>
        <v/>
      </c>
      <c r="AO211" s="125">
        <f>MONTH(C211)</f>
        <v/>
      </c>
      <c r="AP211" s="125">
        <f>WEEKNUM(C211,2)</f>
        <v/>
      </c>
      <c r="AQ211" s="129">
        <f>IFERROR(D211/$AI211,"")</f>
        <v/>
      </c>
      <c r="AR211" s="129">
        <f>IFERROR(E211/$AI211,"")</f>
        <v/>
      </c>
      <c r="AS211" s="129">
        <f>IFERROR(H211/$AI211,"")</f>
        <v/>
      </c>
      <c r="AT211" s="129">
        <f>IFERROR(I211/$AI211,"")</f>
        <v/>
      </c>
      <c r="AU211" s="129">
        <f>IFERROR(J211/$AI211,"")</f>
        <v/>
      </c>
      <c r="AV211" s="129">
        <f>IFERROR(K211/$AI211,"")</f>
        <v/>
      </c>
      <c r="AW211" s="129">
        <f>IFERROR(L211/$AI211,"")</f>
        <v/>
      </c>
      <c r="AX211" s="129">
        <f>IFERROR(M211/$AI211,"")</f>
        <v/>
      </c>
      <c r="AY211" s="129">
        <f>IFERROR(N211/$AI211,"")</f>
        <v/>
      </c>
      <c r="AZ211" s="129">
        <f>IFERROR(O211/$AI211,"")</f>
        <v/>
      </c>
      <c r="BA211" s="129">
        <f>IFERROR(P211/$AI211,"")</f>
        <v/>
      </c>
      <c r="BB211" s="129">
        <f>IFERROR(AG211/$AI211,"")</f>
        <v/>
      </c>
      <c r="BC211" s="129" t="n"/>
      <c r="BD211" s="129">
        <f>IFERROR(AH211/$AI211,"")</f>
        <v/>
      </c>
      <c r="BE211" s="129">
        <f>IFERROR(R211/$AI211,"")</f>
        <v/>
      </c>
      <c r="BF211" s="129">
        <f>IFERROR(S211/$AI211,"")</f>
        <v/>
      </c>
      <c r="BG211" s="129">
        <f>IFERROR(T211/$AI211,"")</f>
        <v/>
      </c>
      <c r="BH211" s="129">
        <f>IFERROR(U211/$AI211,"")</f>
        <v/>
      </c>
      <c r="BI211" s="129">
        <f>IFERROR(V211/$AI211,"")</f>
        <v/>
      </c>
      <c r="BJ211" s="129">
        <f>IFERROR(W211/$AI211,"")</f>
        <v/>
      </c>
      <c r="BK211" s="129">
        <f>IFERROR(X211/$AI211,"")</f>
        <v/>
      </c>
      <c r="BL211" s="129">
        <f>IFERROR(Y211/$AI211,"")</f>
        <v/>
      </c>
      <c r="BM211" s="129">
        <f>IFERROR(Z211/$AI211,"")</f>
        <v/>
      </c>
      <c r="BN211" s="129">
        <f>IFERROR(AA211/$AI211,"")</f>
        <v/>
      </c>
      <c r="BO211" s="129">
        <f>IFERROR(AB211/$AI211,"")</f>
        <v/>
      </c>
      <c r="BP211" s="129">
        <f>IFERROR(AC211/$AI211,"")</f>
        <v/>
      </c>
      <c r="BQ211" s="129">
        <f>IFERROR(AD211/$AI211,"")</f>
        <v/>
      </c>
      <c r="BR211" s="129">
        <f>IFERROR(AE211/$AI211,"")</f>
        <v/>
      </c>
      <c r="BS211" s="129">
        <f>IFERROR(AF211/$AI211,"")</f>
        <v/>
      </c>
      <c r="BT211" s="129">
        <f>IFERROR(AG211/$AI211,"")</f>
        <v/>
      </c>
      <c r="BU211" s="129">
        <f>IFERROR(AH211/$AI211,"")</f>
        <v/>
      </c>
      <c r="BV211" s="126">
        <f>SUM(AQ211:BD211)</f>
        <v/>
      </c>
      <c r="BW211" s="126">
        <f>SUM(BE211:BU211)</f>
        <v/>
      </c>
      <c r="BX211" s="126">
        <f>SUM(AQ211:AU211)</f>
        <v/>
      </c>
    </row>
    <row r="212">
      <c r="B212" s="127" t="n"/>
      <c r="C212" s="125" t="n"/>
      <c r="D212" s="125" t="n"/>
      <c r="E212" s="125" t="n"/>
      <c r="F212" s="125" t="n"/>
      <c r="G212" s="125" t="n"/>
      <c r="H212" s="125" t="n"/>
      <c r="I212" s="125" t="n"/>
      <c r="J212" s="125" t="n"/>
      <c r="K212" s="125" t="n"/>
      <c r="L212" s="125" t="n"/>
      <c r="M212" s="125" t="n"/>
      <c r="N212" s="125" t="n"/>
      <c r="O212" s="125" t="n"/>
      <c r="P212" s="125" t="n"/>
      <c r="Q212" s="125" t="n"/>
      <c r="R212" s="125" t="n"/>
      <c r="S212" s="125" t="n"/>
      <c r="T212" s="125" t="n"/>
      <c r="U212" s="125" t="n"/>
      <c r="V212" s="125" t="n"/>
      <c r="W212" s="125" t="n"/>
      <c r="X212" s="125" t="n"/>
      <c r="Y212" s="125" t="n"/>
      <c r="Z212" s="125" t="n"/>
      <c r="AA212" s="125" t="n"/>
      <c r="AB212" s="125" t="n"/>
      <c r="AC212" s="125" t="n"/>
      <c r="AD212" s="125" t="n"/>
      <c r="AE212" s="125" t="n"/>
      <c r="AF212" s="125" t="n"/>
      <c r="AG212" s="125" t="n"/>
      <c r="AH212" s="125" t="n"/>
      <c r="AI212" s="127">
        <f>SUM(D212:AG212,AH212)</f>
        <v/>
      </c>
      <c r="AJ212" s="126">
        <f>(SUM($D212:$Q212))/AI212</f>
        <v/>
      </c>
      <c r="AK212" s="126">
        <f>(SUM($D212:$H212))/AI212</f>
        <v/>
      </c>
      <c r="AL212" s="126">
        <f>(SUM($R212:$AH212))/AI212</f>
        <v/>
      </c>
      <c r="AM212" s="126" t="n"/>
      <c r="AN212" s="125">
        <f>YEAR(C212)</f>
        <v/>
      </c>
      <c r="AO212" s="125">
        <f>MONTH(C212)</f>
        <v/>
      </c>
      <c r="AP212" s="125">
        <f>WEEKNUM(C212,2)</f>
        <v/>
      </c>
      <c r="AQ212" s="129">
        <f>IFERROR(D212/$AI212,"")</f>
        <v/>
      </c>
      <c r="AR212" s="129">
        <f>IFERROR(E212/$AI212,"")</f>
        <v/>
      </c>
      <c r="AS212" s="129">
        <f>IFERROR(H212/$AI212,"")</f>
        <v/>
      </c>
      <c r="AT212" s="129">
        <f>IFERROR(I212/$AI212,"")</f>
        <v/>
      </c>
      <c r="AU212" s="129">
        <f>IFERROR(J212/$AI212,"")</f>
        <v/>
      </c>
      <c r="AV212" s="129">
        <f>IFERROR(K212/$AI212,"")</f>
        <v/>
      </c>
      <c r="AW212" s="129">
        <f>IFERROR(L212/$AI212,"")</f>
        <v/>
      </c>
      <c r="AX212" s="129">
        <f>IFERROR(M212/$AI212,"")</f>
        <v/>
      </c>
      <c r="AY212" s="129">
        <f>IFERROR(N212/$AI212,"")</f>
        <v/>
      </c>
      <c r="AZ212" s="129">
        <f>IFERROR(O212/$AI212,"")</f>
        <v/>
      </c>
      <c r="BA212" s="129">
        <f>IFERROR(P212/$AI212,"")</f>
        <v/>
      </c>
      <c r="BB212" s="129">
        <f>IFERROR(AG212/$AI212,"")</f>
        <v/>
      </c>
      <c r="BC212" s="129" t="n"/>
      <c r="BD212" s="129">
        <f>IFERROR(AH212/$AI212,"")</f>
        <v/>
      </c>
      <c r="BE212" s="129">
        <f>IFERROR(R212/$AI212,"")</f>
        <v/>
      </c>
      <c r="BF212" s="129">
        <f>IFERROR(S212/$AI212,"")</f>
        <v/>
      </c>
      <c r="BG212" s="129">
        <f>IFERROR(T212/$AI212,"")</f>
        <v/>
      </c>
      <c r="BH212" s="129">
        <f>IFERROR(U212/$AI212,"")</f>
        <v/>
      </c>
      <c r="BI212" s="129">
        <f>IFERROR(V212/$AI212,"")</f>
        <v/>
      </c>
      <c r="BJ212" s="129">
        <f>IFERROR(W212/$AI212,"")</f>
        <v/>
      </c>
      <c r="BK212" s="129">
        <f>IFERROR(X212/$AI212,"")</f>
        <v/>
      </c>
      <c r="BL212" s="129">
        <f>IFERROR(Y212/$AI212,"")</f>
        <v/>
      </c>
      <c r="BM212" s="129">
        <f>IFERROR(Z212/$AI212,"")</f>
        <v/>
      </c>
      <c r="BN212" s="129">
        <f>IFERROR(AA212/$AI212,"")</f>
        <v/>
      </c>
      <c r="BO212" s="129">
        <f>IFERROR(AB212/$AI212,"")</f>
        <v/>
      </c>
      <c r="BP212" s="129">
        <f>IFERROR(AC212/$AI212,"")</f>
        <v/>
      </c>
      <c r="BQ212" s="129">
        <f>IFERROR(AD212/$AI212,"")</f>
        <v/>
      </c>
      <c r="BR212" s="129">
        <f>IFERROR(AE212/$AI212,"")</f>
        <v/>
      </c>
      <c r="BS212" s="129">
        <f>IFERROR(AF212/$AI212,"")</f>
        <v/>
      </c>
      <c r="BT212" s="129">
        <f>IFERROR(AG212/$AI212,"")</f>
        <v/>
      </c>
      <c r="BU212" s="129">
        <f>IFERROR(AH212/$AI212,"")</f>
        <v/>
      </c>
      <c r="BV212" s="126">
        <f>SUM(AQ212:BD212)</f>
        <v/>
      </c>
      <c r="BW212" s="126">
        <f>SUM(BE212:BU212)</f>
        <v/>
      </c>
      <c r="BX212" s="126">
        <f>SUM(AQ212:AU212)</f>
        <v/>
      </c>
    </row>
    <row r="213">
      <c r="B213" s="127" t="n"/>
      <c r="C213" s="125" t="n"/>
      <c r="D213" s="125" t="n"/>
      <c r="E213" s="125" t="n"/>
      <c r="F213" s="125" t="n"/>
      <c r="G213" s="125" t="n"/>
      <c r="H213" s="125" t="n"/>
      <c r="I213" s="125" t="n"/>
      <c r="J213" s="125" t="n"/>
      <c r="K213" s="125" t="n"/>
      <c r="L213" s="125" t="n"/>
      <c r="M213" s="125" t="n"/>
      <c r="N213" s="125" t="n"/>
      <c r="O213" s="125" t="n"/>
      <c r="P213" s="125" t="n"/>
      <c r="Q213" s="125" t="n"/>
      <c r="R213" s="125" t="n"/>
      <c r="S213" s="125" t="n"/>
      <c r="T213" s="125" t="n"/>
      <c r="U213" s="125" t="n"/>
      <c r="V213" s="125" t="n"/>
      <c r="W213" s="125" t="n"/>
      <c r="X213" s="125" t="n"/>
      <c r="Y213" s="125" t="n"/>
      <c r="Z213" s="125" t="n"/>
      <c r="AA213" s="125" t="n"/>
      <c r="AB213" s="125" t="n"/>
      <c r="AC213" s="125" t="n"/>
      <c r="AD213" s="125" t="n"/>
      <c r="AE213" s="125" t="n"/>
      <c r="AF213" s="125" t="n"/>
      <c r="AG213" s="125" t="n"/>
      <c r="AH213" s="125" t="n"/>
      <c r="AI213" s="127">
        <f>SUM(D213:AG213,AH213)</f>
        <v/>
      </c>
      <c r="AJ213" s="126">
        <f>(SUM($D213:$Q213))/AI213</f>
        <v/>
      </c>
      <c r="AK213" s="126">
        <f>(SUM($D213:$H213))/AI213</f>
        <v/>
      </c>
      <c r="AL213" s="126">
        <f>(SUM($R213:$AH213))/AI213</f>
        <v/>
      </c>
      <c r="AM213" s="126" t="n"/>
      <c r="AN213" s="125">
        <f>YEAR(C213)</f>
        <v/>
      </c>
      <c r="AO213" s="125">
        <f>MONTH(C213)</f>
        <v/>
      </c>
      <c r="AP213" s="125">
        <f>WEEKNUM(C213,2)</f>
        <v/>
      </c>
      <c r="AQ213" s="129">
        <f>IFERROR(D213/$AI213,"")</f>
        <v/>
      </c>
      <c r="AR213" s="129">
        <f>IFERROR(E213/$AI213,"")</f>
        <v/>
      </c>
      <c r="AS213" s="129">
        <f>IFERROR(H213/$AI213,"")</f>
        <v/>
      </c>
      <c r="AT213" s="129">
        <f>IFERROR(I213/$AI213,"")</f>
        <v/>
      </c>
      <c r="AU213" s="129">
        <f>IFERROR(J213/$AI213,"")</f>
        <v/>
      </c>
      <c r="AV213" s="129">
        <f>IFERROR(K213/$AI213,"")</f>
        <v/>
      </c>
      <c r="AW213" s="129">
        <f>IFERROR(L213/$AI213,"")</f>
        <v/>
      </c>
      <c r="AX213" s="129">
        <f>IFERROR(M213/$AI213,"")</f>
        <v/>
      </c>
      <c r="AY213" s="129">
        <f>IFERROR(N213/$AI213,"")</f>
        <v/>
      </c>
      <c r="AZ213" s="129">
        <f>IFERROR(O213/$AI213,"")</f>
        <v/>
      </c>
      <c r="BA213" s="129">
        <f>IFERROR(P213/$AI213,"")</f>
        <v/>
      </c>
      <c r="BB213" s="129">
        <f>IFERROR(AG213/$AI213,"")</f>
        <v/>
      </c>
      <c r="BC213" s="129" t="n"/>
      <c r="BD213" s="129">
        <f>IFERROR(AH213/$AI213,"")</f>
        <v/>
      </c>
      <c r="BE213" s="129">
        <f>IFERROR(R213/$AI213,"")</f>
        <v/>
      </c>
      <c r="BF213" s="129">
        <f>IFERROR(S213/$AI213,"")</f>
        <v/>
      </c>
      <c r="BG213" s="129">
        <f>IFERROR(T213/$AI213,"")</f>
        <v/>
      </c>
      <c r="BH213" s="129">
        <f>IFERROR(U213/$AI213,"")</f>
        <v/>
      </c>
      <c r="BI213" s="129">
        <f>IFERROR(V213/$AI213,"")</f>
        <v/>
      </c>
      <c r="BJ213" s="129">
        <f>IFERROR(W213/$AI213,"")</f>
        <v/>
      </c>
      <c r="BK213" s="129">
        <f>IFERROR(X213/$AI213,"")</f>
        <v/>
      </c>
      <c r="BL213" s="129">
        <f>IFERROR(Y213/$AI213,"")</f>
        <v/>
      </c>
      <c r="BM213" s="129">
        <f>IFERROR(Z213/$AI213,"")</f>
        <v/>
      </c>
      <c r="BN213" s="129">
        <f>IFERROR(AA213/$AI213,"")</f>
        <v/>
      </c>
      <c r="BO213" s="129">
        <f>IFERROR(AB213/$AI213,"")</f>
        <v/>
      </c>
      <c r="BP213" s="129">
        <f>IFERROR(AC213/$AI213,"")</f>
        <v/>
      </c>
      <c r="BQ213" s="129">
        <f>IFERROR(AD213/$AI213,"")</f>
        <v/>
      </c>
      <c r="BR213" s="129">
        <f>IFERROR(AE213/$AI213,"")</f>
        <v/>
      </c>
      <c r="BS213" s="129">
        <f>IFERROR(AF213/$AI213,"")</f>
        <v/>
      </c>
      <c r="BT213" s="129">
        <f>IFERROR(AG213/$AI213,"")</f>
        <v/>
      </c>
      <c r="BU213" s="129">
        <f>IFERROR(AH213/$AI213,"")</f>
        <v/>
      </c>
      <c r="BV213" s="126">
        <f>SUM(AQ213:BD213)</f>
        <v/>
      </c>
      <c r="BW213" s="126">
        <f>SUM(BE213:BU213)</f>
        <v/>
      </c>
      <c r="BX213" s="126">
        <f>SUM(AQ213:AU213)</f>
        <v/>
      </c>
    </row>
    <row r="214">
      <c r="B214" s="127" t="n"/>
      <c r="C214" s="125" t="n"/>
      <c r="D214" s="125" t="n"/>
      <c r="E214" s="125" t="n"/>
      <c r="F214" s="125" t="n"/>
      <c r="G214" s="125" t="n"/>
      <c r="H214" s="125" t="n"/>
      <c r="I214" s="125" t="n"/>
      <c r="J214" s="125" t="n"/>
      <c r="K214" s="125" t="n"/>
      <c r="L214" s="125" t="n"/>
      <c r="M214" s="125" t="n"/>
      <c r="N214" s="125" t="n"/>
      <c r="O214" s="125" t="n"/>
      <c r="P214" s="125" t="n"/>
      <c r="Q214" s="125" t="n"/>
      <c r="R214" s="125" t="n"/>
      <c r="S214" s="125" t="n"/>
      <c r="T214" s="125" t="n"/>
      <c r="U214" s="125" t="n"/>
      <c r="V214" s="125" t="n"/>
      <c r="W214" s="125" t="n"/>
      <c r="X214" s="125" t="n"/>
      <c r="Y214" s="125" t="n"/>
      <c r="Z214" s="125" t="n"/>
      <c r="AA214" s="125" t="n"/>
      <c r="AB214" s="125" t="n"/>
      <c r="AC214" s="125" t="n"/>
      <c r="AD214" s="125" t="n"/>
      <c r="AE214" s="125" t="n"/>
      <c r="AF214" s="125" t="n"/>
      <c r="AG214" s="125" t="n"/>
      <c r="AH214" s="125" t="n"/>
      <c r="AI214" s="127">
        <f>SUM(D214:AG214,AH214)</f>
        <v/>
      </c>
      <c r="AJ214" s="126">
        <f>(SUM($D214:$Q214))/AI214</f>
        <v/>
      </c>
      <c r="AK214" s="126">
        <f>(SUM($D214:$H214))/AI214</f>
        <v/>
      </c>
      <c r="AL214" s="126">
        <f>(SUM($R214:$AH214))/AI214</f>
        <v/>
      </c>
      <c r="AM214" s="126" t="n"/>
      <c r="AN214" s="125">
        <f>YEAR(C214)</f>
        <v/>
      </c>
      <c r="AO214" s="125">
        <f>MONTH(C214)</f>
        <v/>
      </c>
      <c r="AP214" s="125">
        <f>WEEKNUM(C214,2)</f>
        <v/>
      </c>
      <c r="AQ214" s="129">
        <f>IFERROR(D214/$AI214,"")</f>
        <v/>
      </c>
      <c r="AR214" s="129">
        <f>IFERROR(E214/$AI214,"")</f>
        <v/>
      </c>
      <c r="AS214" s="129">
        <f>IFERROR(H214/$AI214,"")</f>
        <v/>
      </c>
      <c r="AT214" s="129">
        <f>IFERROR(I214/$AI214,"")</f>
        <v/>
      </c>
      <c r="AU214" s="129">
        <f>IFERROR(J214/$AI214,"")</f>
        <v/>
      </c>
      <c r="AV214" s="129">
        <f>IFERROR(K214/$AI214,"")</f>
        <v/>
      </c>
      <c r="AW214" s="129">
        <f>IFERROR(L214/$AI214,"")</f>
        <v/>
      </c>
      <c r="AX214" s="129">
        <f>IFERROR(M214/$AI214,"")</f>
        <v/>
      </c>
      <c r="AY214" s="129">
        <f>IFERROR(N214/$AI214,"")</f>
        <v/>
      </c>
      <c r="AZ214" s="129">
        <f>IFERROR(O214/$AI214,"")</f>
        <v/>
      </c>
      <c r="BA214" s="129">
        <f>IFERROR(P214/$AI214,"")</f>
        <v/>
      </c>
      <c r="BB214" s="129">
        <f>IFERROR(AG214/$AI214,"")</f>
        <v/>
      </c>
      <c r="BC214" s="129" t="n"/>
      <c r="BD214" s="129">
        <f>IFERROR(AH214/$AI214,"")</f>
        <v/>
      </c>
      <c r="BE214" s="129">
        <f>IFERROR(R214/$AI214,"")</f>
        <v/>
      </c>
      <c r="BF214" s="129">
        <f>IFERROR(S214/$AI214,"")</f>
        <v/>
      </c>
      <c r="BG214" s="129">
        <f>IFERROR(T214/$AI214,"")</f>
        <v/>
      </c>
      <c r="BH214" s="129">
        <f>IFERROR(U214/$AI214,"")</f>
        <v/>
      </c>
      <c r="BI214" s="129">
        <f>IFERROR(V214/$AI214,"")</f>
        <v/>
      </c>
      <c r="BJ214" s="129">
        <f>IFERROR(W214/$AI214,"")</f>
        <v/>
      </c>
      <c r="BK214" s="129">
        <f>IFERROR(X214/$AI214,"")</f>
        <v/>
      </c>
      <c r="BL214" s="129">
        <f>IFERROR(Y214/$AI214,"")</f>
        <v/>
      </c>
      <c r="BM214" s="129">
        <f>IFERROR(Z214/$AI214,"")</f>
        <v/>
      </c>
      <c r="BN214" s="129">
        <f>IFERROR(AA214/$AI214,"")</f>
        <v/>
      </c>
      <c r="BO214" s="129">
        <f>IFERROR(AB214/$AI214,"")</f>
        <v/>
      </c>
      <c r="BP214" s="129">
        <f>IFERROR(AC214/$AI214,"")</f>
        <v/>
      </c>
      <c r="BQ214" s="129">
        <f>IFERROR(AD214/$AI214,"")</f>
        <v/>
      </c>
      <c r="BR214" s="129">
        <f>IFERROR(AE214/$AI214,"")</f>
        <v/>
      </c>
      <c r="BS214" s="129">
        <f>IFERROR(AF214/$AI214,"")</f>
        <v/>
      </c>
      <c r="BT214" s="129">
        <f>IFERROR(AG214/$AI214,"")</f>
        <v/>
      </c>
      <c r="BU214" s="129">
        <f>IFERROR(AH214/$AI214,"")</f>
        <v/>
      </c>
      <c r="BV214" s="126">
        <f>SUM(AQ214:BD214)</f>
        <v/>
      </c>
      <c r="BW214" s="126">
        <f>SUM(BE214:BU214)</f>
        <v/>
      </c>
      <c r="BX214" s="126">
        <f>SUM(AQ214:AU214)</f>
        <v/>
      </c>
    </row>
    <row r="215">
      <c r="B215" s="127" t="n"/>
      <c r="C215" s="125" t="n"/>
      <c r="D215" s="125" t="n"/>
      <c r="E215" s="125" t="n"/>
      <c r="F215" s="125" t="n"/>
      <c r="G215" s="125" t="n"/>
      <c r="H215" s="125" t="n"/>
      <c r="I215" s="125" t="n"/>
      <c r="J215" s="125" t="n"/>
      <c r="K215" s="125" t="n"/>
      <c r="L215" s="125" t="n"/>
      <c r="M215" s="125" t="n"/>
      <c r="N215" s="125" t="n"/>
      <c r="O215" s="125" t="n"/>
      <c r="P215" s="125" t="n"/>
      <c r="Q215" s="125" t="n"/>
      <c r="R215" s="125" t="n"/>
      <c r="S215" s="125" t="n"/>
      <c r="T215" s="125" t="n"/>
      <c r="U215" s="125" t="n"/>
      <c r="V215" s="125" t="n"/>
      <c r="W215" s="125" t="n"/>
      <c r="X215" s="125" t="n"/>
      <c r="Y215" s="125" t="n"/>
      <c r="Z215" s="125" t="n"/>
      <c r="AA215" s="125" t="n"/>
      <c r="AB215" s="125" t="n"/>
      <c r="AC215" s="125" t="n"/>
      <c r="AD215" s="125" t="n"/>
      <c r="AE215" s="125" t="n"/>
      <c r="AF215" s="125" t="n"/>
      <c r="AG215" s="125" t="n"/>
      <c r="AH215" s="125" t="n"/>
      <c r="AI215" s="127">
        <f>SUM(D215:AG215,AH215)</f>
        <v/>
      </c>
      <c r="AJ215" s="126">
        <f>(SUM($D215:$Q215))/AI215</f>
        <v/>
      </c>
      <c r="AK215" s="126">
        <f>(SUM($D215:$H215))/AI215</f>
        <v/>
      </c>
      <c r="AL215" s="126">
        <f>(SUM($R215:$AH215))/AI215</f>
        <v/>
      </c>
      <c r="AM215" s="126" t="n"/>
      <c r="AN215" s="125">
        <f>YEAR(C215)</f>
        <v/>
      </c>
      <c r="AO215" s="125">
        <f>MONTH(C215)</f>
        <v/>
      </c>
      <c r="AP215" s="125">
        <f>WEEKNUM(C215,2)</f>
        <v/>
      </c>
      <c r="AQ215" s="129">
        <f>IFERROR(D215/$AI215,"")</f>
        <v/>
      </c>
      <c r="AR215" s="129">
        <f>IFERROR(E215/$AI215,"")</f>
        <v/>
      </c>
      <c r="AS215" s="129">
        <f>IFERROR(H215/$AI215,"")</f>
        <v/>
      </c>
      <c r="AT215" s="129">
        <f>IFERROR(I215/$AI215,"")</f>
        <v/>
      </c>
      <c r="AU215" s="129">
        <f>IFERROR(J215/$AI215,"")</f>
        <v/>
      </c>
      <c r="AV215" s="129">
        <f>IFERROR(K215/$AI215,"")</f>
        <v/>
      </c>
      <c r="AW215" s="129">
        <f>IFERROR(L215/$AI215,"")</f>
        <v/>
      </c>
      <c r="AX215" s="129">
        <f>IFERROR(M215/$AI215,"")</f>
        <v/>
      </c>
      <c r="AY215" s="129">
        <f>IFERROR(N215/$AI215,"")</f>
        <v/>
      </c>
      <c r="AZ215" s="129">
        <f>IFERROR(O215/$AI215,"")</f>
        <v/>
      </c>
      <c r="BA215" s="129">
        <f>IFERROR(P215/$AI215,"")</f>
        <v/>
      </c>
      <c r="BB215" s="129">
        <f>IFERROR(AG215/$AI215,"")</f>
        <v/>
      </c>
      <c r="BC215" s="129" t="n"/>
      <c r="BD215" s="129">
        <f>IFERROR(AH215/$AI215,"")</f>
        <v/>
      </c>
      <c r="BE215" s="129">
        <f>IFERROR(R215/$AI215,"")</f>
        <v/>
      </c>
      <c r="BF215" s="129">
        <f>IFERROR(S215/$AI215,"")</f>
        <v/>
      </c>
      <c r="BG215" s="129">
        <f>IFERROR(T215/$AI215,"")</f>
        <v/>
      </c>
      <c r="BH215" s="129">
        <f>IFERROR(U215/$AI215,"")</f>
        <v/>
      </c>
      <c r="BI215" s="129">
        <f>IFERROR(V215/$AI215,"")</f>
        <v/>
      </c>
      <c r="BJ215" s="129">
        <f>IFERROR(W215/$AI215,"")</f>
        <v/>
      </c>
      <c r="BK215" s="129">
        <f>IFERROR(X215/$AI215,"")</f>
        <v/>
      </c>
      <c r="BL215" s="129">
        <f>IFERROR(Y215/$AI215,"")</f>
        <v/>
      </c>
      <c r="BM215" s="129">
        <f>IFERROR(Z215/$AI215,"")</f>
        <v/>
      </c>
      <c r="BN215" s="129">
        <f>IFERROR(AA215/$AI215,"")</f>
        <v/>
      </c>
      <c r="BO215" s="129">
        <f>IFERROR(AB215/$AI215,"")</f>
        <v/>
      </c>
      <c r="BP215" s="129">
        <f>IFERROR(AC215/$AI215,"")</f>
        <v/>
      </c>
      <c r="BQ215" s="129">
        <f>IFERROR(AD215/$AI215,"")</f>
        <v/>
      </c>
      <c r="BR215" s="129">
        <f>IFERROR(AE215/$AI215,"")</f>
        <v/>
      </c>
      <c r="BS215" s="129">
        <f>IFERROR(AF215/$AI215,"")</f>
        <v/>
      </c>
      <c r="BT215" s="129">
        <f>IFERROR(AG215/$AI215,"")</f>
        <v/>
      </c>
      <c r="BU215" s="129">
        <f>IFERROR(AH215/$AI215,"")</f>
        <v/>
      </c>
      <c r="BV215" s="126">
        <f>SUM(AQ215:BD215)</f>
        <v/>
      </c>
      <c r="BW215" s="126">
        <f>SUM(BE215:BU215)</f>
        <v/>
      </c>
      <c r="BX215" s="126">
        <f>SUM(AQ215:AU215)</f>
        <v/>
      </c>
    </row>
    <row r="216">
      <c r="B216" s="127" t="n"/>
      <c r="C216" s="125" t="n"/>
      <c r="D216" s="125" t="n"/>
      <c r="E216" s="125" t="n"/>
      <c r="F216" s="125" t="n"/>
      <c r="G216" s="125" t="n"/>
      <c r="H216" s="125" t="n"/>
      <c r="I216" s="125" t="n"/>
      <c r="J216" s="125" t="n"/>
      <c r="K216" s="125" t="n"/>
      <c r="L216" s="125" t="n"/>
      <c r="M216" s="125" t="n"/>
      <c r="N216" s="125" t="n"/>
      <c r="O216" s="125" t="n"/>
      <c r="P216" s="125" t="n"/>
      <c r="Q216" s="125" t="n"/>
      <c r="R216" s="125" t="n"/>
      <c r="S216" s="125" t="n"/>
      <c r="T216" s="125" t="n"/>
      <c r="U216" s="125" t="n"/>
      <c r="V216" s="125" t="n"/>
      <c r="W216" s="125" t="n"/>
      <c r="X216" s="125" t="n"/>
      <c r="Y216" s="125" t="n"/>
      <c r="Z216" s="125" t="n"/>
      <c r="AA216" s="125" t="n"/>
      <c r="AB216" s="125" t="n"/>
      <c r="AC216" s="125" t="n"/>
      <c r="AD216" s="125" t="n"/>
      <c r="AE216" s="125" t="n"/>
      <c r="AF216" s="125" t="n"/>
      <c r="AG216" s="125" t="n"/>
      <c r="AH216" s="125" t="n"/>
      <c r="AI216" s="127">
        <f>SUM(D216:AG216,AH216)</f>
        <v/>
      </c>
      <c r="AJ216" s="126">
        <f>(SUM($D216:$Q216))/AI216</f>
        <v/>
      </c>
      <c r="AK216" s="126">
        <f>(SUM($D216:$H216))/AI216</f>
        <v/>
      </c>
      <c r="AL216" s="126">
        <f>(SUM($R216:$AH216))/AI216</f>
        <v/>
      </c>
      <c r="AM216" s="126" t="n"/>
      <c r="AN216" s="125">
        <f>YEAR(C216)</f>
        <v/>
      </c>
      <c r="AO216" s="125">
        <f>MONTH(C216)</f>
        <v/>
      </c>
      <c r="AP216" s="125">
        <f>WEEKNUM(C216,2)</f>
        <v/>
      </c>
      <c r="AQ216" s="129">
        <f>IFERROR(D216/$AI216,"")</f>
        <v/>
      </c>
      <c r="AR216" s="129">
        <f>IFERROR(E216/$AI216,"")</f>
        <v/>
      </c>
      <c r="AS216" s="129">
        <f>IFERROR(H216/$AI216,"")</f>
        <v/>
      </c>
      <c r="AT216" s="129">
        <f>IFERROR(I216/$AI216,"")</f>
        <v/>
      </c>
      <c r="AU216" s="129">
        <f>IFERROR(J216/$AI216,"")</f>
        <v/>
      </c>
      <c r="AV216" s="129">
        <f>IFERROR(K216/$AI216,"")</f>
        <v/>
      </c>
      <c r="AW216" s="129">
        <f>IFERROR(L216/$AI216,"")</f>
        <v/>
      </c>
      <c r="AX216" s="129">
        <f>IFERROR(M216/$AI216,"")</f>
        <v/>
      </c>
      <c r="AY216" s="129">
        <f>IFERROR(N216/$AI216,"")</f>
        <v/>
      </c>
      <c r="AZ216" s="129">
        <f>IFERROR(O216/$AI216,"")</f>
        <v/>
      </c>
      <c r="BA216" s="129">
        <f>IFERROR(P216/$AI216,"")</f>
        <v/>
      </c>
      <c r="BB216" s="129">
        <f>IFERROR(AG216/$AI216,"")</f>
        <v/>
      </c>
      <c r="BC216" s="129" t="n"/>
      <c r="BD216" s="129">
        <f>IFERROR(AH216/$AI216,"")</f>
        <v/>
      </c>
      <c r="BE216" s="129">
        <f>IFERROR(R216/$AI216,"")</f>
        <v/>
      </c>
      <c r="BF216" s="129">
        <f>IFERROR(S216/$AI216,"")</f>
        <v/>
      </c>
      <c r="BG216" s="129">
        <f>IFERROR(T216/$AI216,"")</f>
        <v/>
      </c>
      <c r="BH216" s="129">
        <f>IFERROR(U216/$AI216,"")</f>
        <v/>
      </c>
      <c r="BI216" s="129">
        <f>IFERROR(V216/$AI216,"")</f>
        <v/>
      </c>
      <c r="BJ216" s="129">
        <f>IFERROR(W216/$AI216,"")</f>
        <v/>
      </c>
      <c r="BK216" s="129">
        <f>IFERROR(X216/$AI216,"")</f>
        <v/>
      </c>
      <c r="BL216" s="129">
        <f>IFERROR(Y216/$AI216,"")</f>
        <v/>
      </c>
      <c r="BM216" s="129">
        <f>IFERROR(Z216/$AI216,"")</f>
        <v/>
      </c>
      <c r="BN216" s="129">
        <f>IFERROR(AA216/$AI216,"")</f>
        <v/>
      </c>
      <c r="BO216" s="129">
        <f>IFERROR(AB216/$AI216,"")</f>
        <v/>
      </c>
      <c r="BP216" s="129">
        <f>IFERROR(AC216/$AI216,"")</f>
        <v/>
      </c>
      <c r="BQ216" s="129">
        <f>IFERROR(AD216/$AI216,"")</f>
        <v/>
      </c>
      <c r="BR216" s="129">
        <f>IFERROR(AE216/$AI216,"")</f>
        <v/>
      </c>
      <c r="BS216" s="129">
        <f>IFERROR(AF216/$AI216,"")</f>
        <v/>
      </c>
      <c r="BT216" s="129">
        <f>IFERROR(AG216/$AI216,"")</f>
        <v/>
      </c>
      <c r="BU216" s="129">
        <f>IFERROR(AH216/$AI216,"")</f>
        <v/>
      </c>
      <c r="BV216" s="126">
        <f>SUM(AQ216:BD216)</f>
        <v/>
      </c>
      <c r="BW216" s="126">
        <f>SUM(BE216:BU216)</f>
        <v/>
      </c>
      <c r="BX216" s="126">
        <f>SUM(AQ216:AU216)</f>
        <v/>
      </c>
    </row>
    <row r="217">
      <c r="B217" s="127" t="n"/>
      <c r="C217" s="125" t="n"/>
      <c r="D217" s="125" t="n"/>
      <c r="E217" s="125" t="n"/>
      <c r="F217" s="125" t="n"/>
      <c r="G217" s="125" t="n"/>
      <c r="H217" s="125" t="n"/>
      <c r="I217" s="125" t="n"/>
      <c r="J217" s="125" t="n"/>
      <c r="K217" s="125" t="n"/>
      <c r="L217" s="125" t="n"/>
      <c r="M217" s="125" t="n"/>
      <c r="N217" s="125" t="n"/>
      <c r="O217" s="125" t="n"/>
      <c r="P217" s="125" t="n"/>
      <c r="Q217" s="125" t="n"/>
      <c r="R217" s="125" t="n"/>
      <c r="S217" s="125" t="n"/>
      <c r="T217" s="125" t="n"/>
      <c r="U217" s="125" t="n"/>
      <c r="V217" s="125" t="n"/>
      <c r="W217" s="125" t="n"/>
      <c r="X217" s="125" t="n"/>
      <c r="Y217" s="125" t="n"/>
      <c r="Z217" s="125" t="n"/>
      <c r="AA217" s="125" t="n"/>
      <c r="AB217" s="125" t="n"/>
      <c r="AC217" s="125" t="n"/>
      <c r="AD217" s="125" t="n"/>
      <c r="AE217" s="125" t="n"/>
      <c r="AF217" s="125" t="n"/>
      <c r="AG217" s="125" t="n"/>
      <c r="AH217" s="125" t="n"/>
      <c r="AI217" s="127">
        <f>SUM(D217:AG217,AH217)</f>
        <v/>
      </c>
      <c r="AJ217" s="126">
        <f>(SUM($D217:$Q217))/AI217</f>
        <v/>
      </c>
      <c r="AK217" s="126">
        <f>(SUM($D217:$H217))/AI217</f>
        <v/>
      </c>
      <c r="AL217" s="126">
        <f>(SUM($R217:$AH217))/AI217</f>
        <v/>
      </c>
      <c r="AM217" s="126" t="n"/>
      <c r="AN217" s="125">
        <f>YEAR(C217)</f>
        <v/>
      </c>
      <c r="AO217" s="125">
        <f>MONTH(C217)</f>
        <v/>
      </c>
      <c r="AP217" s="125">
        <f>WEEKNUM(C217,2)</f>
        <v/>
      </c>
      <c r="AQ217" s="129">
        <f>IFERROR(D217/$AI217,"")</f>
        <v/>
      </c>
      <c r="AR217" s="129">
        <f>IFERROR(E217/$AI217,"")</f>
        <v/>
      </c>
      <c r="AS217" s="129">
        <f>IFERROR(H217/$AI217,"")</f>
        <v/>
      </c>
      <c r="AT217" s="129">
        <f>IFERROR(I217/$AI217,"")</f>
        <v/>
      </c>
      <c r="AU217" s="129">
        <f>IFERROR(J217/$AI217,"")</f>
        <v/>
      </c>
      <c r="AV217" s="129">
        <f>IFERROR(K217/$AI217,"")</f>
        <v/>
      </c>
      <c r="AW217" s="129">
        <f>IFERROR(L217/$AI217,"")</f>
        <v/>
      </c>
      <c r="AX217" s="129">
        <f>IFERROR(M217/$AI217,"")</f>
        <v/>
      </c>
      <c r="AY217" s="129">
        <f>IFERROR(N217/$AI217,"")</f>
        <v/>
      </c>
      <c r="AZ217" s="129">
        <f>IFERROR(O217/$AI217,"")</f>
        <v/>
      </c>
      <c r="BA217" s="129">
        <f>IFERROR(P217/$AI217,"")</f>
        <v/>
      </c>
      <c r="BB217" s="129">
        <f>IFERROR(AG217/$AI217,"")</f>
        <v/>
      </c>
      <c r="BC217" s="129" t="n"/>
      <c r="BD217" s="129">
        <f>IFERROR(AH217/$AI217,"")</f>
        <v/>
      </c>
      <c r="BE217" s="129">
        <f>IFERROR(R217/$AI217,"")</f>
        <v/>
      </c>
      <c r="BF217" s="129">
        <f>IFERROR(S217/$AI217,"")</f>
        <v/>
      </c>
      <c r="BG217" s="129">
        <f>IFERROR(T217/$AI217,"")</f>
        <v/>
      </c>
      <c r="BH217" s="129">
        <f>IFERROR(U217/$AI217,"")</f>
        <v/>
      </c>
      <c r="BI217" s="129">
        <f>IFERROR(V217/$AI217,"")</f>
        <v/>
      </c>
      <c r="BJ217" s="129">
        <f>IFERROR(W217/$AI217,"")</f>
        <v/>
      </c>
      <c r="BK217" s="129">
        <f>IFERROR(X217/$AI217,"")</f>
        <v/>
      </c>
      <c r="BL217" s="129">
        <f>IFERROR(Y217/$AI217,"")</f>
        <v/>
      </c>
      <c r="BM217" s="129">
        <f>IFERROR(Z217/$AI217,"")</f>
        <v/>
      </c>
      <c r="BN217" s="129">
        <f>IFERROR(AA217/$AI217,"")</f>
        <v/>
      </c>
      <c r="BO217" s="129">
        <f>IFERROR(AB217/$AI217,"")</f>
        <v/>
      </c>
      <c r="BP217" s="129">
        <f>IFERROR(AC217/$AI217,"")</f>
        <v/>
      </c>
      <c r="BQ217" s="129">
        <f>IFERROR(AD217/$AI217,"")</f>
        <v/>
      </c>
      <c r="BR217" s="129">
        <f>IFERROR(AE217/$AI217,"")</f>
        <v/>
      </c>
      <c r="BS217" s="129">
        <f>IFERROR(AF217/$AI217,"")</f>
        <v/>
      </c>
      <c r="BT217" s="129">
        <f>IFERROR(AG217/$AI217,"")</f>
        <v/>
      </c>
      <c r="BU217" s="129">
        <f>IFERROR(AH217/$AI217,"")</f>
        <v/>
      </c>
      <c r="BV217" s="126">
        <f>SUM(AQ217:BD217)</f>
        <v/>
      </c>
      <c r="BW217" s="126">
        <f>SUM(BE217:BU217)</f>
        <v/>
      </c>
      <c r="BX217" s="126">
        <f>SUM(AQ217:AU217)</f>
        <v/>
      </c>
    </row>
    <row r="218">
      <c r="B218" s="127" t="n"/>
      <c r="C218" s="125" t="n"/>
      <c r="D218" s="125" t="n"/>
      <c r="E218" s="125" t="n"/>
      <c r="F218" s="125" t="n"/>
      <c r="G218" s="125" t="n"/>
      <c r="H218" s="125" t="n"/>
      <c r="I218" s="125" t="n"/>
      <c r="J218" s="125" t="n"/>
      <c r="K218" s="125" t="n"/>
      <c r="L218" s="125" t="n"/>
      <c r="M218" s="125" t="n"/>
      <c r="N218" s="125" t="n"/>
      <c r="O218" s="125" t="n"/>
      <c r="P218" s="125" t="n"/>
      <c r="Q218" s="125" t="n"/>
      <c r="R218" s="125" t="n"/>
      <c r="S218" s="125" t="n"/>
      <c r="T218" s="125" t="n"/>
      <c r="U218" s="125" t="n"/>
      <c r="V218" s="125" t="n"/>
      <c r="W218" s="125" t="n"/>
      <c r="X218" s="125" t="n"/>
      <c r="Y218" s="125" t="n"/>
      <c r="Z218" s="125" t="n"/>
      <c r="AA218" s="125" t="n"/>
      <c r="AB218" s="125" t="n"/>
      <c r="AC218" s="125" t="n"/>
      <c r="AD218" s="125" t="n"/>
      <c r="AE218" s="125" t="n"/>
      <c r="AF218" s="125" t="n"/>
      <c r="AG218" s="125" t="n"/>
      <c r="AH218" s="125" t="n"/>
      <c r="AI218" s="127">
        <f>SUM(D218:AG218,AH218)</f>
        <v/>
      </c>
      <c r="AJ218" s="126">
        <f>(SUM($D218:$Q218))/AI218</f>
        <v/>
      </c>
      <c r="AK218" s="126">
        <f>(SUM($D218:$H218))/AI218</f>
        <v/>
      </c>
      <c r="AL218" s="126">
        <f>(SUM($R218:$AH218))/AI218</f>
        <v/>
      </c>
      <c r="AM218" s="126" t="n"/>
      <c r="AN218" s="125">
        <f>YEAR(C218)</f>
        <v/>
      </c>
      <c r="AO218" s="125">
        <f>MONTH(C218)</f>
        <v/>
      </c>
      <c r="AP218" s="125">
        <f>WEEKNUM(C218,2)</f>
        <v/>
      </c>
      <c r="AQ218" s="129">
        <f>IFERROR(D218/$AI218,"")</f>
        <v/>
      </c>
      <c r="AR218" s="129">
        <f>IFERROR(E218/$AI218,"")</f>
        <v/>
      </c>
      <c r="AS218" s="129">
        <f>IFERROR(H218/$AI218,"")</f>
        <v/>
      </c>
      <c r="AT218" s="129">
        <f>IFERROR(I218/$AI218,"")</f>
        <v/>
      </c>
      <c r="AU218" s="129">
        <f>IFERROR(J218/$AI218,"")</f>
        <v/>
      </c>
      <c r="AV218" s="129">
        <f>IFERROR(K218/$AI218,"")</f>
        <v/>
      </c>
      <c r="AW218" s="129">
        <f>IFERROR(L218/$AI218,"")</f>
        <v/>
      </c>
      <c r="AX218" s="129">
        <f>IFERROR(M218/$AI218,"")</f>
        <v/>
      </c>
      <c r="AY218" s="129">
        <f>IFERROR(N218/$AI218,"")</f>
        <v/>
      </c>
      <c r="AZ218" s="129">
        <f>IFERROR(O218/$AI218,"")</f>
        <v/>
      </c>
      <c r="BA218" s="129">
        <f>IFERROR(P218/$AI218,"")</f>
        <v/>
      </c>
      <c r="BB218" s="129">
        <f>IFERROR(AG218/$AI218,"")</f>
        <v/>
      </c>
      <c r="BC218" s="129" t="n"/>
      <c r="BD218" s="129">
        <f>IFERROR(AH218/$AI218,"")</f>
        <v/>
      </c>
      <c r="BE218" s="129">
        <f>IFERROR(R218/$AI218,"")</f>
        <v/>
      </c>
      <c r="BF218" s="129">
        <f>IFERROR(S218/$AI218,"")</f>
        <v/>
      </c>
      <c r="BG218" s="129">
        <f>IFERROR(T218/$AI218,"")</f>
        <v/>
      </c>
      <c r="BH218" s="129">
        <f>IFERROR(U218/$AI218,"")</f>
        <v/>
      </c>
      <c r="BI218" s="129">
        <f>IFERROR(V218/$AI218,"")</f>
        <v/>
      </c>
      <c r="BJ218" s="129">
        <f>IFERROR(W218/$AI218,"")</f>
        <v/>
      </c>
      <c r="BK218" s="129">
        <f>IFERROR(X218/$AI218,"")</f>
        <v/>
      </c>
      <c r="BL218" s="129">
        <f>IFERROR(Y218/$AI218,"")</f>
        <v/>
      </c>
      <c r="BM218" s="129">
        <f>IFERROR(Z218/$AI218,"")</f>
        <v/>
      </c>
      <c r="BN218" s="129">
        <f>IFERROR(AA218/$AI218,"")</f>
        <v/>
      </c>
      <c r="BO218" s="129">
        <f>IFERROR(AB218/$AI218,"")</f>
        <v/>
      </c>
      <c r="BP218" s="129">
        <f>IFERROR(AC218/$AI218,"")</f>
        <v/>
      </c>
      <c r="BQ218" s="129">
        <f>IFERROR(AD218/$AI218,"")</f>
        <v/>
      </c>
      <c r="BR218" s="129">
        <f>IFERROR(AE218/$AI218,"")</f>
        <v/>
      </c>
      <c r="BS218" s="129">
        <f>IFERROR(AF218/$AI218,"")</f>
        <v/>
      </c>
      <c r="BT218" s="129">
        <f>IFERROR(AG218/$AI218,"")</f>
        <v/>
      </c>
      <c r="BU218" s="129">
        <f>IFERROR(AH218/$AI218,"")</f>
        <v/>
      </c>
      <c r="BV218" s="126">
        <f>SUM(AQ218:BD218)</f>
        <v/>
      </c>
      <c r="BW218" s="126">
        <f>SUM(BE218:BU218)</f>
        <v/>
      </c>
      <c r="BX218" s="126">
        <f>SUM(AQ218:AU218)</f>
        <v/>
      </c>
    </row>
    <row r="219">
      <c r="B219" s="127" t="n"/>
      <c r="C219" s="125" t="n"/>
      <c r="D219" s="125" t="n"/>
      <c r="E219" s="125" t="n"/>
      <c r="F219" s="125" t="n"/>
      <c r="G219" s="125" t="n"/>
      <c r="H219" s="125" t="n"/>
      <c r="I219" s="125" t="n"/>
      <c r="J219" s="125" t="n"/>
      <c r="K219" s="125" t="n"/>
      <c r="L219" s="125" t="n"/>
      <c r="M219" s="125" t="n"/>
      <c r="N219" s="125" t="n"/>
      <c r="O219" s="125" t="n"/>
      <c r="P219" s="125" t="n"/>
      <c r="Q219" s="125" t="n"/>
      <c r="R219" s="125" t="n"/>
      <c r="S219" s="125" t="n"/>
      <c r="T219" s="125" t="n"/>
      <c r="U219" s="125" t="n"/>
      <c r="V219" s="125" t="n"/>
      <c r="W219" s="125" t="n"/>
      <c r="X219" s="125" t="n"/>
      <c r="Y219" s="125" t="n"/>
      <c r="Z219" s="125" t="n"/>
      <c r="AA219" s="125" t="n"/>
      <c r="AB219" s="125" t="n"/>
      <c r="AC219" s="125" t="n"/>
      <c r="AD219" s="125" t="n"/>
      <c r="AE219" s="125" t="n"/>
      <c r="AF219" s="125" t="n"/>
      <c r="AG219" s="125" t="n"/>
      <c r="AH219" s="125" t="n"/>
      <c r="AI219" s="127">
        <f>SUM(D219:AG219,AH219)</f>
        <v/>
      </c>
      <c r="AJ219" s="126">
        <f>(SUM($D219:$Q219))/AI219</f>
        <v/>
      </c>
      <c r="AK219" s="126">
        <f>(SUM($D219:$H219))/AI219</f>
        <v/>
      </c>
      <c r="AL219" s="126">
        <f>(SUM($R219:$AH219))/AI219</f>
        <v/>
      </c>
      <c r="AM219" s="126" t="n"/>
      <c r="AN219" s="125">
        <f>YEAR(C219)</f>
        <v/>
      </c>
      <c r="AO219" s="125">
        <f>MONTH(C219)</f>
        <v/>
      </c>
      <c r="AP219" s="125">
        <f>WEEKNUM(C219,2)</f>
        <v/>
      </c>
      <c r="AQ219" s="129">
        <f>IFERROR(D219/$AI219,"")</f>
        <v/>
      </c>
      <c r="AR219" s="129">
        <f>IFERROR(E219/$AI219,"")</f>
        <v/>
      </c>
      <c r="AS219" s="129">
        <f>IFERROR(H219/$AI219,"")</f>
        <v/>
      </c>
      <c r="AT219" s="129">
        <f>IFERROR(I219/$AI219,"")</f>
        <v/>
      </c>
      <c r="AU219" s="129">
        <f>IFERROR(J219/$AI219,"")</f>
        <v/>
      </c>
      <c r="AV219" s="129">
        <f>IFERROR(K219/$AI219,"")</f>
        <v/>
      </c>
      <c r="AW219" s="129">
        <f>IFERROR(L219/$AI219,"")</f>
        <v/>
      </c>
      <c r="AX219" s="129">
        <f>IFERROR(M219/$AI219,"")</f>
        <v/>
      </c>
      <c r="AY219" s="129">
        <f>IFERROR(N219/$AI219,"")</f>
        <v/>
      </c>
      <c r="AZ219" s="129">
        <f>IFERROR(O219/$AI219,"")</f>
        <v/>
      </c>
      <c r="BA219" s="129">
        <f>IFERROR(P219/$AI219,"")</f>
        <v/>
      </c>
      <c r="BB219" s="129">
        <f>IFERROR(AG219/$AI219,"")</f>
        <v/>
      </c>
      <c r="BC219" s="129" t="n"/>
      <c r="BD219" s="129">
        <f>IFERROR(AH219/$AI219,"")</f>
        <v/>
      </c>
      <c r="BE219" s="129">
        <f>IFERROR(R219/$AI219,"")</f>
        <v/>
      </c>
      <c r="BF219" s="129">
        <f>IFERROR(S219/$AI219,"")</f>
        <v/>
      </c>
      <c r="BG219" s="129">
        <f>IFERROR(T219/$AI219,"")</f>
        <v/>
      </c>
      <c r="BH219" s="129">
        <f>IFERROR(U219/$AI219,"")</f>
        <v/>
      </c>
      <c r="BI219" s="129">
        <f>IFERROR(V219/$AI219,"")</f>
        <v/>
      </c>
      <c r="BJ219" s="129">
        <f>IFERROR(W219/$AI219,"")</f>
        <v/>
      </c>
      <c r="BK219" s="129">
        <f>IFERROR(X219/$AI219,"")</f>
        <v/>
      </c>
      <c r="BL219" s="129">
        <f>IFERROR(Y219/$AI219,"")</f>
        <v/>
      </c>
      <c r="BM219" s="129">
        <f>IFERROR(Z219/$AI219,"")</f>
        <v/>
      </c>
      <c r="BN219" s="129">
        <f>IFERROR(AA219/$AI219,"")</f>
        <v/>
      </c>
      <c r="BO219" s="129">
        <f>IFERROR(AB219/$AI219,"")</f>
        <v/>
      </c>
      <c r="BP219" s="129">
        <f>IFERROR(AC219/$AI219,"")</f>
        <v/>
      </c>
      <c r="BQ219" s="129">
        <f>IFERROR(AD219/$AI219,"")</f>
        <v/>
      </c>
      <c r="BR219" s="129">
        <f>IFERROR(AE219/$AI219,"")</f>
        <v/>
      </c>
      <c r="BS219" s="129">
        <f>IFERROR(AF219/$AI219,"")</f>
        <v/>
      </c>
      <c r="BT219" s="129">
        <f>IFERROR(AG219/$AI219,"")</f>
        <v/>
      </c>
      <c r="BU219" s="129">
        <f>IFERROR(AH219/$AI219,"")</f>
        <v/>
      </c>
      <c r="BV219" s="126">
        <f>SUM(AQ219:BD219)</f>
        <v/>
      </c>
      <c r="BW219" s="126">
        <f>SUM(BE219:BU219)</f>
        <v/>
      </c>
      <c r="BX219" s="126">
        <f>SUM(AQ219:AU219)</f>
        <v/>
      </c>
    </row>
    <row r="220">
      <c r="B220" s="127" t="n"/>
      <c r="C220" s="125" t="n"/>
      <c r="D220" s="125" t="n"/>
      <c r="E220" s="125" t="n"/>
      <c r="F220" s="125" t="n"/>
      <c r="G220" s="125" t="n"/>
      <c r="H220" s="125" t="n"/>
      <c r="I220" s="125" t="n"/>
      <c r="J220" s="125" t="n"/>
      <c r="K220" s="125" t="n"/>
      <c r="L220" s="125" t="n"/>
      <c r="M220" s="125" t="n"/>
      <c r="N220" s="125" t="n"/>
      <c r="O220" s="125" t="n"/>
      <c r="P220" s="125" t="n"/>
      <c r="Q220" s="125" t="n"/>
      <c r="R220" s="125" t="n"/>
      <c r="S220" s="125" t="n"/>
      <c r="T220" s="125" t="n"/>
      <c r="U220" s="125" t="n"/>
      <c r="V220" s="125" t="n"/>
      <c r="W220" s="125" t="n"/>
      <c r="X220" s="125" t="n"/>
      <c r="Y220" s="125" t="n"/>
      <c r="Z220" s="125" t="n"/>
      <c r="AA220" s="125" t="n"/>
      <c r="AB220" s="125" t="n"/>
      <c r="AC220" s="125" t="n"/>
      <c r="AD220" s="125" t="n"/>
      <c r="AE220" s="125" t="n"/>
      <c r="AF220" s="125" t="n"/>
      <c r="AG220" s="125" t="n"/>
      <c r="AH220" s="125" t="n"/>
      <c r="AI220" s="127">
        <f>SUM(D220:AG220,AH220)</f>
        <v/>
      </c>
      <c r="AJ220" s="126">
        <f>(SUM($D220:$Q220))/AI220</f>
        <v/>
      </c>
      <c r="AK220" s="126">
        <f>(SUM($D220:$H220))/AI220</f>
        <v/>
      </c>
      <c r="AL220" s="126">
        <f>(SUM($R220:$AH220))/AI220</f>
        <v/>
      </c>
      <c r="AM220" s="126" t="n"/>
      <c r="AN220" s="125">
        <f>YEAR(C220)</f>
        <v/>
      </c>
      <c r="AO220" s="125">
        <f>MONTH(C220)</f>
        <v/>
      </c>
      <c r="AP220" s="125">
        <f>WEEKNUM(C220,2)</f>
        <v/>
      </c>
      <c r="AQ220" s="129">
        <f>IFERROR(D220/$AI220,"")</f>
        <v/>
      </c>
      <c r="AR220" s="129">
        <f>IFERROR(E220/$AI220,"")</f>
        <v/>
      </c>
      <c r="AS220" s="129">
        <f>IFERROR(H220/$AI220,"")</f>
        <v/>
      </c>
      <c r="AT220" s="129">
        <f>IFERROR(I220/$AI220,"")</f>
        <v/>
      </c>
      <c r="AU220" s="129">
        <f>IFERROR(J220/$AI220,"")</f>
        <v/>
      </c>
      <c r="AV220" s="129">
        <f>IFERROR(K220/$AI220,"")</f>
        <v/>
      </c>
      <c r="AW220" s="129">
        <f>IFERROR(L220/$AI220,"")</f>
        <v/>
      </c>
      <c r="AX220" s="129">
        <f>IFERROR(M220/$AI220,"")</f>
        <v/>
      </c>
      <c r="AY220" s="129">
        <f>IFERROR(N220/$AI220,"")</f>
        <v/>
      </c>
      <c r="AZ220" s="129">
        <f>IFERROR(O220/$AI220,"")</f>
        <v/>
      </c>
      <c r="BA220" s="129">
        <f>IFERROR(P220/$AI220,"")</f>
        <v/>
      </c>
      <c r="BB220" s="129">
        <f>IFERROR(AG220/$AI220,"")</f>
        <v/>
      </c>
      <c r="BC220" s="129" t="n"/>
      <c r="BD220" s="129">
        <f>IFERROR(AH220/$AI220,"")</f>
        <v/>
      </c>
      <c r="BE220" s="129">
        <f>IFERROR(R220/$AI220,"")</f>
        <v/>
      </c>
      <c r="BF220" s="129">
        <f>IFERROR(S220/$AI220,"")</f>
        <v/>
      </c>
      <c r="BG220" s="129">
        <f>IFERROR(T220/$AI220,"")</f>
        <v/>
      </c>
      <c r="BH220" s="129">
        <f>IFERROR(U220/$AI220,"")</f>
        <v/>
      </c>
      <c r="BI220" s="129">
        <f>IFERROR(V220/$AI220,"")</f>
        <v/>
      </c>
      <c r="BJ220" s="129">
        <f>IFERROR(W220/$AI220,"")</f>
        <v/>
      </c>
      <c r="BK220" s="129">
        <f>IFERROR(X220/$AI220,"")</f>
        <v/>
      </c>
      <c r="BL220" s="129">
        <f>IFERROR(Y220/$AI220,"")</f>
        <v/>
      </c>
      <c r="BM220" s="129">
        <f>IFERROR(Z220/$AI220,"")</f>
        <v/>
      </c>
      <c r="BN220" s="129">
        <f>IFERROR(AA220/$AI220,"")</f>
        <v/>
      </c>
      <c r="BO220" s="129">
        <f>IFERROR(AB220/$AI220,"")</f>
        <v/>
      </c>
      <c r="BP220" s="129">
        <f>IFERROR(AC220/$AI220,"")</f>
        <v/>
      </c>
      <c r="BQ220" s="129">
        <f>IFERROR(AD220/$AI220,"")</f>
        <v/>
      </c>
      <c r="BR220" s="129">
        <f>IFERROR(AE220/$AI220,"")</f>
        <v/>
      </c>
      <c r="BS220" s="129">
        <f>IFERROR(AF220/$AI220,"")</f>
        <v/>
      </c>
      <c r="BT220" s="129">
        <f>IFERROR(AG220/$AI220,"")</f>
        <v/>
      </c>
      <c r="BU220" s="129">
        <f>IFERROR(AH220/$AI220,"")</f>
        <v/>
      </c>
      <c r="BV220" s="126">
        <f>SUM(AQ220:BD220)</f>
        <v/>
      </c>
      <c r="BW220" s="126">
        <f>SUM(BE220:BU220)</f>
        <v/>
      </c>
      <c r="BX220" s="126">
        <f>SUM(AQ220:AU220)</f>
        <v/>
      </c>
    </row>
    <row r="221">
      <c r="B221" s="127" t="n"/>
      <c r="C221" s="125" t="n"/>
      <c r="D221" s="125" t="n"/>
      <c r="E221" s="125" t="n"/>
      <c r="F221" s="125" t="n"/>
      <c r="G221" s="125" t="n"/>
      <c r="H221" s="125" t="n"/>
      <c r="I221" s="125" t="n"/>
      <c r="J221" s="125" t="n"/>
      <c r="K221" s="125" t="n"/>
      <c r="L221" s="125" t="n"/>
      <c r="M221" s="125" t="n"/>
      <c r="N221" s="125" t="n"/>
      <c r="O221" s="125" t="n"/>
      <c r="P221" s="125" t="n"/>
      <c r="Q221" s="125" t="n"/>
      <c r="R221" s="125" t="n"/>
      <c r="S221" s="125" t="n"/>
      <c r="T221" s="125" t="n"/>
      <c r="U221" s="125" t="n"/>
      <c r="V221" s="125" t="n"/>
      <c r="W221" s="125" t="n"/>
      <c r="X221" s="125" t="n"/>
      <c r="Y221" s="125" t="n"/>
      <c r="Z221" s="125" t="n"/>
      <c r="AA221" s="125" t="n"/>
      <c r="AB221" s="125" t="n"/>
      <c r="AC221" s="125" t="n"/>
      <c r="AD221" s="125" t="n"/>
      <c r="AE221" s="125" t="n"/>
      <c r="AF221" s="125" t="n"/>
      <c r="AG221" s="125" t="n"/>
      <c r="AH221" s="125" t="n"/>
      <c r="AI221" s="127">
        <f>SUM(D221:AG221,AH221)</f>
        <v/>
      </c>
      <c r="AJ221" s="126">
        <f>(SUM($D221:$Q221))/AI221</f>
        <v/>
      </c>
      <c r="AK221" s="126">
        <f>(SUM($D221:$H221))/AI221</f>
        <v/>
      </c>
      <c r="AL221" s="126">
        <f>(SUM($R221:$AH221))/AI221</f>
        <v/>
      </c>
      <c r="AM221" s="126" t="n"/>
      <c r="AN221" s="125">
        <f>YEAR(C221)</f>
        <v/>
      </c>
      <c r="AO221" s="125">
        <f>MONTH(C221)</f>
        <v/>
      </c>
      <c r="AP221" s="125">
        <f>WEEKNUM(C221,2)</f>
        <v/>
      </c>
      <c r="AQ221" s="129">
        <f>IFERROR(D221/$AI221,"")</f>
        <v/>
      </c>
      <c r="AR221" s="129">
        <f>IFERROR(E221/$AI221,"")</f>
        <v/>
      </c>
      <c r="AS221" s="129">
        <f>IFERROR(H221/$AI221,"")</f>
        <v/>
      </c>
      <c r="AT221" s="129">
        <f>IFERROR(I221/$AI221,"")</f>
        <v/>
      </c>
      <c r="AU221" s="129">
        <f>IFERROR(J221/$AI221,"")</f>
        <v/>
      </c>
      <c r="AV221" s="129">
        <f>IFERROR(K221/$AI221,"")</f>
        <v/>
      </c>
      <c r="AW221" s="129">
        <f>IFERROR(L221/$AI221,"")</f>
        <v/>
      </c>
      <c r="AX221" s="129">
        <f>IFERROR(M221/$AI221,"")</f>
        <v/>
      </c>
      <c r="AY221" s="129">
        <f>IFERROR(N221/$AI221,"")</f>
        <v/>
      </c>
      <c r="AZ221" s="129">
        <f>IFERROR(O221/$AI221,"")</f>
        <v/>
      </c>
      <c r="BA221" s="129">
        <f>IFERROR(P221/$AI221,"")</f>
        <v/>
      </c>
      <c r="BB221" s="129">
        <f>IFERROR(AG221/$AI221,"")</f>
        <v/>
      </c>
      <c r="BC221" s="129" t="n"/>
      <c r="BD221" s="129">
        <f>IFERROR(AH221/$AI221,"")</f>
        <v/>
      </c>
      <c r="BE221" s="129">
        <f>IFERROR(R221/$AI221,"")</f>
        <v/>
      </c>
      <c r="BF221" s="129">
        <f>IFERROR(S221/$AI221,"")</f>
        <v/>
      </c>
      <c r="BG221" s="129">
        <f>IFERROR(T221/$AI221,"")</f>
        <v/>
      </c>
      <c r="BH221" s="129">
        <f>IFERROR(U221/$AI221,"")</f>
        <v/>
      </c>
      <c r="BI221" s="129">
        <f>IFERROR(V221/$AI221,"")</f>
        <v/>
      </c>
      <c r="BJ221" s="129">
        <f>IFERROR(W221/$AI221,"")</f>
        <v/>
      </c>
      <c r="BK221" s="129">
        <f>IFERROR(X221/$AI221,"")</f>
        <v/>
      </c>
      <c r="BL221" s="129">
        <f>IFERROR(Y221/$AI221,"")</f>
        <v/>
      </c>
      <c r="BM221" s="129">
        <f>IFERROR(Z221/$AI221,"")</f>
        <v/>
      </c>
      <c r="BN221" s="129">
        <f>IFERROR(AA221/$AI221,"")</f>
        <v/>
      </c>
      <c r="BO221" s="129">
        <f>IFERROR(AB221/$AI221,"")</f>
        <v/>
      </c>
      <c r="BP221" s="129">
        <f>IFERROR(AC221/$AI221,"")</f>
        <v/>
      </c>
      <c r="BQ221" s="129">
        <f>IFERROR(AD221/$AI221,"")</f>
        <v/>
      </c>
      <c r="BR221" s="129">
        <f>IFERROR(AE221/$AI221,"")</f>
        <v/>
      </c>
      <c r="BS221" s="129">
        <f>IFERROR(AF221/$AI221,"")</f>
        <v/>
      </c>
      <c r="BT221" s="129">
        <f>IFERROR(AG221/$AI221,"")</f>
        <v/>
      </c>
      <c r="BU221" s="129">
        <f>IFERROR(AH221/$AI221,"")</f>
        <v/>
      </c>
      <c r="BV221" s="126">
        <f>SUM(AQ221:BD221)</f>
        <v/>
      </c>
      <c r="BW221" s="126">
        <f>SUM(BE221:BU221)</f>
        <v/>
      </c>
      <c r="BX221" s="126">
        <f>SUM(AQ221:AU221)</f>
        <v/>
      </c>
    </row>
    <row r="222">
      <c r="B222" s="127" t="n"/>
      <c r="C222" s="125" t="n"/>
      <c r="D222" s="125" t="n"/>
      <c r="E222" s="125" t="n"/>
      <c r="F222" s="125" t="n"/>
      <c r="G222" s="125" t="n"/>
      <c r="H222" s="125" t="n"/>
      <c r="I222" s="125" t="n"/>
      <c r="J222" s="125" t="n"/>
      <c r="K222" s="125" t="n"/>
      <c r="L222" s="125" t="n"/>
      <c r="M222" s="125" t="n"/>
      <c r="N222" s="125" t="n"/>
      <c r="O222" s="125" t="n"/>
      <c r="P222" s="125" t="n"/>
      <c r="Q222" s="125" t="n"/>
      <c r="R222" s="125" t="n"/>
      <c r="S222" s="125" t="n"/>
      <c r="T222" s="125" t="n"/>
      <c r="U222" s="125" t="n"/>
      <c r="V222" s="125" t="n"/>
      <c r="W222" s="125" t="n"/>
      <c r="X222" s="125" t="n"/>
      <c r="Y222" s="125" t="n"/>
      <c r="Z222" s="125" t="n"/>
      <c r="AA222" s="125" t="n"/>
      <c r="AB222" s="125" t="n"/>
      <c r="AC222" s="125" t="n"/>
      <c r="AD222" s="125" t="n"/>
      <c r="AE222" s="125" t="n"/>
      <c r="AF222" s="125" t="n"/>
      <c r="AG222" s="125" t="n"/>
      <c r="AH222" s="125" t="n"/>
      <c r="AI222" s="127">
        <f>SUM(D222:AG222,AH222)</f>
        <v/>
      </c>
      <c r="AJ222" s="126">
        <f>(SUM($D222:$Q222))/AI222</f>
        <v/>
      </c>
      <c r="AK222" s="126">
        <f>(SUM($D222:$H222))/AI222</f>
        <v/>
      </c>
      <c r="AL222" s="126">
        <f>(SUM($R222:$AH222))/AI222</f>
        <v/>
      </c>
      <c r="AM222" s="126" t="n"/>
      <c r="AN222" s="125">
        <f>YEAR(C222)</f>
        <v/>
      </c>
      <c r="AO222" s="125">
        <f>MONTH(C222)</f>
        <v/>
      </c>
      <c r="AP222" s="125">
        <f>WEEKNUM(C222,2)</f>
        <v/>
      </c>
      <c r="AQ222" s="129">
        <f>IFERROR(D222/$AI222,"")</f>
        <v/>
      </c>
      <c r="AR222" s="129">
        <f>IFERROR(E222/$AI222,"")</f>
        <v/>
      </c>
      <c r="AS222" s="129">
        <f>IFERROR(H222/$AI222,"")</f>
        <v/>
      </c>
      <c r="AT222" s="129">
        <f>IFERROR(I222/$AI222,"")</f>
        <v/>
      </c>
      <c r="AU222" s="129">
        <f>IFERROR(J222/$AI222,"")</f>
        <v/>
      </c>
      <c r="AV222" s="129">
        <f>IFERROR(K222/$AI222,"")</f>
        <v/>
      </c>
      <c r="AW222" s="129">
        <f>IFERROR(L222/$AI222,"")</f>
        <v/>
      </c>
      <c r="AX222" s="129">
        <f>IFERROR(M222/$AI222,"")</f>
        <v/>
      </c>
      <c r="AY222" s="129">
        <f>IFERROR(N222/$AI222,"")</f>
        <v/>
      </c>
      <c r="AZ222" s="129">
        <f>IFERROR(O222/$AI222,"")</f>
        <v/>
      </c>
      <c r="BA222" s="129">
        <f>IFERROR(P222/$AI222,"")</f>
        <v/>
      </c>
      <c r="BB222" s="129">
        <f>IFERROR(AG222/$AI222,"")</f>
        <v/>
      </c>
      <c r="BC222" s="129" t="n"/>
      <c r="BD222" s="129">
        <f>IFERROR(AH222/$AI222,"")</f>
        <v/>
      </c>
      <c r="BE222" s="129">
        <f>IFERROR(R222/$AI222,"")</f>
        <v/>
      </c>
      <c r="BF222" s="129">
        <f>IFERROR(S222/$AI222,"")</f>
        <v/>
      </c>
      <c r="BG222" s="129">
        <f>IFERROR(T222/$AI222,"")</f>
        <v/>
      </c>
      <c r="BH222" s="129">
        <f>IFERROR(U222/$AI222,"")</f>
        <v/>
      </c>
      <c r="BI222" s="129">
        <f>IFERROR(V222/$AI222,"")</f>
        <v/>
      </c>
      <c r="BJ222" s="129">
        <f>IFERROR(W222/$AI222,"")</f>
        <v/>
      </c>
      <c r="BK222" s="129">
        <f>IFERROR(X222/$AI222,"")</f>
        <v/>
      </c>
      <c r="BL222" s="129">
        <f>IFERROR(Y222/$AI222,"")</f>
        <v/>
      </c>
      <c r="BM222" s="129">
        <f>IFERROR(Z222/$AI222,"")</f>
        <v/>
      </c>
      <c r="BN222" s="129">
        <f>IFERROR(AA222/$AI222,"")</f>
        <v/>
      </c>
      <c r="BO222" s="129">
        <f>IFERROR(AB222/$AI222,"")</f>
        <v/>
      </c>
      <c r="BP222" s="129">
        <f>IFERROR(AC222/$AI222,"")</f>
        <v/>
      </c>
      <c r="BQ222" s="129">
        <f>IFERROR(AD222/$AI222,"")</f>
        <v/>
      </c>
      <c r="BR222" s="129">
        <f>IFERROR(AE222/$AI222,"")</f>
        <v/>
      </c>
      <c r="BS222" s="129">
        <f>IFERROR(AF222/$AI222,"")</f>
        <v/>
      </c>
      <c r="BT222" s="129">
        <f>IFERROR(AG222/$AI222,"")</f>
        <v/>
      </c>
      <c r="BU222" s="129">
        <f>IFERROR(AH222/$AI222,"")</f>
        <v/>
      </c>
      <c r="BV222" s="126">
        <f>SUM(AQ222:BD222)</f>
        <v/>
      </c>
      <c r="BW222" s="126">
        <f>SUM(BE222:BU222)</f>
        <v/>
      </c>
      <c r="BX222" s="126">
        <f>SUM(AQ222:AU222)</f>
        <v/>
      </c>
    </row>
    <row r="223">
      <c r="B223" s="127" t="n"/>
      <c r="C223" s="125" t="n"/>
      <c r="D223" s="125" t="n"/>
      <c r="E223" s="125" t="n"/>
      <c r="F223" s="125" t="n"/>
      <c r="G223" s="125" t="n"/>
      <c r="H223" s="125" t="n"/>
      <c r="I223" s="125" t="n"/>
      <c r="J223" s="125" t="n"/>
      <c r="K223" s="125" t="n"/>
      <c r="L223" s="125" t="n"/>
      <c r="M223" s="125" t="n"/>
      <c r="N223" s="125" t="n"/>
      <c r="O223" s="125" t="n"/>
      <c r="P223" s="125" t="n"/>
      <c r="Q223" s="125" t="n"/>
      <c r="R223" s="125" t="n"/>
      <c r="S223" s="125" t="n"/>
      <c r="T223" s="125" t="n"/>
      <c r="U223" s="125" t="n"/>
      <c r="V223" s="125" t="n"/>
      <c r="W223" s="125" t="n"/>
      <c r="X223" s="125" t="n"/>
      <c r="Y223" s="125" t="n"/>
      <c r="Z223" s="125" t="n"/>
      <c r="AA223" s="125" t="n"/>
      <c r="AB223" s="125" t="n"/>
      <c r="AC223" s="125" t="n"/>
      <c r="AD223" s="125" t="n"/>
      <c r="AE223" s="125" t="n"/>
      <c r="AF223" s="125" t="n"/>
      <c r="AG223" s="125" t="n"/>
      <c r="AH223" s="125" t="n"/>
      <c r="AI223" s="127">
        <f>SUM(D223:AG223,AH223)</f>
        <v/>
      </c>
      <c r="AJ223" s="126">
        <f>(SUM($D223:$Q223))/AI223</f>
        <v/>
      </c>
      <c r="AK223" s="126">
        <f>(SUM($D223:$H223))/AI223</f>
        <v/>
      </c>
      <c r="AL223" s="126">
        <f>(SUM($R223:$AH223))/AI223</f>
        <v/>
      </c>
      <c r="AM223" s="126" t="n"/>
      <c r="AN223" s="125">
        <f>YEAR(C223)</f>
        <v/>
      </c>
      <c r="AO223" s="125">
        <f>MONTH(C223)</f>
        <v/>
      </c>
      <c r="AP223" s="125">
        <f>WEEKNUM(C223,2)</f>
        <v/>
      </c>
      <c r="AQ223" s="129">
        <f>IFERROR(D223/$AI223,"")</f>
        <v/>
      </c>
      <c r="AR223" s="129">
        <f>IFERROR(E223/$AI223,"")</f>
        <v/>
      </c>
      <c r="AS223" s="129">
        <f>IFERROR(H223/$AI223,"")</f>
        <v/>
      </c>
      <c r="AT223" s="129">
        <f>IFERROR(I223/$AI223,"")</f>
        <v/>
      </c>
      <c r="AU223" s="129">
        <f>IFERROR(J223/$AI223,"")</f>
        <v/>
      </c>
      <c r="AV223" s="129">
        <f>IFERROR(K223/$AI223,"")</f>
        <v/>
      </c>
      <c r="AW223" s="129">
        <f>IFERROR(L223/$AI223,"")</f>
        <v/>
      </c>
      <c r="AX223" s="129">
        <f>IFERROR(M223/$AI223,"")</f>
        <v/>
      </c>
      <c r="AY223" s="129">
        <f>IFERROR(N223/$AI223,"")</f>
        <v/>
      </c>
      <c r="AZ223" s="129">
        <f>IFERROR(O223/$AI223,"")</f>
        <v/>
      </c>
      <c r="BA223" s="129">
        <f>IFERROR(P223/$AI223,"")</f>
        <v/>
      </c>
      <c r="BB223" s="129">
        <f>IFERROR(AG223/$AI223,"")</f>
        <v/>
      </c>
      <c r="BC223" s="129" t="n"/>
      <c r="BD223" s="129">
        <f>IFERROR(AH223/$AI223,"")</f>
        <v/>
      </c>
      <c r="BE223" s="129">
        <f>IFERROR(R223/$AI223,"")</f>
        <v/>
      </c>
      <c r="BF223" s="129">
        <f>IFERROR(S223/$AI223,"")</f>
        <v/>
      </c>
      <c r="BG223" s="129">
        <f>IFERROR(T223/$AI223,"")</f>
        <v/>
      </c>
      <c r="BH223" s="129">
        <f>IFERROR(U223/$AI223,"")</f>
        <v/>
      </c>
      <c r="BI223" s="129">
        <f>IFERROR(V223/$AI223,"")</f>
        <v/>
      </c>
      <c r="BJ223" s="129">
        <f>IFERROR(W223/$AI223,"")</f>
        <v/>
      </c>
      <c r="BK223" s="129">
        <f>IFERROR(X223/$AI223,"")</f>
        <v/>
      </c>
      <c r="BL223" s="129">
        <f>IFERROR(Y223/$AI223,"")</f>
        <v/>
      </c>
      <c r="BM223" s="129">
        <f>IFERROR(Z223/$AI223,"")</f>
        <v/>
      </c>
      <c r="BN223" s="129">
        <f>IFERROR(AA223/$AI223,"")</f>
        <v/>
      </c>
      <c r="BO223" s="129">
        <f>IFERROR(AB223/$AI223,"")</f>
        <v/>
      </c>
      <c r="BP223" s="129">
        <f>IFERROR(AC223/$AI223,"")</f>
        <v/>
      </c>
      <c r="BQ223" s="129">
        <f>IFERROR(AD223/$AI223,"")</f>
        <v/>
      </c>
      <c r="BR223" s="129">
        <f>IFERROR(AE223/$AI223,"")</f>
        <v/>
      </c>
      <c r="BS223" s="129">
        <f>IFERROR(AF223/$AI223,"")</f>
        <v/>
      </c>
      <c r="BT223" s="129">
        <f>IFERROR(AG223/$AI223,"")</f>
        <v/>
      </c>
      <c r="BU223" s="129">
        <f>IFERROR(AH223/$AI223,"")</f>
        <v/>
      </c>
      <c r="BV223" s="126">
        <f>SUM(AQ223:BD223)</f>
        <v/>
      </c>
      <c r="BW223" s="126">
        <f>SUM(BE223:BU223)</f>
        <v/>
      </c>
      <c r="BX223" s="126">
        <f>SUM(AQ223:AU223)</f>
        <v/>
      </c>
    </row>
    <row r="224">
      <c r="B224" s="127" t="n"/>
      <c r="C224" s="125" t="n"/>
      <c r="D224" s="125" t="n"/>
      <c r="E224" s="125" t="n"/>
      <c r="F224" s="125" t="n"/>
      <c r="G224" s="125" t="n"/>
      <c r="H224" s="125" t="n"/>
      <c r="I224" s="125" t="n"/>
      <c r="J224" s="125" t="n"/>
      <c r="K224" s="125" t="n"/>
      <c r="L224" s="125" t="n"/>
      <c r="M224" s="125" t="n"/>
      <c r="N224" s="125" t="n"/>
      <c r="O224" s="125" t="n"/>
      <c r="P224" s="125" t="n"/>
      <c r="Q224" s="125" t="n"/>
      <c r="R224" s="125" t="n"/>
      <c r="S224" s="125" t="n"/>
      <c r="T224" s="125" t="n"/>
      <c r="U224" s="125" t="n"/>
      <c r="V224" s="125" t="n"/>
      <c r="W224" s="125" t="n"/>
      <c r="X224" s="125" t="n"/>
      <c r="Y224" s="125" t="n"/>
      <c r="Z224" s="125" t="n"/>
      <c r="AA224" s="125" t="n"/>
      <c r="AB224" s="125" t="n"/>
      <c r="AC224" s="125" t="n"/>
      <c r="AD224" s="125" t="n"/>
      <c r="AE224" s="125" t="n"/>
      <c r="AF224" s="125" t="n"/>
      <c r="AG224" s="125" t="n"/>
      <c r="AH224" s="125" t="n"/>
      <c r="AI224" s="127">
        <f>SUM(D224:AG224,AH224)</f>
        <v/>
      </c>
      <c r="AJ224" s="126">
        <f>(SUM($D224:$Q224))/AI224</f>
        <v/>
      </c>
      <c r="AK224" s="126">
        <f>(SUM($D224:$H224))/AI224</f>
        <v/>
      </c>
      <c r="AL224" s="126">
        <f>(SUM($R224:$AH224))/AI224</f>
        <v/>
      </c>
      <c r="AM224" s="126" t="n"/>
      <c r="AN224" s="125">
        <f>YEAR(C224)</f>
        <v/>
      </c>
      <c r="AO224" s="125">
        <f>MONTH(C224)</f>
        <v/>
      </c>
      <c r="AP224" s="125">
        <f>WEEKNUM(C224,2)</f>
        <v/>
      </c>
      <c r="AQ224" s="129">
        <f>IFERROR(D224/$AI224,"")</f>
        <v/>
      </c>
      <c r="AR224" s="129">
        <f>IFERROR(E224/$AI224,"")</f>
        <v/>
      </c>
      <c r="AS224" s="129">
        <f>IFERROR(H224/$AI224,"")</f>
        <v/>
      </c>
      <c r="AT224" s="129">
        <f>IFERROR(I224/$AI224,"")</f>
        <v/>
      </c>
      <c r="AU224" s="129">
        <f>IFERROR(J224/$AI224,"")</f>
        <v/>
      </c>
      <c r="AV224" s="129">
        <f>IFERROR(K224/$AI224,"")</f>
        <v/>
      </c>
      <c r="AW224" s="129">
        <f>IFERROR(L224/$AI224,"")</f>
        <v/>
      </c>
      <c r="AX224" s="129">
        <f>IFERROR(M224/$AI224,"")</f>
        <v/>
      </c>
      <c r="AY224" s="129">
        <f>IFERROR(N224/$AI224,"")</f>
        <v/>
      </c>
      <c r="AZ224" s="129">
        <f>IFERROR(O224/$AI224,"")</f>
        <v/>
      </c>
      <c r="BA224" s="129">
        <f>IFERROR(P224/$AI224,"")</f>
        <v/>
      </c>
      <c r="BB224" s="129">
        <f>IFERROR(AG224/$AI224,"")</f>
        <v/>
      </c>
      <c r="BC224" s="129" t="n"/>
      <c r="BD224" s="129">
        <f>IFERROR(AH224/$AI224,"")</f>
        <v/>
      </c>
      <c r="BE224" s="129">
        <f>IFERROR(R224/$AI224,"")</f>
        <v/>
      </c>
      <c r="BF224" s="129">
        <f>IFERROR(S224/$AI224,"")</f>
        <v/>
      </c>
      <c r="BG224" s="129">
        <f>IFERROR(T224/$AI224,"")</f>
        <v/>
      </c>
      <c r="BH224" s="129">
        <f>IFERROR(U224/$AI224,"")</f>
        <v/>
      </c>
      <c r="BI224" s="129">
        <f>IFERROR(V224/$AI224,"")</f>
        <v/>
      </c>
      <c r="BJ224" s="129">
        <f>IFERROR(W224/$AI224,"")</f>
        <v/>
      </c>
      <c r="BK224" s="129">
        <f>IFERROR(X224/$AI224,"")</f>
        <v/>
      </c>
      <c r="BL224" s="129">
        <f>IFERROR(Y224/$AI224,"")</f>
        <v/>
      </c>
      <c r="BM224" s="129">
        <f>IFERROR(Z224/$AI224,"")</f>
        <v/>
      </c>
      <c r="BN224" s="129">
        <f>IFERROR(AA224/$AI224,"")</f>
        <v/>
      </c>
      <c r="BO224" s="129">
        <f>IFERROR(AB224/$AI224,"")</f>
        <v/>
      </c>
      <c r="BP224" s="129">
        <f>IFERROR(AC224/$AI224,"")</f>
        <v/>
      </c>
      <c r="BQ224" s="129">
        <f>IFERROR(AD224/$AI224,"")</f>
        <v/>
      </c>
      <c r="BR224" s="129">
        <f>IFERROR(AE224/$AI224,"")</f>
        <v/>
      </c>
      <c r="BS224" s="129">
        <f>IFERROR(AF224/$AI224,"")</f>
        <v/>
      </c>
      <c r="BT224" s="129">
        <f>IFERROR(AG224/$AI224,"")</f>
        <v/>
      </c>
      <c r="BU224" s="129">
        <f>IFERROR(AH224/$AI224,"")</f>
        <v/>
      </c>
      <c r="BV224" s="126">
        <f>SUM(AQ224:BD224)</f>
        <v/>
      </c>
      <c r="BW224" s="126">
        <f>SUM(BE224:BU224)</f>
        <v/>
      </c>
      <c r="BX224" s="126">
        <f>SUM(AQ224:AU224)</f>
        <v/>
      </c>
    </row>
    <row r="225">
      <c r="B225" s="127" t="n"/>
      <c r="C225" s="125" t="n"/>
      <c r="D225" s="125" t="n"/>
      <c r="E225" s="125" t="n"/>
      <c r="F225" s="125" t="n"/>
      <c r="G225" s="125" t="n"/>
      <c r="H225" s="125" t="n"/>
      <c r="I225" s="125" t="n"/>
      <c r="J225" s="125" t="n"/>
      <c r="K225" s="125" t="n"/>
      <c r="L225" s="125" t="n"/>
      <c r="M225" s="125" t="n"/>
      <c r="N225" s="125" t="n"/>
      <c r="O225" s="125" t="n"/>
      <c r="P225" s="125" t="n"/>
      <c r="Q225" s="125" t="n"/>
      <c r="R225" s="125" t="n"/>
      <c r="S225" s="125" t="n"/>
      <c r="T225" s="125" t="n"/>
      <c r="U225" s="125" t="n"/>
      <c r="V225" s="125" t="n"/>
      <c r="W225" s="125" t="n"/>
      <c r="X225" s="125" t="n"/>
      <c r="Y225" s="125" t="n"/>
      <c r="Z225" s="125" t="n"/>
      <c r="AA225" s="125" t="n"/>
      <c r="AB225" s="125" t="n"/>
      <c r="AC225" s="125" t="n"/>
      <c r="AD225" s="125" t="n"/>
      <c r="AE225" s="125" t="n"/>
      <c r="AF225" s="125" t="n"/>
      <c r="AG225" s="125" t="n"/>
      <c r="AH225" s="125" t="n"/>
      <c r="AI225" s="127">
        <f>SUM(D225:AG225,AH225)</f>
        <v/>
      </c>
      <c r="AJ225" s="126">
        <f>(SUM($D225:$Q225))/AI225</f>
        <v/>
      </c>
      <c r="AK225" s="126">
        <f>(SUM($D225:$H225))/AI225</f>
        <v/>
      </c>
      <c r="AL225" s="126">
        <f>(SUM($R225:$AH225))/AI225</f>
        <v/>
      </c>
      <c r="AM225" s="126" t="n"/>
      <c r="AN225" s="125">
        <f>YEAR(C225)</f>
        <v/>
      </c>
      <c r="AO225" s="125">
        <f>MONTH(C225)</f>
        <v/>
      </c>
      <c r="AP225" s="125">
        <f>WEEKNUM(C225,2)</f>
        <v/>
      </c>
      <c r="AQ225" s="129">
        <f>IFERROR(D225/$AI225,"")</f>
        <v/>
      </c>
      <c r="AR225" s="129">
        <f>IFERROR(E225/$AI225,"")</f>
        <v/>
      </c>
      <c r="AS225" s="129">
        <f>IFERROR(H225/$AI225,"")</f>
        <v/>
      </c>
      <c r="AT225" s="129">
        <f>IFERROR(I225/$AI225,"")</f>
        <v/>
      </c>
      <c r="AU225" s="129">
        <f>IFERROR(J225/$AI225,"")</f>
        <v/>
      </c>
      <c r="AV225" s="129">
        <f>IFERROR(K225/$AI225,"")</f>
        <v/>
      </c>
      <c r="AW225" s="129">
        <f>IFERROR(L225/$AI225,"")</f>
        <v/>
      </c>
      <c r="AX225" s="129">
        <f>IFERROR(M225/$AI225,"")</f>
        <v/>
      </c>
      <c r="AY225" s="129">
        <f>IFERROR(N225/$AI225,"")</f>
        <v/>
      </c>
      <c r="AZ225" s="129">
        <f>IFERROR(O225/$AI225,"")</f>
        <v/>
      </c>
      <c r="BA225" s="129">
        <f>IFERROR(P225/$AI225,"")</f>
        <v/>
      </c>
      <c r="BB225" s="129">
        <f>IFERROR(AG225/$AI225,"")</f>
        <v/>
      </c>
      <c r="BC225" s="129" t="n"/>
      <c r="BD225" s="129">
        <f>IFERROR(AH225/$AI225,"")</f>
        <v/>
      </c>
      <c r="BE225" s="129">
        <f>IFERROR(R225/$AI225,"")</f>
        <v/>
      </c>
      <c r="BF225" s="129">
        <f>IFERROR(S225/$AI225,"")</f>
        <v/>
      </c>
      <c r="BG225" s="129">
        <f>IFERROR(T225/$AI225,"")</f>
        <v/>
      </c>
      <c r="BH225" s="129">
        <f>IFERROR(U225/$AI225,"")</f>
        <v/>
      </c>
      <c r="BI225" s="129">
        <f>IFERROR(V225/$AI225,"")</f>
        <v/>
      </c>
      <c r="BJ225" s="129">
        <f>IFERROR(W225/$AI225,"")</f>
        <v/>
      </c>
      <c r="BK225" s="129">
        <f>IFERROR(X225/$AI225,"")</f>
        <v/>
      </c>
      <c r="BL225" s="129">
        <f>IFERROR(Y225/$AI225,"")</f>
        <v/>
      </c>
      <c r="BM225" s="129">
        <f>IFERROR(Z225/$AI225,"")</f>
        <v/>
      </c>
      <c r="BN225" s="129">
        <f>IFERROR(AA225/$AI225,"")</f>
        <v/>
      </c>
      <c r="BO225" s="129">
        <f>IFERROR(AB225/$AI225,"")</f>
        <v/>
      </c>
      <c r="BP225" s="129">
        <f>IFERROR(AC225/$AI225,"")</f>
        <v/>
      </c>
      <c r="BQ225" s="129">
        <f>IFERROR(AD225/$AI225,"")</f>
        <v/>
      </c>
      <c r="BR225" s="129">
        <f>IFERROR(AE225/$AI225,"")</f>
        <v/>
      </c>
      <c r="BS225" s="129">
        <f>IFERROR(AF225/$AI225,"")</f>
        <v/>
      </c>
      <c r="BT225" s="129">
        <f>IFERROR(AG225/$AI225,"")</f>
        <v/>
      </c>
      <c r="BU225" s="129">
        <f>IFERROR(AH225/$AI225,"")</f>
        <v/>
      </c>
      <c r="BV225" s="126">
        <f>SUM(AQ225:BD225)</f>
        <v/>
      </c>
      <c r="BW225" s="126">
        <f>SUM(BE225:BU225)</f>
        <v/>
      </c>
      <c r="BX225" s="126">
        <f>SUM(AQ225:AU225)</f>
        <v/>
      </c>
    </row>
    <row r="226">
      <c r="B226" s="127" t="n"/>
      <c r="C226" s="125" t="n"/>
      <c r="D226" s="125" t="n"/>
      <c r="E226" s="125" t="n"/>
      <c r="F226" s="125" t="n"/>
      <c r="G226" s="125" t="n"/>
      <c r="H226" s="125" t="n"/>
      <c r="I226" s="125" t="n"/>
      <c r="J226" s="125" t="n"/>
      <c r="K226" s="125" t="n"/>
      <c r="L226" s="125" t="n"/>
      <c r="M226" s="125" t="n"/>
      <c r="N226" s="125" t="n"/>
      <c r="O226" s="125" t="n"/>
      <c r="P226" s="125" t="n"/>
      <c r="Q226" s="125" t="n"/>
      <c r="R226" s="125" t="n"/>
      <c r="S226" s="125" t="n"/>
      <c r="T226" s="125" t="n"/>
      <c r="U226" s="125" t="n"/>
      <c r="V226" s="125" t="n"/>
      <c r="W226" s="125" t="n"/>
      <c r="X226" s="125" t="n"/>
      <c r="Y226" s="125" t="n"/>
      <c r="Z226" s="125" t="n"/>
      <c r="AA226" s="125" t="n"/>
      <c r="AB226" s="125" t="n"/>
      <c r="AC226" s="125" t="n"/>
      <c r="AD226" s="125" t="n"/>
      <c r="AE226" s="125" t="n"/>
      <c r="AF226" s="125" t="n"/>
      <c r="AG226" s="125" t="n"/>
      <c r="AH226" s="125" t="n"/>
      <c r="AI226" s="127">
        <f>SUM(D226:AG226,AH226)</f>
        <v/>
      </c>
      <c r="AJ226" s="126">
        <f>(SUM($D226:$Q226))/AI226</f>
        <v/>
      </c>
      <c r="AK226" s="126">
        <f>(SUM($D226:$H226))/AI226</f>
        <v/>
      </c>
      <c r="AL226" s="126">
        <f>(SUM($R226:$AH226))/AI226</f>
        <v/>
      </c>
      <c r="AM226" s="126" t="n"/>
      <c r="AN226" s="125">
        <f>YEAR(C226)</f>
        <v/>
      </c>
      <c r="AO226" s="125">
        <f>MONTH(C226)</f>
        <v/>
      </c>
      <c r="AP226" s="125">
        <f>WEEKNUM(C226,2)</f>
        <v/>
      </c>
      <c r="AQ226" s="129">
        <f>IFERROR(D226/$AI226,"")</f>
        <v/>
      </c>
      <c r="AR226" s="129">
        <f>IFERROR(E226/$AI226,"")</f>
        <v/>
      </c>
      <c r="AS226" s="129">
        <f>IFERROR(H226/$AI226,"")</f>
        <v/>
      </c>
      <c r="AT226" s="129">
        <f>IFERROR(I226/$AI226,"")</f>
        <v/>
      </c>
      <c r="AU226" s="129">
        <f>IFERROR(J226/$AI226,"")</f>
        <v/>
      </c>
      <c r="AV226" s="129">
        <f>IFERROR(K226/$AI226,"")</f>
        <v/>
      </c>
      <c r="AW226" s="129">
        <f>IFERROR(L226/$AI226,"")</f>
        <v/>
      </c>
      <c r="AX226" s="129">
        <f>IFERROR(M226/$AI226,"")</f>
        <v/>
      </c>
      <c r="AY226" s="129">
        <f>IFERROR(N226/$AI226,"")</f>
        <v/>
      </c>
      <c r="AZ226" s="129">
        <f>IFERROR(O226/$AI226,"")</f>
        <v/>
      </c>
      <c r="BA226" s="129">
        <f>IFERROR(P226/$AI226,"")</f>
        <v/>
      </c>
      <c r="BB226" s="129">
        <f>IFERROR(AG226/$AI226,"")</f>
        <v/>
      </c>
      <c r="BC226" s="129" t="n"/>
      <c r="BD226" s="129">
        <f>IFERROR(AH226/$AI226,"")</f>
        <v/>
      </c>
      <c r="BE226" s="129">
        <f>IFERROR(R226/$AI226,"")</f>
        <v/>
      </c>
      <c r="BF226" s="129">
        <f>IFERROR(S226/$AI226,"")</f>
        <v/>
      </c>
      <c r="BG226" s="129">
        <f>IFERROR(T226/$AI226,"")</f>
        <v/>
      </c>
      <c r="BH226" s="129">
        <f>IFERROR(U226/$AI226,"")</f>
        <v/>
      </c>
      <c r="BI226" s="129">
        <f>IFERROR(V226/$AI226,"")</f>
        <v/>
      </c>
      <c r="BJ226" s="129">
        <f>IFERROR(W226/$AI226,"")</f>
        <v/>
      </c>
      <c r="BK226" s="129">
        <f>IFERROR(X226/$AI226,"")</f>
        <v/>
      </c>
      <c r="BL226" s="129">
        <f>IFERROR(Y226/$AI226,"")</f>
        <v/>
      </c>
      <c r="BM226" s="129">
        <f>IFERROR(Z226/$AI226,"")</f>
        <v/>
      </c>
      <c r="BN226" s="129">
        <f>IFERROR(AA226/$AI226,"")</f>
        <v/>
      </c>
      <c r="BO226" s="129">
        <f>IFERROR(AB226/$AI226,"")</f>
        <v/>
      </c>
      <c r="BP226" s="129">
        <f>IFERROR(AC226/$AI226,"")</f>
        <v/>
      </c>
      <c r="BQ226" s="129">
        <f>IFERROR(AD226/$AI226,"")</f>
        <v/>
      </c>
      <c r="BR226" s="129">
        <f>IFERROR(AE226/$AI226,"")</f>
        <v/>
      </c>
      <c r="BS226" s="129">
        <f>IFERROR(AF226/$AI226,"")</f>
        <v/>
      </c>
      <c r="BT226" s="129">
        <f>IFERROR(AG226/$AI226,"")</f>
        <v/>
      </c>
      <c r="BU226" s="129">
        <f>IFERROR(AH226/$AI226,"")</f>
        <v/>
      </c>
      <c r="BV226" s="126">
        <f>SUM(AQ226:BD226)</f>
        <v/>
      </c>
      <c r="BW226" s="126">
        <f>SUM(BE226:BU226)</f>
        <v/>
      </c>
      <c r="BX226" s="126">
        <f>SUM(AQ226:AU226)</f>
        <v/>
      </c>
    </row>
    <row r="227">
      <c r="B227" s="127" t="n"/>
      <c r="C227" s="125" t="n"/>
      <c r="D227" s="125" t="n"/>
      <c r="E227" s="125" t="n"/>
      <c r="F227" s="125" t="n"/>
      <c r="G227" s="125" t="n"/>
      <c r="H227" s="125" t="n"/>
      <c r="I227" s="125" t="n"/>
      <c r="J227" s="125" t="n"/>
      <c r="K227" s="125" t="n"/>
      <c r="L227" s="125" t="n"/>
      <c r="M227" s="125" t="n"/>
      <c r="N227" s="125" t="n"/>
      <c r="O227" s="125" t="n"/>
      <c r="P227" s="125" t="n"/>
      <c r="Q227" s="125" t="n"/>
      <c r="R227" s="125" t="n"/>
      <c r="S227" s="125" t="n"/>
      <c r="T227" s="125" t="n"/>
      <c r="U227" s="125" t="n"/>
      <c r="V227" s="125" t="n"/>
      <c r="W227" s="125" t="n"/>
      <c r="X227" s="125" t="n"/>
      <c r="Y227" s="125" t="n"/>
      <c r="Z227" s="125" t="n"/>
      <c r="AA227" s="125" t="n"/>
      <c r="AB227" s="125" t="n"/>
      <c r="AC227" s="125" t="n"/>
      <c r="AD227" s="125" t="n"/>
      <c r="AE227" s="125" t="n"/>
      <c r="AF227" s="125" t="n"/>
      <c r="AG227" s="125" t="n"/>
      <c r="AH227" s="125" t="n"/>
      <c r="AI227" s="127">
        <f>SUM(D227:AG227,AH227)</f>
        <v/>
      </c>
      <c r="AJ227" s="126">
        <f>(SUM($D227:$Q227))/AI227</f>
        <v/>
      </c>
      <c r="AK227" s="126">
        <f>(SUM($D227:$H227))/AI227</f>
        <v/>
      </c>
      <c r="AL227" s="126">
        <f>(SUM($R227:$AH227))/AI227</f>
        <v/>
      </c>
      <c r="AM227" s="126" t="n"/>
      <c r="AN227" s="125">
        <f>YEAR(C227)</f>
        <v/>
      </c>
      <c r="AO227" s="125">
        <f>MONTH(C227)</f>
        <v/>
      </c>
      <c r="AP227" s="125">
        <f>WEEKNUM(C227,2)</f>
        <v/>
      </c>
      <c r="AQ227" s="129">
        <f>IFERROR(D227/$AI227,"")</f>
        <v/>
      </c>
      <c r="AR227" s="129">
        <f>IFERROR(E227/$AI227,"")</f>
        <v/>
      </c>
      <c r="AS227" s="129">
        <f>IFERROR(H227/$AI227,"")</f>
        <v/>
      </c>
      <c r="AT227" s="129">
        <f>IFERROR(I227/$AI227,"")</f>
        <v/>
      </c>
      <c r="AU227" s="129">
        <f>IFERROR(J227/$AI227,"")</f>
        <v/>
      </c>
      <c r="AV227" s="129">
        <f>IFERROR(K227/$AI227,"")</f>
        <v/>
      </c>
      <c r="AW227" s="129">
        <f>IFERROR(L227/$AI227,"")</f>
        <v/>
      </c>
      <c r="AX227" s="129">
        <f>IFERROR(M227/$AI227,"")</f>
        <v/>
      </c>
      <c r="AY227" s="129">
        <f>IFERROR(N227/$AI227,"")</f>
        <v/>
      </c>
      <c r="AZ227" s="129">
        <f>IFERROR(O227/$AI227,"")</f>
        <v/>
      </c>
      <c r="BA227" s="129">
        <f>IFERROR(P227/$AI227,"")</f>
        <v/>
      </c>
      <c r="BB227" s="129">
        <f>IFERROR(AG227/$AI227,"")</f>
        <v/>
      </c>
      <c r="BC227" s="129" t="n"/>
      <c r="BD227" s="129">
        <f>IFERROR(AH227/$AI227,"")</f>
        <v/>
      </c>
      <c r="BE227" s="129">
        <f>IFERROR(R227/$AI227,"")</f>
        <v/>
      </c>
      <c r="BF227" s="129">
        <f>IFERROR(S227/$AI227,"")</f>
        <v/>
      </c>
      <c r="BG227" s="129">
        <f>IFERROR(T227/$AI227,"")</f>
        <v/>
      </c>
      <c r="BH227" s="129">
        <f>IFERROR(U227/$AI227,"")</f>
        <v/>
      </c>
      <c r="BI227" s="129">
        <f>IFERROR(V227/$AI227,"")</f>
        <v/>
      </c>
      <c r="BJ227" s="129">
        <f>IFERROR(W227/$AI227,"")</f>
        <v/>
      </c>
      <c r="BK227" s="129">
        <f>IFERROR(X227/$AI227,"")</f>
        <v/>
      </c>
      <c r="BL227" s="129">
        <f>IFERROR(Y227/$AI227,"")</f>
        <v/>
      </c>
      <c r="BM227" s="129">
        <f>IFERROR(Z227/$AI227,"")</f>
        <v/>
      </c>
      <c r="BN227" s="129">
        <f>IFERROR(AA227/$AI227,"")</f>
        <v/>
      </c>
      <c r="BO227" s="129">
        <f>IFERROR(AB227/$AI227,"")</f>
        <v/>
      </c>
      <c r="BP227" s="129">
        <f>IFERROR(AC227/$AI227,"")</f>
        <v/>
      </c>
      <c r="BQ227" s="129">
        <f>IFERROR(AD227/$AI227,"")</f>
        <v/>
      </c>
      <c r="BR227" s="129">
        <f>IFERROR(AE227/$AI227,"")</f>
        <v/>
      </c>
      <c r="BS227" s="129">
        <f>IFERROR(AF227/$AI227,"")</f>
        <v/>
      </c>
      <c r="BT227" s="129">
        <f>IFERROR(AG227/$AI227,"")</f>
        <v/>
      </c>
      <c r="BU227" s="129">
        <f>IFERROR(AH227/$AI227,"")</f>
        <v/>
      </c>
      <c r="BV227" s="126">
        <f>SUM(AQ227:BD227)</f>
        <v/>
      </c>
      <c r="BW227" s="126">
        <f>SUM(BE227:BU227)</f>
        <v/>
      </c>
      <c r="BX227" s="126">
        <f>SUM(AQ227:AU227)</f>
        <v/>
      </c>
    </row>
    <row r="228">
      <c r="B228" s="127" t="n"/>
      <c r="C228" s="125" t="n"/>
      <c r="D228" s="125" t="n"/>
      <c r="E228" s="125" t="n"/>
      <c r="F228" s="125" t="n"/>
      <c r="G228" s="125" t="n"/>
      <c r="H228" s="125" t="n"/>
      <c r="I228" s="125" t="n"/>
      <c r="J228" s="125" t="n"/>
      <c r="K228" s="125" t="n"/>
      <c r="L228" s="125" t="n"/>
      <c r="M228" s="125" t="n"/>
      <c r="N228" s="125" t="n"/>
      <c r="O228" s="125" t="n"/>
      <c r="P228" s="125" t="n"/>
      <c r="Q228" s="125" t="n"/>
      <c r="R228" s="125" t="n"/>
      <c r="S228" s="125" t="n"/>
      <c r="T228" s="125" t="n"/>
      <c r="U228" s="125" t="n"/>
      <c r="V228" s="125" t="n"/>
      <c r="W228" s="125" t="n"/>
      <c r="X228" s="125" t="n"/>
      <c r="Y228" s="125" t="n"/>
      <c r="Z228" s="125" t="n"/>
      <c r="AA228" s="125" t="n"/>
      <c r="AB228" s="125" t="n"/>
      <c r="AC228" s="125" t="n"/>
      <c r="AD228" s="125" t="n"/>
      <c r="AE228" s="125" t="n"/>
      <c r="AF228" s="125" t="n"/>
      <c r="AG228" s="125" t="n"/>
      <c r="AH228" s="125" t="n"/>
      <c r="AI228" s="127">
        <f>SUM(D228:AG228,AH228)</f>
        <v/>
      </c>
      <c r="AJ228" s="126">
        <f>(SUM($D228:$Q228))/AI228</f>
        <v/>
      </c>
      <c r="AK228" s="126">
        <f>(SUM($D228:$H228))/AI228</f>
        <v/>
      </c>
      <c r="AL228" s="126">
        <f>(SUM($R228:$AH228))/AI228</f>
        <v/>
      </c>
      <c r="AM228" s="126" t="n"/>
      <c r="AN228" s="125">
        <f>YEAR(C228)</f>
        <v/>
      </c>
      <c r="AO228" s="125">
        <f>MONTH(C228)</f>
        <v/>
      </c>
      <c r="AP228" s="125">
        <f>WEEKNUM(C228,2)</f>
        <v/>
      </c>
      <c r="AQ228" s="129">
        <f>IFERROR(D228/$AI228,"")</f>
        <v/>
      </c>
      <c r="AR228" s="129">
        <f>IFERROR(E228/$AI228,"")</f>
        <v/>
      </c>
      <c r="AS228" s="129">
        <f>IFERROR(H228/$AI228,"")</f>
        <v/>
      </c>
      <c r="AT228" s="129">
        <f>IFERROR(I228/$AI228,"")</f>
        <v/>
      </c>
      <c r="AU228" s="129">
        <f>IFERROR(J228/$AI228,"")</f>
        <v/>
      </c>
      <c r="AV228" s="129">
        <f>IFERROR(K228/$AI228,"")</f>
        <v/>
      </c>
      <c r="AW228" s="129">
        <f>IFERROR(L228/$AI228,"")</f>
        <v/>
      </c>
      <c r="AX228" s="129">
        <f>IFERROR(M228/$AI228,"")</f>
        <v/>
      </c>
      <c r="AY228" s="129">
        <f>IFERROR(N228/$AI228,"")</f>
        <v/>
      </c>
      <c r="AZ228" s="129">
        <f>IFERROR(O228/$AI228,"")</f>
        <v/>
      </c>
      <c r="BA228" s="129">
        <f>IFERROR(P228/$AI228,"")</f>
        <v/>
      </c>
      <c r="BB228" s="129">
        <f>IFERROR(AG228/$AI228,"")</f>
        <v/>
      </c>
      <c r="BC228" s="129" t="n"/>
      <c r="BD228" s="129">
        <f>IFERROR(AH228/$AI228,"")</f>
        <v/>
      </c>
      <c r="BE228" s="129">
        <f>IFERROR(R228/$AI228,"")</f>
        <v/>
      </c>
      <c r="BF228" s="129">
        <f>IFERROR(S228/$AI228,"")</f>
        <v/>
      </c>
      <c r="BG228" s="129">
        <f>IFERROR(T228/$AI228,"")</f>
        <v/>
      </c>
      <c r="BH228" s="129">
        <f>IFERROR(U228/$AI228,"")</f>
        <v/>
      </c>
      <c r="BI228" s="129">
        <f>IFERROR(V228/$AI228,"")</f>
        <v/>
      </c>
      <c r="BJ228" s="129">
        <f>IFERROR(W228/$AI228,"")</f>
        <v/>
      </c>
      <c r="BK228" s="129">
        <f>IFERROR(X228/$AI228,"")</f>
        <v/>
      </c>
      <c r="BL228" s="129">
        <f>IFERROR(Y228/$AI228,"")</f>
        <v/>
      </c>
      <c r="BM228" s="129">
        <f>IFERROR(Z228/$AI228,"")</f>
        <v/>
      </c>
      <c r="BN228" s="129">
        <f>IFERROR(AA228/$AI228,"")</f>
        <v/>
      </c>
      <c r="BO228" s="129">
        <f>IFERROR(AB228/$AI228,"")</f>
        <v/>
      </c>
      <c r="BP228" s="129">
        <f>IFERROR(AC228/$AI228,"")</f>
        <v/>
      </c>
      <c r="BQ228" s="129">
        <f>IFERROR(AD228/$AI228,"")</f>
        <v/>
      </c>
      <c r="BR228" s="129">
        <f>IFERROR(AE228/$AI228,"")</f>
        <v/>
      </c>
      <c r="BS228" s="129">
        <f>IFERROR(AF228/$AI228,"")</f>
        <v/>
      </c>
      <c r="BT228" s="129">
        <f>IFERROR(AG228/$AI228,"")</f>
        <v/>
      </c>
      <c r="BU228" s="129">
        <f>IFERROR(AH228/$AI228,"")</f>
        <v/>
      </c>
      <c r="BV228" s="126">
        <f>SUM(AQ228:BD228)</f>
        <v/>
      </c>
      <c r="BW228" s="126">
        <f>SUM(BE228:BU228)</f>
        <v/>
      </c>
      <c r="BX228" s="126">
        <f>SUM(AQ228:AU228)</f>
        <v/>
      </c>
    </row>
    <row r="229">
      <c r="B229" s="127" t="n"/>
      <c r="C229" s="125" t="n"/>
      <c r="D229" s="125" t="n"/>
      <c r="E229" s="125" t="n"/>
      <c r="F229" s="125" t="n"/>
      <c r="G229" s="125" t="n"/>
      <c r="H229" s="125" t="n"/>
      <c r="I229" s="125" t="n"/>
      <c r="J229" s="125" t="n"/>
      <c r="K229" s="125" t="n"/>
      <c r="L229" s="125" t="n"/>
      <c r="M229" s="125" t="n"/>
      <c r="N229" s="125" t="n"/>
      <c r="O229" s="125" t="n"/>
      <c r="P229" s="125" t="n"/>
      <c r="Q229" s="125" t="n"/>
      <c r="R229" s="125" t="n"/>
      <c r="S229" s="125" t="n"/>
      <c r="T229" s="125" t="n"/>
      <c r="U229" s="125" t="n"/>
      <c r="V229" s="125" t="n"/>
      <c r="W229" s="125" t="n"/>
      <c r="X229" s="125" t="n"/>
      <c r="Y229" s="125" t="n"/>
      <c r="Z229" s="125" t="n"/>
      <c r="AA229" s="125" t="n"/>
      <c r="AB229" s="125" t="n"/>
      <c r="AC229" s="125" t="n"/>
      <c r="AD229" s="125" t="n"/>
      <c r="AE229" s="125" t="n"/>
      <c r="AF229" s="125" t="n"/>
      <c r="AG229" s="125" t="n"/>
      <c r="AH229" s="125" t="n"/>
      <c r="AI229" s="127">
        <f>SUM(D229:AG229,AH229)</f>
        <v/>
      </c>
      <c r="AJ229" s="126">
        <f>(SUM($D229:$Q229))/AI229</f>
        <v/>
      </c>
      <c r="AK229" s="126">
        <f>(SUM($D229:$H229))/AI229</f>
        <v/>
      </c>
      <c r="AL229" s="126">
        <f>(SUM($R229:$AH229))/AI229</f>
        <v/>
      </c>
      <c r="AM229" s="126" t="n"/>
      <c r="AN229" s="125">
        <f>YEAR(C229)</f>
        <v/>
      </c>
      <c r="AO229" s="125">
        <f>MONTH(C229)</f>
        <v/>
      </c>
      <c r="AP229" s="125">
        <f>WEEKNUM(C229,2)</f>
        <v/>
      </c>
      <c r="AQ229" s="129">
        <f>IFERROR(D229/$AI229,"")</f>
        <v/>
      </c>
      <c r="AR229" s="129">
        <f>IFERROR(E229/$AI229,"")</f>
        <v/>
      </c>
      <c r="AS229" s="129">
        <f>IFERROR(H229/$AI229,"")</f>
        <v/>
      </c>
      <c r="AT229" s="129">
        <f>IFERROR(I229/$AI229,"")</f>
        <v/>
      </c>
      <c r="AU229" s="129">
        <f>IFERROR(J229/$AI229,"")</f>
        <v/>
      </c>
      <c r="AV229" s="129">
        <f>IFERROR(K229/$AI229,"")</f>
        <v/>
      </c>
      <c r="AW229" s="129">
        <f>IFERROR(L229/$AI229,"")</f>
        <v/>
      </c>
      <c r="AX229" s="129">
        <f>IFERROR(M229/$AI229,"")</f>
        <v/>
      </c>
      <c r="AY229" s="129">
        <f>IFERROR(N229/$AI229,"")</f>
        <v/>
      </c>
      <c r="AZ229" s="129">
        <f>IFERROR(O229/$AI229,"")</f>
        <v/>
      </c>
      <c r="BA229" s="129">
        <f>IFERROR(P229/$AI229,"")</f>
        <v/>
      </c>
      <c r="BB229" s="129">
        <f>IFERROR(AG229/$AI229,"")</f>
        <v/>
      </c>
      <c r="BC229" s="129" t="n"/>
      <c r="BD229" s="129">
        <f>IFERROR(AH229/$AI229,"")</f>
        <v/>
      </c>
      <c r="BE229" s="129">
        <f>IFERROR(R229/$AI229,"")</f>
        <v/>
      </c>
      <c r="BF229" s="129">
        <f>IFERROR(S229/$AI229,"")</f>
        <v/>
      </c>
      <c r="BG229" s="129">
        <f>IFERROR(T229/$AI229,"")</f>
        <v/>
      </c>
      <c r="BH229" s="129">
        <f>IFERROR(U229/$AI229,"")</f>
        <v/>
      </c>
      <c r="BI229" s="129">
        <f>IFERROR(V229/$AI229,"")</f>
        <v/>
      </c>
      <c r="BJ229" s="129">
        <f>IFERROR(W229/$AI229,"")</f>
        <v/>
      </c>
      <c r="BK229" s="129">
        <f>IFERROR(X229/$AI229,"")</f>
        <v/>
      </c>
      <c r="BL229" s="129">
        <f>IFERROR(Y229/$AI229,"")</f>
        <v/>
      </c>
      <c r="BM229" s="129">
        <f>IFERROR(Z229/$AI229,"")</f>
        <v/>
      </c>
      <c r="BN229" s="129">
        <f>IFERROR(AA229/$AI229,"")</f>
        <v/>
      </c>
      <c r="BO229" s="129">
        <f>IFERROR(AB229/$AI229,"")</f>
        <v/>
      </c>
      <c r="BP229" s="129">
        <f>IFERROR(AC229/$AI229,"")</f>
        <v/>
      </c>
      <c r="BQ229" s="129">
        <f>IFERROR(AD229/$AI229,"")</f>
        <v/>
      </c>
      <c r="BR229" s="129">
        <f>IFERROR(AE229/$AI229,"")</f>
        <v/>
      </c>
      <c r="BS229" s="129">
        <f>IFERROR(AF229/$AI229,"")</f>
        <v/>
      </c>
      <c r="BT229" s="129">
        <f>IFERROR(AG229/$AI229,"")</f>
        <v/>
      </c>
      <c r="BU229" s="129">
        <f>IFERROR(AH229/$AI229,"")</f>
        <v/>
      </c>
      <c r="BV229" s="126">
        <f>SUM(AQ229:BD229)</f>
        <v/>
      </c>
      <c r="BW229" s="126">
        <f>SUM(BE229:BU229)</f>
        <v/>
      </c>
      <c r="BX229" s="126">
        <f>SUM(AQ229:AU229)</f>
        <v/>
      </c>
    </row>
    <row r="230">
      <c r="B230" s="127" t="n"/>
      <c r="C230" s="125" t="n"/>
      <c r="D230" s="125" t="n"/>
      <c r="E230" s="125" t="n"/>
      <c r="F230" s="125" t="n"/>
      <c r="G230" s="125" t="n"/>
      <c r="H230" s="125" t="n"/>
      <c r="I230" s="125" t="n"/>
      <c r="J230" s="125" t="n"/>
      <c r="K230" s="125" t="n"/>
      <c r="L230" s="125" t="n"/>
      <c r="M230" s="125" t="n"/>
      <c r="N230" s="125" t="n"/>
      <c r="O230" s="125" t="n"/>
      <c r="P230" s="125" t="n"/>
      <c r="Q230" s="125" t="n"/>
      <c r="R230" s="125" t="n"/>
      <c r="S230" s="125" t="n"/>
      <c r="T230" s="125" t="n"/>
      <c r="U230" s="125" t="n"/>
      <c r="V230" s="125" t="n"/>
      <c r="W230" s="125" t="n"/>
      <c r="X230" s="125" t="n"/>
      <c r="Y230" s="125" t="n"/>
      <c r="Z230" s="125" t="n"/>
      <c r="AA230" s="125" t="n"/>
      <c r="AB230" s="125" t="n"/>
      <c r="AC230" s="125" t="n"/>
      <c r="AD230" s="125" t="n"/>
      <c r="AE230" s="125" t="n"/>
      <c r="AF230" s="125" t="n"/>
      <c r="AG230" s="125" t="n"/>
      <c r="AH230" s="125" t="n"/>
      <c r="AI230" s="127">
        <f>SUM(D230:AG230,AH230)</f>
        <v/>
      </c>
      <c r="AJ230" s="126">
        <f>(SUM($D230:$Q230))/AI230</f>
        <v/>
      </c>
      <c r="AK230" s="126">
        <f>(SUM($D230:$H230))/AI230</f>
        <v/>
      </c>
      <c r="AL230" s="126">
        <f>(SUM($R230:$AH230))/AI230</f>
        <v/>
      </c>
      <c r="AM230" s="126" t="n"/>
      <c r="AN230" s="125">
        <f>YEAR(C230)</f>
        <v/>
      </c>
      <c r="AO230" s="125">
        <f>MONTH(C230)</f>
        <v/>
      </c>
      <c r="AP230" s="125">
        <f>WEEKNUM(C230,2)</f>
        <v/>
      </c>
      <c r="AQ230" s="129">
        <f>IFERROR(D230/$AI230,"")</f>
        <v/>
      </c>
      <c r="AR230" s="129">
        <f>IFERROR(E230/$AI230,"")</f>
        <v/>
      </c>
      <c r="AS230" s="129">
        <f>IFERROR(H230/$AI230,"")</f>
        <v/>
      </c>
      <c r="AT230" s="129">
        <f>IFERROR(I230/$AI230,"")</f>
        <v/>
      </c>
      <c r="AU230" s="129">
        <f>IFERROR(J230/$AI230,"")</f>
        <v/>
      </c>
      <c r="AV230" s="129">
        <f>IFERROR(K230/$AI230,"")</f>
        <v/>
      </c>
      <c r="AW230" s="129">
        <f>IFERROR(L230/$AI230,"")</f>
        <v/>
      </c>
      <c r="AX230" s="129">
        <f>IFERROR(M230/$AI230,"")</f>
        <v/>
      </c>
      <c r="AY230" s="129">
        <f>IFERROR(N230/$AI230,"")</f>
        <v/>
      </c>
      <c r="AZ230" s="129">
        <f>IFERROR(O230/$AI230,"")</f>
        <v/>
      </c>
      <c r="BA230" s="129">
        <f>IFERROR(P230/$AI230,"")</f>
        <v/>
      </c>
      <c r="BB230" s="129">
        <f>IFERROR(AG230/$AI230,"")</f>
        <v/>
      </c>
      <c r="BC230" s="129" t="n"/>
      <c r="BD230" s="129">
        <f>IFERROR(AH230/$AI230,"")</f>
        <v/>
      </c>
      <c r="BE230" s="129">
        <f>IFERROR(R230/$AI230,"")</f>
        <v/>
      </c>
      <c r="BF230" s="129">
        <f>IFERROR(S230/$AI230,"")</f>
        <v/>
      </c>
      <c r="BG230" s="129">
        <f>IFERROR(T230/$AI230,"")</f>
        <v/>
      </c>
      <c r="BH230" s="129">
        <f>IFERROR(U230/$AI230,"")</f>
        <v/>
      </c>
      <c r="BI230" s="129">
        <f>IFERROR(V230/$AI230,"")</f>
        <v/>
      </c>
      <c r="BJ230" s="129">
        <f>IFERROR(W230/$AI230,"")</f>
        <v/>
      </c>
      <c r="BK230" s="129">
        <f>IFERROR(X230/$AI230,"")</f>
        <v/>
      </c>
      <c r="BL230" s="129">
        <f>IFERROR(Y230/$AI230,"")</f>
        <v/>
      </c>
      <c r="BM230" s="129">
        <f>IFERROR(Z230/$AI230,"")</f>
        <v/>
      </c>
      <c r="BN230" s="129">
        <f>IFERROR(AA230/$AI230,"")</f>
        <v/>
      </c>
      <c r="BO230" s="129">
        <f>IFERROR(AB230/$AI230,"")</f>
        <v/>
      </c>
      <c r="BP230" s="129">
        <f>IFERROR(AC230/$AI230,"")</f>
        <v/>
      </c>
      <c r="BQ230" s="129">
        <f>IFERROR(AD230/$AI230,"")</f>
        <v/>
      </c>
      <c r="BR230" s="129">
        <f>IFERROR(AE230/$AI230,"")</f>
        <v/>
      </c>
      <c r="BS230" s="129">
        <f>IFERROR(AF230/$AI230,"")</f>
        <v/>
      </c>
      <c r="BT230" s="129">
        <f>IFERROR(AG230/$AI230,"")</f>
        <v/>
      </c>
      <c r="BU230" s="129">
        <f>IFERROR(AH230/$AI230,"")</f>
        <v/>
      </c>
      <c r="BV230" s="126">
        <f>SUM(AQ230:BD230)</f>
        <v/>
      </c>
      <c r="BW230" s="126">
        <f>SUM(BE230:BU230)</f>
        <v/>
      </c>
      <c r="BX230" s="126">
        <f>SUM(AQ230:AU230)</f>
        <v/>
      </c>
    </row>
    <row r="231">
      <c r="B231" s="127" t="n"/>
      <c r="C231" s="125" t="n"/>
      <c r="D231" s="125" t="n"/>
      <c r="E231" s="125" t="n"/>
      <c r="F231" s="125" t="n"/>
      <c r="G231" s="125" t="n"/>
      <c r="H231" s="125" t="n"/>
      <c r="I231" s="125" t="n"/>
      <c r="J231" s="125" t="n"/>
      <c r="K231" s="125" t="n"/>
      <c r="L231" s="125" t="n"/>
      <c r="M231" s="125" t="n"/>
      <c r="N231" s="125" t="n"/>
      <c r="O231" s="125" t="n"/>
      <c r="P231" s="125" t="n"/>
      <c r="Q231" s="125" t="n"/>
      <c r="R231" s="125" t="n"/>
      <c r="S231" s="125" t="n"/>
      <c r="T231" s="125" t="n"/>
      <c r="U231" s="125" t="n"/>
      <c r="V231" s="125" t="n"/>
      <c r="W231" s="125" t="n"/>
      <c r="X231" s="125" t="n"/>
      <c r="Y231" s="125" t="n"/>
      <c r="Z231" s="125" t="n"/>
      <c r="AA231" s="125" t="n"/>
      <c r="AB231" s="125" t="n"/>
      <c r="AC231" s="125" t="n"/>
      <c r="AD231" s="125" t="n"/>
      <c r="AE231" s="125" t="n"/>
      <c r="AF231" s="125" t="n"/>
      <c r="AG231" s="125" t="n"/>
      <c r="AH231" s="125" t="n"/>
      <c r="AI231" s="127">
        <f>SUM(D231:AG231,AH231)</f>
        <v/>
      </c>
      <c r="AJ231" s="126">
        <f>(SUM($D231:$Q231))/AI231</f>
        <v/>
      </c>
      <c r="AK231" s="126">
        <f>(SUM($D231:$H231))/AI231</f>
        <v/>
      </c>
      <c r="AL231" s="126">
        <f>(SUM($R231:$AH231))/AI231</f>
        <v/>
      </c>
      <c r="AM231" s="126" t="n"/>
      <c r="AN231" s="125">
        <f>YEAR(C231)</f>
        <v/>
      </c>
      <c r="AO231" s="125">
        <f>MONTH(C231)</f>
        <v/>
      </c>
      <c r="AP231" s="125">
        <f>WEEKNUM(C231,2)</f>
        <v/>
      </c>
      <c r="AQ231" s="129">
        <f>IFERROR(D231/$AI231,"")</f>
        <v/>
      </c>
      <c r="AR231" s="129">
        <f>IFERROR(E231/$AI231,"")</f>
        <v/>
      </c>
      <c r="AS231" s="129">
        <f>IFERROR(H231/$AI231,"")</f>
        <v/>
      </c>
      <c r="AT231" s="129">
        <f>IFERROR(I231/$AI231,"")</f>
        <v/>
      </c>
      <c r="AU231" s="129">
        <f>IFERROR(J231/$AI231,"")</f>
        <v/>
      </c>
      <c r="AV231" s="129">
        <f>IFERROR(K231/$AI231,"")</f>
        <v/>
      </c>
      <c r="AW231" s="129">
        <f>IFERROR(L231/$AI231,"")</f>
        <v/>
      </c>
      <c r="AX231" s="129">
        <f>IFERROR(M231/$AI231,"")</f>
        <v/>
      </c>
      <c r="AY231" s="129">
        <f>IFERROR(N231/$AI231,"")</f>
        <v/>
      </c>
      <c r="AZ231" s="129">
        <f>IFERROR(O231/$AI231,"")</f>
        <v/>
      </c>
      <c r="BA231" s="129">
        <f>IFERROR(P231/$AI231,"")</f>
        <v/>
      </c>
      <c r="BB231" s="129">
        <f>IFERROR(AG231/$AI231,"")</f>
        <v/>
      </c>
      <c r="BC231" s="129" t="n"/>
      <c r="BD231" s="129">
        <f>IFERROR(AH231/$AI231,"")</f>
        <v/>
      </c>
      <c r="BE231" s="129">
        <f>IFERROR(R231/$AI231,"")</f>
        <v/>
      </c>
      <c r="BF231" s="129">
        <f>IFERROR(S231/$AI231,"")</f>
        <v/>
      </c>
      <c r="BG231" s="129">
        <f>IFERROR(T231/$AI231,"")</f>
        <v/>
      </c>
      <c r="BH231" s="129">
        <f>IFERROR(U231/$AI231,"")</f>
        <v/>
      </c>
      <c r="BI231" s="129">
        <f>IFERROR(V231/$AI231,"")</f>
        <v/>
      </c>
      <c r="BJ231" s="129">
        <f>IFERROR(W231/$AI231,"")</f>
        <v/>
      </c>
      <c r="BK231" s="129">
        <f>IFERROR(X231/$AI231,"")</f>
        <v/>
      </c>
      <c r="BL231" s="129">
        <f>IFERROR(Y231/$AI231,"")</f>
        <v/>
      </c>
      <c r="BM231" s="129">
        <f>IFERROR(Z231/$AI231,"")</f>
        <v/>
      </c>
      <c r="BN231" s="129">
        <f>IFERROR(AA231/$AI231,"")</f>
        <v/>
      </c>
      <c r="BO231" s="129">
        <f>IFERROR(AB231/$AI231,"")</f>
        <v/>
      </c>
      <c r="BP231" s="129">
        <f>IFERROR(AC231/$AI231,"")</f>
        <v/>
      </c>
      <c r="BQ231" s="129">
        <f>IFERROR(AD231/$AI231,"")</f>
        <v/>
      </c>
      <c r="BR231" s="129">
        <f>IFERROR(AE231/$AI231,"")</f>
        <v/>
      </c>
      <c r="BS231" s="129">
        <f>IFERROR(AF231/$AI231,"")</f>
        <v/>
      </c>
      <c r="BT231" s="129">
        <f>IFERROR(AG231/$AI231,"")</f>
        <v/>
      </c>
      <c r="BU231" s="129">
        <f>IFERROR(AH231/$AI231,"")</f>
        <v/>
      </c>
      <c r="BV231" s="126">
        <f>SUM(AQ231:BD231)</f>
        <v/>
      </c>
      <c r="BW231" s="126">
        <f>SUM(BE231:BU231)</f>
        <v/>
      </c>
      <c r="BX231" s="126">
        <f>SUM(AQ231:AU231)</f>
        <v/>
      </c>
    </row>
    <row r="232">
      <c r="B232" s="127" t="n"/>
      <c r="C232" s="125" t="n"/>
      <c r="D232" s="125" t="n"/>
      <c r="E232" s="125" t="n"/>
      <c r="F232" s="125" t="n"/>
      <c r="G232" s="125" t="n"/>
      <c r="H232" s="125" t="n"/>
      <c r="I232" s="125" t="n"/>
      <c r="J232" s="125" t="n"/>
      <c r="K232" s="125" t="n"/>
      <c r="L232" s="125" t="n"/>
      <c r="M232" s="125" t="n"/>
      <c r="N232" s="125" t="n"/>
      <c r="O232" s="125" t="n"/>
      <c r="P232" s="125" t="n"/>
      <c r="Q232" s="125" t="n"/>
      <c r="R232" s="125" t="n"/>
      <c r="S232" s="125" t="n"/>
      <c r="T232" s="125" t="n"/>
      <c r="U232" s="125" t="n"/>
      <c r="V232" s="125" t="n"/>
      <c r="W232" s="125" t="n"/>
      <c r="X232" s="125" t="n"/>
      <c r="Y232" s="125" t="n"/>
      <c r="Z232" s="125" t="n"/>
      <c r="AA232" s="125" t="n"/>
      <c r="AB232" s="125" t="n"/>
      <c r="AC232" s="125" t="n"/>
      <c r="AD232" s="125" t="n"/>
      <c r="AE232" s="125" t="n"/>
      <c r="AF232" s="125" t="n"/>
      <c r="AG232" s="125" t="n"/>
      <c r="AH232" s="125" t="n"/>
      <c r="AI232" s="127">
        <f>SUM(D232:AG232,AH232)</f>
        <v/>
      </c>
      <c r="AJ232" s="126">
        <f>(SUM($D232:$Q232))/AI232</f>
        <v/>
      </c>
      <c r="AK232" s="126">
        <f>(SUM($D232:$H232))/AI232</f>
        <v/>
      </c>
      <c r="AL232" s="126">
        <f>(SUM($R232:$AH232))/AI232</f>
        <v/>
      </c>
      <c r="AM232" s="126" t="n"/>
      <c r="AN232" s="125">
        <f>YEAR(C232)</f>
        <v/>
      </c>
      <c r="AO232" s="125">
        <f>MONTH(C232)</f>
        <v/>
      </c>
      <c r="AP232" s="125">
        <f>WEEKNUM(C232,2)</f>
        <v/>
      </c>
      <c r="AQ232" s="129">
        <f>IFERROR(D232/$AI232,"")</f>
        <v/>
      </c>
      <c r="AR232" s="129">
        <f>IFERROR(E232/$AI232,"")</f>
        <v/>
      </c>
      <c r="AS232" s="129">
        <f>IFERROR(H232/$AI232,"")</f>
        <v/>
      </c>
      <c r="AT232" s="129">
        <f>IFERROR(I232/$AI232,"")</f>
        <v/>
      </c>
      <c r="AU232" s="129">
        <f>IFERROR(J232/$AI232,"")</f>
        <v/>
      </c>
      <c r="AV232" s="129">
        <f>IFERROR(K232/$AI232,"")</f>
        <v/>
      </c>
      <c r="AW232" s="129">
        <f>IFERROR(L232/$AI232,"")</f>
        <v/>
      </c>
      <c r="AX232" s="129">
        <f>IFERROR(M232/$AI232,"")</f>
        <v/>
      </c>
      <c r="AY232" s="129">
        <f>IFERROR(N232/$AI232,"")</f>
        <v/>
      </c>
      <c r="AZ232" s="129">
        <f>IFERROR(O232/$AI232,"")</f>
        <v/>
      </c>
      <c r="BA232" s="129">
        <f>IFERROR(P232/$AI232,"")</f>
        <v/>
      </c>
      <c r="BB232" s="129">
        <f>IFERROR(AG232/$AI232,"")</f>
        <v/>
      </c>
      <c r="BC232" s="129" t="n"/>
      <c r="BD232" s="129">
        <f>IFERROR(AH232/$AI232,"")</f>
        <v/>
      </c>
      <c r="BE232" s="129">
        <f>IFERROR(R232/$AI232,"")</f>
        <v/>
      </c>
      <c r="BF232" s="129">
        <f>IFERROR(S232/$AI232,"")</f>
        <v/>
      </c>
      <c r="BG232" s="129">
        <f>IFERROR(T232/$AI232,"")</f>
        <v/>
      </c>
      <c r="BH232" s="129">
        <f>IFERROR(U232/$AI232,"")</f>
        <v/>
      </c>
      <c r="BI232" s="129">
        <f>IFERROR(V232/$AI232,"")</f>
        <v/>
      </c>
      <c r="BJ232" s="129">
        <f>IFERROR(W232/$AI232,"")</f>
        <v/>
      </c>
      <c r="BK232" s="129">
        <f>IFERROR(X232/$AI232,"")</f>
        <v/>
      </c>
      <c r="BL232" s="129">
        <f>IFERROR(Y232/$AI232,"")</f>
        <v/>
      </c>
      <c r="BM232" s="129">
        <f>IFERROR(Z232/$AI232,"")</f>
        <v/>
      </c>
      <c r="BN232" s="129">
        <f>IFERROR(AA232/$AI232,"")</f>
        <v/>
      </c>
      <c r="BO232" s="129">
        <f>IFERROR(AB232/$AI232,"")</f>
        <v/>
      </c>
      <c r="BP232" s="129">
        <f>IFERROR(AC232/$AI232,"")</f>
        <v/>
      </c>
      <c r="BQ232" s="129">
        <f>IFERROR(AD232/$AI232,"")</f>
        <v/>
      </c>
      <c r="BR232" s="129">
        <f>IFERROR(AE232/$AI232,"")</f>
        <v/>
      </c>
      <c r="BS232" s="129">
        <f>IFERROR(AF232/$AI232,"")</f>
        <v/>
      </c>
      <c r="BT232" s="129">
        <f>IFERROR(AG232/$AI232,"")</f>
        <v/>
      </c>
      <c r="BU232" s="129">
        <f>IFERROR(AH232/$AI232,"")</f>
        <v/>
      </c>
      <c r="BV232" s="126">
        <f>SUM(AQ232:BD232)</f>
        <v/>
      </c>
      <c r="BW232" s="126">
        <f>SUM(BE232:BU232)</f>
        <v/>
      </c>
      <c r="BX232" s="126">
        <f>SUM(AQ232:AU232)</f>
        <v/>
      </c>
    </row>
    <row r="233">
      <c r="B233" s="127" t="n"/>
      <c r="C233" s="125" t="n"/>
      <c r="D233" s="125" t="n"/>
      <c r="E233" s="125" t="n"/>
      <c r="F233" s="125" t="n"/>
      <c r="G233" s="125" t="n"/>
      <c r="H233" s="125" t="n"/>
      <c r="I233" s="125" t="n"/>
      <c r="J233" s="125" t="n"/>
      <c r="K233" s="125" t="n"/>
      <c r="L233" s="125" t="n"/>
      <c r="M233" s="125" t="n"/>
      <c r="N233" s="125" t="n"/>
      <c r="O233" s="125" t="n"/>
      <c r="P233" s="125" t="n"/>
      <c r="Q233" s="125" t="n"/>
      <c r="R233" s="125" t="n"/>
      <c r="S233" s="125" t="n"/>
      <c r="T233" s="125" t="n"/>
      <c r="U233" s="125" t="n"/>
      <c r="V233" s="125" t="n"/>
      <c r="W233" s="125" t="n"/>
      <c r="X233" s="125" t="n"/>
      <c r="Y233" s="125" t="n"/>
      <c r="Z233" s="125" t="n"/>
      <c r="AA233" s="125" t="n"/>
      <c r="AB233" s="125" t="n"/>
      <c r="AC233" s="125" t="n"/>
      <c r="AD233" s="125" t="n"/>
      <c r="AE233" s="125" t="n"/>
      <c r="AF233" s="125" t="n"/>
      <c r="AG233" s="125" t="n"/>
      <c r="AH233" s="125" t="n"/>
      <c r="AI233" s="127">
        <f>SUM(D233:AG233,AH233)</f>
        <v/>
      </c>
      <c r="AJ233" s="126">
        <f>(SUM($D233:$Q233))/AI233</f>
        <v/>
      </c>
      <c r="AK233" s="126">
        <f>(SUM($D233:$H233))/AI233</f>
        <v/>
      </c>
      <c r="AL233" s="126">
        <f>(SUM($R233:$AH233))/AI233</f>
        <v/>
      </c>
      <c r="AM233" s="126" t="n"/>
      <c r="AN233" s="125">
        <f>YEAR(C233)</f>
        <v/>
      </c>
      <c r="AO233" s="125">
        <f>MONTH(C233)</f>
        <v/>
      </c>
      <c r="AP233" s="125">
        <f>WEEKNUM(C233,2)</f>
        <v/>
      </c>
      <c r="AQ233" s="129">
        <f>IFERROR(D233/$AI233,"")</f>
        <v/>
      </c>
      <c r="AR233" s="129">
        <f>IFERROR(E233/$AI233,"")</f>
        <v/>
      </c>
      <c r="AS233" s="129">
        <f>IFERROR(H233/$AI233,"")</f>
        <v/>
      </c>
      <c r="AT233" s="129">
        <f>IFERROR(I233/$AI233,"")</f>
        <v/>
      </c>
      <c r="AU233" s="129">
        <f>IFERROR(J233/$AI233,"")</f>
        <v/>
      </c>
      <c r="AV233" s="129">
        <f>IFERROR(K233/$AI233,"")</f>
        <v/>
      </c>
      <c r="AW233" s="129">
        <f>IFERROR(L233/$AI233,"")</f>
        <v/>
      </c>
      <c r="AX233" s="129">
        <f>IFERROR(M233/$AI233,"")</f>
        <v/>
      </c>
      <c r="AY233" s="129">
        <f>IFERROR(N233/$AI233,"")</f>
        <v/>
      </c>
      <c r="AZ233" s="129">
        <f>IFERROR(O233/$AI233,"")</f>
        <v/>
      </c>
      <c r="BA233" s="129">
        <f>IFERROR(P233/$AI233,"")</f>
        <v/>
      </c>
      <c r="BB233" s="129">
        <f>IFERROR(AG233/$AI233,"")</f>
        <v/>
      </c>
      <c r="BC233" s="129" t="n"/>
      <c r="BD233" s="129">
        <f>IFERROR(AH233/$AI233,"")</f>
        <v/>
      </c>
      <c r="BE233" s="129">
        <f>IFERROR(R233/$AI233,"")</f>
        <v/>
      </c>
      <c r="BF233" s="129">
        <f>IFERROR(S233/$AI233,"")</f>
        <v/>
      </c>
      <c r="BG233" s="129">
        <f>IFERROR(T233/$AI233,"")</f>
        <v/>
      </c>
      <c r="BH233" s="129">
        <f>IFERROR(U233/$AI233,"")</f>
        <v/>
      </c>
      <c r="BI233" s="129">
        <f>IFERROR(V233/$AI233,"")</f>
        <v/>
      </c>
      <c r="BJ233" s="129">
        <f>IFERROR(W233/$AI233,"")</f>
        <v/>
      </c>
      <c r="BK233" s="129">
        <f>IFERROR(X233/$AI233,"")</f>
        <v/>
      </c>
      <c r="BL233" s="129">
        <f>IFERROR(Y233/$AI233,"")</f>
        <v/>
      </c>
      <c r="BM233" s="129">
        <f>IFERROR(Z233/$AI233,"")</f>
        <v/>
      </c>
      <c r="BN233" s="129">
        <f>IFERROR(AA233/$AI233,"")</f>
        <v/>
      </c>
      <c r="BO233" s="129">
        <f>IFERROR(AB233/$AI233,"")</f>
        <v/>
      </c>
      <c r="BP233" s="129">
        <f>IFERROR(AC233/$AI233,"")</f>
        <v/>
      </c>
      <c r="BQ233" s="129">
        <f>IFERROR(AD233/$AI233,"")</f>
        <v/>
      </c>
      <c r="BR233" s="129">
        <f>IFERROR(AE233/$AI233,"")</f>
        <v/>
      </c>
      <c r="BS233" s="129">
        <f>IFERROR(AF233/$AI233,"")</f>
        <v/>
      </c>
      <c r="BT233" s="129">
        <f>IFERROR(AG233/$AI233,"")</f>
        <v/>
      </c>
      <c r="BU233" s="129">
        <f>IFERROR(AH233/$AI233,"")</f>
        <v/>
      </c>
      <c r="BV233" s="126">
        <f>SUM(AQ233:BD233)</f>
        <v/>
      </c>
      <c r="BW233" s="126">
        <f>SUM(BE233:BU233)</f>
        <v/>
      </c>
      <c r="BX233" s="126">
        <f>SUM(AQ233:AU233)</f>
        <v/>
      </c>
    </row>
    <row r="234">
      <c r="B234" s="127" t="n"/>
      <c r="C234" s="125" t="n"/>
      <c r="D234" s="125" t="n"/>
      <c r="E234" s="125" t="n"/>
      <c r="F234" s="125" t="n"/>
      <c r="G234" s="125" t="n"/>
      <c r="H234" s="125" t="n"/>
      <c r="I234" s="125" t="n"/>
      <c r="J234" s="125" t="n"/>
      <c r="K234" s="125" t="n"/>
      <c r="L234" s="125" t="n"/>
      <c r="M234" s="125" t="n"/>
      <c r="N234" s="125" t="n"/>
      <c r="O234" s="125" t="n"/>
      <c r="P234" s="125" t="n"/>
      <c r="Q234" s="125" t="n"/>
      <c r="R234" s="125" t="n"/>
      <c r="S234" s="125" t="n"/>
      <c r="T234" s="125" t="n"/>
      <c r="U234" s="125" t="n"/>
      <c r="V234" s="125" t="n"/>
      <c r="W234" s="125" t="n"/>
      <c r="X234" s="125" t="n"/>
      <c r="Y234" s="125" t="n"/>
      <c r="Z234" s="125" t="n"/>
      <c r="AA234" s="125" t="n"/>
      <c r="AB234" s="125" t="n"/>
      <c r="AC234" s="125" t="n"/>
      <c r="AD234" s="125" t="n"/>
      <c r="AE234" s="125" t="n"/>
      <c r="AF234" s="125" t="n"/>
      <c r="AG234" s="125" t="n"/>
      <c r="AH234" s="125" t="n"/>
      <c r="AI234" s="127">
        <f>SUM(D234:AG234,AH234)</f>
        <v/>
      </c>
      <c r="AJ234" s="126">
        <f>(SUM($D234:$Q234))/AI234</f>
        <v/>
      </c>
      <c r="AK234" s="126">
        <f>(SUM($D234:$H234))/AI234</f>
        <v/>
      </c>
      <c r="AL234" s="126">
        <f>(SUM($R234:$AH234))/AI234</f>
        <v/>
      </c>
      <c r="AM234" s="126" t="n"/>
      <c r="AN234" s="125">
        <f>YEAR(C234)</f>
        <v/>
      </c>
      <c r="AO234" s="125">
        <f>MONTH(C234)</f>
        <v/>
      </c>
      <c r="AP234" s="125">
        <f>WEEKNUM(C234,2)</f>
        <v/>
      </c>
      <c r="AQ234" s="129">
        <f>IFERROR(D234/$AI234,"")</f>
        <v/>
      </c>
      <c r="AR234" s="129">
        <f>IFERROR(E234/$AI234,"")</f>
        <v/>
      </c>
      <c r="AS234" s="129">
        <f>IFERROR(H234/$AI234,"")</f>
        <v/>
      </c>
      <c r="AT234" s="129">
        <f>IFERROR(I234/$AI234,"")</f>
        <v/>
      </c>
      <c r="AU234" s="129">
        <f>IFERROR(J234/$AI234,"")</f>
        <v/>
      </c>
      <c r="AV234" s="129">
        <f>IFERROR(K234/$AI234,"")</f>
        <v/>
      </c>
      <c r="AW234" s="129">
        <f>IFERROR(L234/$AI234,"")</f>
        <v/>
      </c>
      <c r="AX234" s="129">
        <f>IFERROR(M234/$AI234,"")</f>
        <v/>
      </c>
      <c r="AY234" s="129">
        <f>IFERROR(N234/$AI234,"")</f>
        <v/>
      </c>
      <c r="AZ234" s="129">
        <f>IFERROR(O234/$AI234,"")</f>
        <v/>
      </c>
      <c r="BA234" s="129">
        <f>IFERROR(P234/$AI234,"")</f>
        <v/>
      </c>
      <c r="BB234" s="129">
        <f>IFERROR(AG234/$AI234,"")</f>
        <v/>
      </c>
      <c r="BC234" s="129" t="n"/>
      <c r="BD234" s="129">
        <f>IFERROR(AH234/$AI234,"")</f>
        <v/>
      </c>
      <c r="BE234" s="129">
        <f>IFERROR(R234/$AI234,"")</f>
        <v/>
      </c>
      <c r="BF234" s="129">
        <f>IFERROR(S234/$AI234,"")</f>
        <v/>
      </c>
      <c r="BG234" s="129">
        <f>IFERROR(T234/$AI234,"")</f>
        <v/>
      </c>
      <c r="BH234" s="129">
        <f>IFERROR(U234/$AI234,"")</f>
        <v/>
      </c>
      <c r="BI234" s="129">
        <f>IFERROR(V234/$AI234,"")</f>
        <v/>
      </c>
      <c r="BJ234" s="129">
        <f>IFERROR(W234/$AI234,"")</f>
        <v/>
      </c>
      <c r="BK234" s="129">
        <f>IFERROR(X234/$AI234,"")</f>
        <v/>
      </c>
      <c r="BL234" s="129">
        <f>IFERROR(Y234/$AI234,"")</f>
        <v/>
      </c>
      <c r="BM234" s="129">
        <f>IFERROR(Z234/$AI234,"")</f>
        <v/>
      </c>
      <c r="BN234" s="129">
        <f>IFERROR(AA234/$AI234,"")</f>
        <v/>
      </c>
      <c r="BO234" s="129">
        <f>IFERROR(AB234/$AI234,"")</f>
        <v/>
      </c>
      <c r="BP234" s="129">
        <f>IFERROR(AC234/$AI234,"")</f>
        <v/>
      </c>
      <c r="BQ234" s="129">
        <f>IFERROR(AD234/$AI234,"")</f>
        <v/>
      </c>
      <c r="BR234" s="129">
        <f>IFERROR(AE234/$AI234,"")</f>
        <v/>
      </c>
      <c r="BS234" s="129">
        <f>IFERROR(AF234/$AI234,"")</f>
        <v/>
      </c>
      <c r="BT234" s="129">
        <f>IFERROR(AG234/$AI234,"")</f>
        <v/>
      </c>
      <c r="BU234" s="129">
        <f>IFERROR(AH234/$AI234,"")</f>
        <v/>
      </c>
      <c r="BV234" s="126">
        <f>SUM(AQ234:BD234)</f>
        <v/>
      </c>
      <c r="BW234" s="126">
        <f>SUM(BE234:BU234)</f>
        <v/>
      </c>
      <c r="BX234" s="126">
        <f>SUM(AQ234:AU234)</f>
        <v/>
      </c>
    </row>
    <row r="235">
      <c r="B235" s="127" t="n"/>
      <c r="C235" s="125" t="n"/>
      <c r="D235" s="125" t="n"/>
      <c r="E235" s="125" t="n"/>
      <c r="F235" s="125" t="n"/>
      <c r="G235" s="125" t="n"/>
      <c r="H235" s="125" t="n"/>
      <c r="I235" s="125" t="n"/>
      <c r="J235" s="125" t="n"/>
      <c r="K235" s="125" t="n"/>
      <c r="L235" s="125" t="n"/>
      <c r="M235" s="125" t="n"/>
      <c r="N235" s="125" t="n"/>
      <c r="O235" s="125" t="n"/>
      <c r="P235" s="125" t="n"/>
      <c r="Q235" s="125" t="n"/>
      <c r="R235" s="125" t="n"/>
      <c r="S235" s="125" t="n"/>
      <c r="T235" s="125" t="n"/>
      <c r="U235" s="125" t="n"/>
      <c r="V235" s="125" t="n"/>
      <c r="W235" s="125" t="n"/>
      <c r="X235" s="125" t="n"/>
      <c r="Y235" s="125" t="n"/>
      <c r="Z235" s="125" t="n"/>
      <c r="AA235" s="125" t="n"/>
      <c r="AB235" s="125" t="n"/>
      <c r="AC235" s="125" t="n"/>
      <c r="AD235" s="125" t="n"/>
      <c r="AE235" s="125" t="n"/>
      <c r="AF235" s="125" t="n"/>
      <c r="AG235" s="125" t="n"/>
      <c r="AH235" s="125" t="n"/>
      <c r="AI235" s="127">
        <f>SUM(D235:AG235,AH235)</f>
        <v/>
      </c>
      <c r="AJ235" s="126">
        <f>(SUM($D235:$Q235))/AI235</f>
        <v/>
      </c>
      <c r="AK235" s="126">
        <f>(SUM($D235:$H235))/AI235</f>
        <v/>
      </c>
      <c r="AL235" s="126">
        <f>(SUM($R235:$AH235))/AI235</f>
        <v/>
      </c>
      <c r="AM235" s="126" t="n"/>
      <c r="AN235" s="125">
        <f>YEAR(C235)</f>
        <v/>
      </c>
      <c r="AO235" s="125">
        <f>MONTH(C235)</f>
        <v/>
      </c>
      <c r="AP235" s="125">
        <f>WEEKNUM(C235,2)</f>
        <v/>
      </c>
      <c r="AQ235" s="129">
        <f>IFERROR(D235/$AI235,"")</f>
        <v/>
      </c>
      <c r="AR235" s="129">
        <f>IFERROR(E235/$AI235,"")</f>
        <v/>
      </c>
      <c r="AS235" s="129">
        <f>IFERROR(H235/$AI235,"")</f>
        <v/>
      </c>
      <c r="AT235" s="129">
        <f>IFERROR(I235/$AI235,"")</f>
        <v/>
      </c>
      <c r="AU235" s="129">
        <f>IFERROR(J235/$AI235,"")</f>
        <v/>
      </c>
      <c r="AV235" s="129">
        <f>IFERROR(K235/$AI235,"")</f>
        <v/>
      </c>
      <c r="AW235" s="129">
        <f>IFERROR(L235/$AI235,"")</f>
        <v/>
      </c>
      <c r="AX235" s="129">
        <f>IFERROR(M235/$AI235,"")</f>
        <v/>
      </c>
      <c r="AY235" s="129">
        <f>IFERROR(N235/$AI235,"")</f>
        <v/>
      </c>
      <c r="AZ235" s="129">
        <f>IFERROR(O235/$AI235,"")</f>
        <v/>
      </c>
      <c r="BA235" s="129">
        <f>IFERROR(P235/$AI235,"")</f>
        <v/>
      </c>
      <c r="BB235" s="129">
        <f>IFERROR(AG235/$AI235,"")</f>
        <v/>
      </c>
      <c r="BC235" s="129" t="n"/>
      <c r="BD235" s="129">
        <f>IFERROR(AH235/$AI235,"")</f>
        <v/>
      </c>
      <c r="BE235" s="129">
        <f>IFERROR(R235/$AI235,"")</f>
        <v/>
      </c>
      <c r="BF235" s="129">
        <f>IFERROR(S235/$AI235,"")</f>
        <v/>
      </c>
      <c r="BG235" s="129">
        <f>IFERROR(T235/$AI235,"")</f>
        <v/>
      </c>
      <c r="BH235" s="129">
        <f>IFERROR(U235/$AI235,"")</f>
        <v/>
      </c>
      <c r="BI235" s="129">
        <f>IFERROR(V235/$AI235,"")</f>
        <v/>
      </c>
      <c r="BJ235" s="129">
        <f>IFERROR(W235/$AI235,"")</f>
        <v/>
      </c>
      <c r="BK235" s="129">
        <f>IFERROR(X235/$AI235,"")</f>
        <v/>
      </c>
      <c r="BL235" s="129">
        <f>IFERROR(Y235/$AI235,"")</f>
        <v/>
      </c>
      <c r="BM235" s="129">
        <f>IFERROR(Z235/$AI235,"")</f>
        <v/>
      </c>
      <c r="BN235" s="129">
        <f>IFERROR(AA235/$AI235,"")</f>
        <v/>
      </c>
      <c r="BO235" s="129">
        <f>IFERROR(AB235/$AI235,"")</f>
        <v/>
      </c>
      <c r="BP235" s="129">
        <f>IFERROR(AC235/$AI235,"")</f>
        <v/>
      </c>
      <c r="BQ235" s="129">
        <f>IFERROR(AD235/$AI235,"")</f>
        <v/>
      </c>
      <c r="BR235" s="129">
        <f>IFERROR(AE235/$AI235,"")</f>
        <v/>
      </c>
      <c r="BS235" s="129">
        <f>IFERROR(AF235/$AI235,"")</f>
        <v/>
      </c>
      <c r="BT235" s="129">
        <f>IFERROR(AG235/$AI235,"")</f>
        <v/>
      </c>
      <c r="BU235" s="129">
        <f>IFERROR(AH235/$AI235,"")</f>
        <v/>
      </c>
      <c r="BV235" s="126">
        <f>SUM(AQ235:BD235)</f>
        <v/>
      </c>
      <c r="BW235" s="126">
        <f>SUM(BE235:BU235)</f>
        <v/>
      </c>
      <c r="BX235" s="126">
        <f>SUM(AQ235:AU235)</f>
        <v/>
      </c>
    </row>
    <row r="236">
      <c r="B236" s="127" t="n"/>
      <c r="C236" s="125" t="n"/>
      <c r="D236" s="125" t="n"/>
      <c r="E236" s="125" t="n"/>
      <c r="F236" s="125" t="n"/>
      <c r="G236" s="125" t="n"/>
      <c r="H236" s="125" t="n"/>
      <c r="I236" s="125" t="n"/>
      <c r="J236" s="125" t="n"/>
      <c r="K236" s="125" t="n"/>
      <c r="L236" s="125" t="n"/>
      <c r="M236" s="125" t="n"/>
      <c r="N236" s="125" t="n"/>
      <c r="O236" s="125" t="n"/>
      <c r="P236" s="125" t="n"/>
      <c r="Q236" s="125" t="n"/>
      <c r="R236" s="125" t="n"/>
      <c r="S236" s="125" t="n"/>
      <c r="T236" s="125" t="n"/>
      <c r="U236" s="125" t="n"/>
      <c r="V236" s="125" t="n"/>
      <c r="W236" s="125" t="n"/>
      <c r="X236" s="125" t="n"/>
      <c r="Y236" s="125" t="n"/>
      <c r="Z236" s="125" t="n"/>
      <c r="AA236" s="125" t="n"/>
      <c r="AB236" s="125" t="n"/>
      <c r="AC236" s="125" t="n"/>
      <c r="AD236" s="125" t="n"/>
      <c r="AE236" s="125" t="n"/>
      <c r="AF236" s="125" t="n"/>
      <c r="AG236" s="125" t="n"/>
      <c r="AH236" s="125" t="n"/>
      <c r="AI236" s="127">
        <f>SUM(D236:AG236,AH236)</f>
        <v/>
      </c>
      <c r="AJ236" s="126">
        <f>(SUM($D236:$Q236))/AI236</f>
        <v/>
      </c>
      <c r="AK236" s="126">
        <f>(SUM($D236:$H236))/AI236</f>
        <v/>
      </c>
      <c r="AL236" s="126">
        <f>(SUM($R236:$AH236))/AI236</f>
        <v/>
      </c>
      <c r="AM236" s="126" t="n"/>
      <c r="AN236" s="125">
        <f>YEAR(C236)</f>
        <v/>
      </c>
      <c r="AO236" s="125">
        <f>MONTH(C236)</f>
        <v/>
      </c>
      <c r="AP236" s="125">
        <f>WEEKNUM(C236,2)</f>
        <v/>
      </c>
      <c r="AQ236" s="129">
        <f>IFERROR(D236/$AI236,"")</f>
        <v/>
      </c>
      <c r="AR236" s="129">
        <f>IFERROR(E236/$AI236,"")</f>
        <v/>
      </c>
      <c r="AS236" s="129">
        <f>IFERROR(H236/$AI236,"")</f>
        <v/>
      </c>
      <c r="AT236" s="129">
        <f>IFERROR(I236/$AI236,"")</f>
        <v/>
      </c>
      <c r="AU236" s="129">
        <f>IFERROR(J236/$AI236,"")</f>
        <v/>
      </c>
      <c r="AV236" s="129">
        <f>IFERROR(K236/$AI236,"")</f>
        <v/>
      </c>
      <c r="AW236" s="129">
        <f>IFERROR(L236/$AI236,"")</f>
        <v/>
      </c>
      <c r="AX236" s="129">
        <f>IFERROR(M236/$AI236,"")</f>
        <v/>
      </c>
      <c r="AY236" s="129">
        <f>IFERROR(N236/$AI236,"")</f>
        <v/>
      </c>
      <c r="AZ236" s="129">
        <f>IFERROR(O236/$AI236,"")</f>
        <v/>
      </c>
      <c r="BA236" s="129">
        <f>IFERROR(P236/$AI236,"")</f>
        <v/>
      </c>
      <c r="BB236" s="129">
        <f>IFERROR(AG236/$AI236,"")</f>
        <v/>
      </c>
      <c r="BC236" s="129" t="n"/>
      <c r="BD236" s="129">
        <f>IFERROR(AH236/$AI236,"")</f>
        <v/>
      </c>
      <c r="BE236" s="129">
        <f>IFERROR(R236/$AI236,"")</f>
        <v/>
      </c>
      <c r="BF236" s="129">
        <f>IFERROR(S236/$AI236,"")</f>
        <v/>
      </c>
      <c r="BG236" s="129">
        <f>IFERROR(T236/$AI236,"")</f>
        <v/>
      </c>
      <c r="BH236" s="129">
        <f>IFERROR(U236/$AI236,"")</f>
        <v/>
      </c>
      <c r="BI236" s="129">
        <f>IFERROR(V236/$AI236,"")</f>
        <v/>
      </c>
      <c r="BJ236" s="129">
        <f>IFERROR(W236/$AI236,"")</f>
        <v/>
      </c>
      <c r="BK236" s="129">
        <f>IFERROR(X236/$AI236,"")</f>
        <v/>
      </c>
      <c r="BL236" s="129">
        <f>IFERROR(Y236/$AI236,"")</f>
        <v/>
      </c>
      <c r="BM236" s="129">
        <f>IFERROR(Z236/$AI236,"")</f>
        <v/>
      </c>
      <c r="BN236" s="129">
        <f>IFERROR(AA236/$AI236,"")</f>
        <v/>
      </c>
      <c r="BO236" s="129">
        <f>IFERROR(AB236/$AI236,"")</f>
        <v/>
      </c>
      <c r="BP236" s="129">
        <f>IFERROR(AC236/$AI236,"")</f>
        <v/>
      </c>
      <c r="BQ236" s="129">
        <f>IFERROR(AD236/$AI236,"")</f>
        <v/>
      </c>
      <c r="BR236" s="129">
        <f>IFERROR(AE236/$AI236,"")</f>
        <v/>
      </c>
      <c r="BS236" s="129">
        <f>IFERROR(AF236/$AI236,"")</f>
        <v/>
      </c>
      <c r="BT236" s="129">
        <f>IFERROR(AG236/$AI236,"")</f>
        <v/>
      </c>
      <c r="BU236" s="129">
        <f>IFERROR(AH236/$AI236,"")</f>
        <v/>
      </c>
      <c r="BV236" s="126">
        <f>SUM(AQ236:BD236)</f>
        <v/>
      </c>
      <c r="BW236" s="126">
        <f>SUM(BE236:BU236)</f>
        <v/>
      </c>
      <c r="BX236" s="126">
        <f>SUM(AQ236:AU236)</f>
        <v/>
      </c>
    </row>
    <row r="237">
      <c r="B237" s="127" t="n"/>
      <c r="C237" s="125" t="n"/>
      <c r="D237" s="125" t="n"/>
      <c r="E237" s="125" t="n"/>
      <c r="F237" s="125" t="n"/>
      <c r="G237" s="125" t="n"/>
      <c r="H237" s="125" t="n"/>
      <c r="I237" s="125" t="n"/>
      <c r="J237" s="125" t="n"/>
      <c r="K237" s="125" t="n"/>
      <c r="L237" s="125" t="n"/>
      <c r="M237" s="125" t="n"/>
      <c r="N237" s="125" t="n"/>
      <c r="O237" s="125" t="n"/>
      <c r="P237" s="125" t="n"/>
      <c r="Q237" s="125" t="n"/>
      <c r="R237" s="125" t="n"/>
      <c r="S237" s="125" t="n"/>
      <c r="T237" s="125" t="n"/>
      <c r="U237" s="125" t="n"/>
      <c r="V237" s="125" t="n"/>
      <c r="W237" s="125" t="n"/>
      <c r="X237" s="125" t="n"/>
      <c r="Y237" s="125" t="n"/>
      <c r="Z237" s="125" t="n"/>
      <c r="AA237" s="125" t="n"/>
      <c r="AB237" s="125" t="n"/>
      <c r="AC237" s="125" t="n"/>
      <c r="AD237" s="125" t="n"/>
      <c r="AE237" s="125" t="n"/>
      <c r="AF237" s="125" t="n"/>
      <c r="AG237" s="125" t="n"/>
      <c r="AH237" s="125" t="n"/>
      <c r="AI237" s="127">
        <f>SUM(D237:AG237,AH237)</f>
        <v/>
      </c>
      <c r="AJ237" s="126">
        <f>(SUM($D237:$Q237))/AI237</f>
        <v/>
      </c>
      <c r="AK237" s="126">
        <f>(SUM($D237:$H237))/AI237</f>
        <v/>
      </c>
      <c r="AL237" s="126">
        <f>(SUM($R237:$AH237))/AI237</f>
        <v/>
      </c>
      <c r="AM237" s="126" t="n"/>
      <c r="AN237" s="125">
        <f>YEAR(C237)</f>
        <v/>
      </c>
      <c r="AO237" s="125">
        <f>MONTH(C237)</f>
        <v/>
      </c>
      <c r="AP237" s="125">
        <f>WEEKNUM(C237,2)</f>
        <v/>
      </c>
      <c r="AQ237" s="129">
        <f>IFERROR(D237/$AI237,"")</f>
        <v/>
      </c>
      <c r="AR237" s="129">
        <f>IFERROR(E237/$AI237,"")</f>
        <v/>
      </c>
      <c r="AS237" s="129">
        <f>IFERROR(H237/$AI237,"")</f>
        <v/>
      </c>
      <c r="AT237" s="129">
        <f>IFERROR(I237/$AI237,"")</f>
        <v/>
      </c>
      <c r="AU237" s="129">
        <f>IFERROR(J237/$AI237,"")</f>
        <v/>
      </c>
      <c r="AV237" s="129">
        <f>IFERROR(K237/$AI237,"")</f>
        <v/>
      </c>
      <c r="AW237" s="129">
        <f>IFERROR(L237/$AI237,"")</f>
        <v/>
      </c>
      <c r="AX237" s="129">
        <f>IFERROR(M237/$AI237,"")</f>
        <v/>
      </c>
      <c r="AY237" s="129">
        <f>IFERROR(N237/$AI237,"")</f>
        <v/>
      </c>
      <c r="AZ237" s="129">
        <f>IFERROR(O237/$AI237,"")</f>
        <v/>
      </c>
      <c r="BA237" s="129">
        <f>IFERROR(P237/$AI237,"")</f>
        <v/>
      </c>
      <c r="BB237" s="129">
        <f>IFERROR(AG237/$AI237,"")</f>
        <v/>
      </c>
      <c r="BC237" s="129" t="n"/>
      <c r="BD237" s="129">
        <f>IFERROR(AH237/$AI237,"")</f>
        <v/>
      </c>
      <c r="BE237" s="129">
        <f>IFERROR(R237/$AI237,"")</f>
        <v/>
      </c>
      <c r="BF237" s="129">
        <f>IFERROR(S237/$AI237,"")</f>
        <v/>
      </c>
      <c r="BG237" s="129">
        <f>IFERROR(T237/$AI237,"")</f>
        <v/>
      </c>
      <c r="BH237" s="129">
        <f>IFERROR(U237/$AI237,"")</f>
        <v/>
      </c>
      <c r="BI237" s="129">
        <f>IFERROR(V237/$AI237,"")</f>
        <v/>
      </c>
      <c r="BJ237" s="129">
        <f>IFERROR(W237/$AI237,"")</f>
        <v/>
      </c>
      <c r="BK237" s="129">
        <f>IFERROR(X237/$AI237,"")</f>
        <v/>
      </c>
      <c r="BL237" s="129">
        <f>IFERROR(Y237/$AI237,"")</f>
        <v/>
      </c>
      <c r="BM237" s="129">
        <f>IFERROR(Z237/$AI237,"")</f>
        <v/>
      </c>
      <c r="BN237" s="129">
        <f>IFERROR(AA237/$AI237,"")</f>
        <v/>
      </c>
      <c r="BO237" s="129">
        <f>IFERROR(AB237/$AI237,"")</f>
        <v/>
      </c>
      <c r="BP237" s="129">
        <f>IFERROR(AC237/$AI237,"")</f>
        <v/>
      </c>
      <c r="BQ237" s="129">
        <f>IFERROR(AD237/$AI237,"")</f>
        <v/>
      </c>
      <c r="BR237" s="129">
        <f>IFERROR(AE237/$AI237,"")</f>
        <v/>
      </c>
      <c r="BS237" s="129">
        <f>IFERROR(AF237/$AI237,"")</f>
        <v/>
      </c>
      <c r="BT237" s="129">
        <f>IFERROR(AG237/$AI237,"")</f>
        <v/>
      </c>
      <c r="BU237" s="129">
        <f>IFERROR(AH237/$AI237,"")</f>
        <v/>
      </c>
      <c r="BV237" s="126">
        <f>SUM(AQ237:BD237)</f>
        <v/>
      </c>
      <c r="BW237" s="126">
        <f>SUM(BE237:BU237)</f>
        <v/>
      </c>
      <c r="BX237" s="126">
        <f>SUM(AQ237:AU237)</f>
        <v/>
      </c>
    </row>
    <row r="238">
      <c r="B238" s="127" t="n"/>
      <c r="C238" s="125" t="n"/>
      <c r="D238" s="125" t="n"/>
      <c r="E238" s="125" t="n"/>
      <c r="F238" s="125" t="n"/>
      <c r="G238" s="125" t="n"/>
      <c r="H238" s="125" t="n"/>
      <c r="I238" s="125" t="n"/>
      <c r="J238" s="125" t="n"/>
      <c r="K238" s="125" t="n"/>
      <c r="L238" s="125" t="n"/>
      <c r="M238" s="125" t="n"/>
      <c r="N238" s="125" t="n"/>
      <c r="O238" s="125" t="n"/>
      <c r="P238" s="125" t="n"/>
      <c r="Q238" s="125" t="n"/>
      <c r="R238" s="125" t="n"/>
      <c r="S238" s="125" t="n"/>
      <c r="T238" s="125" t="n"/>
      <c r="U238" s="125" t="n"/>
      <c r="V238" s="125" t="n"/>
      <c r="W238" s="125" t="n"/>
      <c r="X238" s="125" t="n"/>
      <c r="Y238" s="125" t="n"/>
      <c r="Z238" s="125" t="n"/>
      <c r="AA238" s="125" t="n"/>
      <c r="AB238" s="125" t="n"/>
      <c r="AC238" s="125" t="n"/>
      <c r="AD238" s="125" t="n"/>
      <c r="AE238" s="125" t="n"/>
      <c r="AF238" s="125" t="n"/>
      <c r="AG238" s="125" t="n"/>
      <c r="AH238" s="125" t="n"/>
      <c r="AI238" s="127">
        <f>SUM(D238:AG238,AH238)</f>
        <v/>
      </c>
      <c r="AJ238" s="126">
        <f>(SUM($D238:$Q238))/AI238</f>
        <v/>
      </c>
      <c r="AK238" s="126">
        <f>(SUM($D238:$H238))/AI238</f>
        <v/>
      </c>
      <c r="AL238" s="126">
        <f>(SUM($R238:$AH238))/AI238</f>
        <v/>
      </c>
      <c r="AM238" s="126" t="n"/>
      <c r="AN238" s="125">
        <f>YEAR(C238)</f>
        <v/>
      </c>
      <c r="AO238" s="125">
        <f>MONTH(C238)</f>
        <v/>
      </c>
      <c r="AP238" s="125">
        <f>WEEKNUM(C238,2)</f>
        <v/>
      </c>
      <c r="AQ238" s="129">
        <f>IFERROR(D238/$AI238,"")</f>
        <v/>
      </c>
      <c r="AR238" s="129">
        <f>IFERROR(E238/$AI238,"")</f>
        <v/>
      </c>
      <c r="AS238" s="129">
        <f>IFERROR(H238/$AI238,"")</f>
        <v/>
      </c>
      <c r="AT238" s="129">
        <f>IFERROR(I238/$AI238,"")</f>
        <v/>
      </c>
      <c r="AU238" s="129">
        <f>IFERROR(J238/$AI238,"")</f>
        <v/>
      </c>
      <c r="AV238" s="129">
        <f>IFERROR(K238/$AI238,"")</f>
        <v/>
      </c>
      <c r="AW238" s="129">
        <f>IFERROR(L238/$AI238,"")</f>
        <v/>
      </c>
      <c r="AX238" s="129">
        <f>IFERROR(M238/$AI238,"")</f>
        <v/>
      </c>
      <c r="AY238" s="129">
        <f>IFERROR(N238/$AI238,"")</f>
        <v/>
      </c>
      <c r="AZ238" s="129">
        <f>IFERROR(O238/$AI238,"")</f>
        <v/>
      </c>
      <c r="BA238" s="129">
        <f>IFERROR(P238/$AI238,"")</f>
        <v/>
      </c>
      <c r="BB238" s="129">
        <f>IFERROR(AG238/$AI238,"")</f>
        <v/>
      </c>
      <c r="BC238" s="129" t="n"/>
      <c r="BD238" s="129">
        <f>IFERROR(AH238/$AI238,"")</f>
        <v/>
      </c>
      <c r="BE238" s="129">
        <f>IFERROR(R238/$AI238,"")</f>
        <v/>
      </c>
      <c r="BF238" s="129">
        <f>IFERROR(S238/$AI238,"")</f>
        <v/>
      </c>
      <c r="BG238" s="129">
        <f>IFERROR(T238/$AI238,"")</f>
        <v/>
      </c>
      <c r="BH238" s="129">
        <f>IFERROR(U238/$AI238,"")</f>
        <v/>
      </c>
      <c r="BI238" s="129">
        <f>IFERROR(V238/$AI238,"")</f>
        <v/>
      </c>
      <c r="BJ238" s="129">
        <f>IFERROR(W238/$AI238,"")</f>
        <v/>
      </c>
      <c r="BK238" s="129">
        <f>IFERROR(X238/$AI238,"")</f>
        <v/>
      </c>
      <c r="BL238" s="129">
        <f>IFERROR(Y238/$AI238,"")</f>
        <v/>
      </c>
      <c r="BM238" s="129">
        <f>IFERROR(Z238/$AI238,"")</f>
        <v/>
      </c>
      <c r="BN238" s="129">
        <f>IFERROR(AA238/$AI238,"")</f>
        <v/>
      </c>
      <c r="BO238" s="129">
        <f>IFERROR(AB238/$AI238,"")</f>
        <v/>
      </c>
      <c r="BP238" s="129">
        <f>IFERROR(AC238/$AI238,"")</f>
        <v/>
      </c>
      <c r="BQ238" s="129">
        <f>IFERROR(AD238/$AI238,"")</f>
        <v/>
      </c>
      <c r="BR238" s="129">
        <f>IFERROR(AE238/$AI238,"")</f>
        <v/>
      </c>
      <c r="BS238" s="129">
        <f>IFERROR(AF238/$AI238,"")</f>
        <v/>
      </c>
      <c r="BT238" s="129">
        <f>IFERROR(AG238/$AI238,"")</f>
        <v/>
      </c>
      <c r="BU238" s="129">
        <f>IFERROR(AH238/$AI238,"")</f>
        <v/>
      </c>
      <c r="BV238" s="126">
        <f>SUM(AQ238:BD238)</f>
        <v/>
      </c>
      <c r="BW238" s="126">
        <f>SUM(BE238:BU238)</f>
        <v/>
      </c>
      <c r="BX238" s="126">
        <f>SUM(AQ238:AU238)</f>
        <v/>
      </c>
    </row>
    <row r="239">
      <c r="B239" s="127" t="n"/>
      <c r="C239" s="125" t="n"/>
      <c r="D239" s="125" t="n"/>
      <c r="E239" s="125" t="n"/>
      <c r="F239" s="125" t="n"/>
      <c r="G239" s="125" t="n"/>
      <c r="H239" s="125" t="n"/>
      <c r="I239" s="125" t="n"/>
      <c r="J239" s="125" t="n"/>
      <c r="K239" s="125" t="n"/>
      <c r="L239" s="125" t="n"/>
      <c r="M239" s="125" t="n"/>
      <c r="N239" s="125" t="n"/>
      <c r="O239" s="125" t="n"/>
      <c r="P239" s="125" t="n"/>
      <c r="Q239" s="125" t="n"/>
      <c r="R239" s="125" t="n"/>
      <c r="S239" s="125" t="n"/>
      <c r="T239" s="125" t="n"/>
      <c r="U239" s="125" t="n"/>
      <c r="V239" s="125" t="n"/>
      <c r="W239" s="125" t="n"/>
      <c r="X239" s="125" t="n"/>
      <c r="Y239" s="125" t="n"/>
      <c r="Z239" s="125" t="n"/>
      <c r="AA239" s="125" t="n"/>
      <c r="AB239" s="125" t="n"/>
      <c r="AC239" s="125" t="n"/>
      <c r="AD239" s="125" t="n"/>
      <c r="AE239" s="125" t="n"/>
      <c r="AF239" s="125" t="n"/>
      <c r="AG239" s="125" t="n"/>
      <c r="AH239" s="125" t="n"/>
      <c r="AI239" s="127">
        <f>SUM(D239:AG239,AH239)</f>
        <v/>
      </c>
      <c r="AJ239" s="126">
        <f>(SUM($D239:$Q239))/AI239</f>
        <v/>
      </c>
      <c r="AK239" s="126">
        <f>(SUM($D239:$H239))/AI239</f>
        <v/>
      </c>
      <c r="AL239" s="126">
        <f>(SUM($R239:$AH239))/AI239</f>
        <v/>
      </c>
      <c r="AM239" s="126" t="n"/>
      <c r="AN239" s="125">
        <f>YEAR(C239)</f>
        <v/>
      </c>
      <c r="AO239" s="125">
        <f>MONTH(C239)</f>
        <v/>
      </c>
      <c r="AP239" s="125">
        <f>WEEKNUM(C239,2)</f>
        <v/>
      </c>
      <c r="AQ239" s="129">
        <f>IFERROR(D239/$AI239,"")</f>
        <v/>
      </c>
      <c r="AR239" s="129">
        <f>IFERROR(E239/$AI239,"")</f>
        <v/>
      </c>
      <c r="AS239" s="129">
        <f>IFERROR(H239/$AI239,"")</f>
        <v/>
      </c>
      <c r="AT239" s="129">
        <f>IFERROR(I239/$AI239,"")</f>
        <v/>
      </c>
      <c r="AU239" s="129">
        <f>IFERROR(J239/$AI239,"")</f>
        <v/>
      </c>
      <c r="AV239" s="129">
        <f>IFERROR(K239/$AI239,"")</f>
        <v/>
      </c>
      <c r="AW239" s="129">
        <f>IFERROR(L239/$AI239,"")</f>
        <v/>
      </c>
      <c r="AX239" s="129">
        <f>IFERROR(M239/$AI239,"")</f>
        <v/>
      </c>
      <c r="AY239" s="129">
        <f>IFERROR(N239/$AI239,"")</f>
        <v/>
      </c>
      <c r="AZ239" s="129">
        <f>IFERROR(O239/$AI239,"")</f>
        <v/>
      </c>
      <c r="BA239" s="129">
        <f>IFERROR(P239/$AI239,"")</f>
        <v/>
      </c>
      <c r="BB239" s="129">
        <f>IFERROR(AG239/$AI239,"")</f>
        <v/>
      </c>
      <c r="BC239" s="129" t="n"/>
      <c r="BD239" s="129">
        <f>IFERROR(AH239/$AI239,"")</f>
        <v/>
      </c>
      <c r="BE239" s="129">
        <f>IFERROR(R239/$AI239,"")</f>
        <v/>
      </c>
      <c r="BF239" s="129">
        <f>IFERROR(S239/$AI239,"")</f>
        <v/>
      </c>
      <c r="BG239" s="129">
        <f>IFERROR(T239/$AI239,"")</f>
        <v/>
      </c>
      <c r="BH239" s="129">
        <f>IFERROR(U239/$AI239,"")</f>
        <v/>
      </c>
      <c r="BI239" s="129">
        <f>IFERROR(V239/$AI239,"")</f>
        <v/>
      </c>
      <c r="BJ239" s="129">
        <f>IFERROR(W239/$AI239,"")</f>
        <v/>
      </c>
      <c r="BK239" s="129">
        <f>IFERROR(X239/$AI239,"")</f>
        <v/>
      </c>
      <c r="BL239" s="129">
        <f>IFERROR(Y239/$AI239,"")</f>
        <v/>
      </c>
      <c r="BM239" s="129">
        <f>IFERROR(Z239/$AI239,"")</f>
        <v/>
      </c>
      <c r="BN239" s="129">
        <f>IFERROR(AA239/$AI239,"")</f>
        <v/>
      </c>
      <c r="BO239" s="129">
        <f>IFERROR(AB239/$AI239,"")</f>
        <v/>
      </c>
      <c r="BP239" s="129">
        <f>IFERROR(AC239/$AI239,"")</f>
        <v/>
      </c>
      <c r="BQ239" s="129">
        <f>IFERROR(AD239/$AI239,"")</f>
        <v/>
      </c>
      <c r="BR239" s="129">
        <f>IFERROR(AE239/$AI239,"")</f>
        <v/>
      </c>
      <c r="BS239" s="129">
        <f>IFERROR(AF239/$AI239,"")</f>
        <v/>
      </c>
      <c r="BT239" s="129">
        <f>IFERROR(AG239/$AI239,"")</f>
        <v/>
      </c>
      <c r="BU239" s="129">
        <f>IFERROR(AH239/$AI239,"")</f>
        <v/>
      </c>
      <c r="BV239" s="126">
        <f>SUM(AQ239:BD239)</f>
        <v/>
      </c>
      <c r="BW239" s="126">
        <f>SUM(BE239:BU239)</f>
        <v/>
      </c>
      <c r="BX239" s="126">
        <f>SUM(AQ239:AU239)</f>
        <v/>
      </c>
    </row>
    <row r="240">
      <c r="B240" s="127" t="n"/>
      <c r="C240" s="125" t="n"/>
      <c r="D240" s="125" t="n"/>
      <c r="E240" s="125" t="n"/>
      <c r="F240" s="125" t="n"/>
      <c r="G240" s="125" t="n"/>
      <c r="H240" s="125" t="n"/>
      <c r="I240" s="125" t="n"/>
      <c r="J240" s="125" t="n"/>
      <c r="K240" s="125" t="n"/>
      <c r="L240" s="125" t="n"/>
      <c r="M240" s="125" t="n"/>
      <c r="N240" s="125" t="n"/>
      <c r="O240" s="125" t="n"/>
      <c r="P240" s="125" t="n"/>
      <c r="Q240" s="125" t="n"/>
      <c r="R240" s="125" t="n"/>
      <c r="S240" s="125" t="n"/>
      <c r="T240" s="125" t="n"/>
      <c r="U240" s="125" t="n"/>
      <c r="V240" s="125" t="n"/>
      <c r="W240" s="125" t="n"/>
      <c r="X240" s="125" t="n"/>
      <c r="Y240" s="125" t="n"/>
      <c r="Z240" s="125" t="n"/>
      <c r="AA240" s="125" t="n"/>
      <c r="AB240" s="125" t="n"/>
      <c r="AC240" s="125" t="n"/>
      <c r="AD240" s="125" t="n"/>
      <c r="AE240" s="125" t="n"/>
      <c r="AF240" s="125" t="n"/>
      <c r="AG240" s="125" t="n"/>
      <c r="AH240" s="125" t="n"/>
      <c r="AI240" s="127">
        <f>SUM(D240:AG240,AH240)</f>
        <v/>
      </c>
      <c r="AJ240" s="126">
        <f>(SUM($D240:$Q240))/AI240</f>
        <v/>
      </c>
      <c r="AK240" s="126">
        <f>(SUM($D240:$H240))/AI240</f>
        <v/>
      </c>
      <c r="AL240" s="126">
        <f>(SUM($R240:$AH240))/AI240</f>
        <v/>
      </c>
      <c r="AM240" s="126" t="n"/>
      <c r="AN240" s="125">
        <f>YEAR(C240)</f>
        <v/>
      </c>
      <c r="AO240" s="125">
        <f>MONTH(C240)</f>
        <v/>
      </c>
      <c r="AP240" s="125">
        <f>WEEKNUM(C240,2)</f>
        <v/>
      </c>
      <c r="AQ240" s="129">
        <f>IFERROR(D240/$AI240,"")</f>
        <v/>
      </c>
      <c r="AR240" s="129">
        <f>IFERROR(E240/$AI240,"")</f>
        <v/>
      </c>
      <c r="AS240" s="129">
        <f>IFERROR(H240/$AI240,"")</f>
        <v/>
      </c>
      <c r="AT240" s="129">
        <f>IFERROR(I240/$AI240,"")</f>
        <v/>
      </c>
      <c r="AU240" s="129">
        <f>IFERROR(J240/$AI240,"")</f>
        <v/>
      </c>
      <c r="AV240" s="129">
        <f>IFERROR(K240/$AI240,"")</f>
        <v/>
      </c>
      <c r="AW240" s="129">
        <f>IFERROR(L240/$AI240,"")</f>
        <v/>
      </c>
      <c r="AX240" s="129">
        <f>IFERROR(M240/$AI240,"")</f>
        <v/>
      </c>
      <c r="AY240" s="129">
        <f>IFERROR(N240/$AI240,"")</f>
        <v/>
      </c>
      <c r="AZ240" s="129">
        <f>IFERROR(O240/$AI240,"")</f>
        <v/>
      </c>
      <c r="BA240" s="129">
        <f>IFERROR(P240/$AI240,"")</f>
        <v/>
      </c>
      <c r="BB240" s="129">
        <f>IFERROR(AG240/$AI240,"")</f>
        <v/>
      </c>
      <c r="BC240" s="129" t="n"/>
      <c r="BD240" s="129">
        <f>IFERROR(AH240/$AI240,"")</f>
        <v/>
      </c>
      <c r="BE240" s="129">
        <f>IFERROR(R240/$AI240,"")</f>
        <v/>
      </c>
      <c r="BF240" s="129">
        <f>IFERROR(S240/$AI240,"")</f>
        <v/>
      </c>
      <c r="BG240" s="129">
        <f>IFERROR(T240/$AI240,"")</f>
        <v/>
      </c>
      <c r="BH240" s="129">
        <f>IFERROR(U240/$AI240,"")</f>
        <v/>
      </c>
      <c r="BI240" s="129">
        <f>IFERROR(V240/$AI240,"")</f>
        <v/>
      </c>
      <c r="BJ240" s="129">
        <f>IFERROR(W240/$AI240,"")</f>
        <v/>
      </c>
      <c r="BK240" s="129">
        <f>IFERROR(X240/$AI240,"")</f>
        <v/>
      </c>
      <c r="BL240" s="129">
        <f>IFERROR(Y240/$AI240,"")</f>
        <v/>
      </c>
      <c r="BM240" s="129">
        <f>IFERROR(Z240/$AI240,"")</f>
        <v/>
      </c>
      <c r="BN240" s="129">
        <f>IFERROR(AA240/$AI240,"")</f>
        <v/>
      </c>
      <c r="BO240" s="129">
        <f>IFERROR(AB240/$AI240,"")</f>
        <v/>
      </c>
      <c r="BP240" s="129">
        <f>IFERROR(AC240/$AI240,"")</f>
        <v/>
      </c>
      <c r="BQ240" s="129">
        <f>IFERROR(AD240/$AI240,"")</f>
        <v/>
      </c>
      <c r="BR240" s="129">
        <f>IFERROR(AE240/$AI240,"")</f>
        <v/>
      </c>
      <c r="BS240" s="129">
        <f>IFERROR(AF240/$AI240,"")</f>
        <v/>
      </c>
      <c r="BT240" s="129">
        <f>IFERROR(AG240/$AI240,"")</f>
        <v/>
      </c>
      <c r="BU240" s="129">
        <f>IFERROR(AH240/$AI240,"")</f>
        <v/>
      </c>
      <c r="BV240" s="126">
        <f>SUM(AQ240:BD240)</f>
        <v/>
      </c>
      <c r="BW240" s="126">
        <f>SUM(BE240:BU240)</f>
        <v/>
      </c>
      <c r="BX240" s="126">
        <f>SUM(AQ240:AU240)</f>
        <v/>
      </c>
    </row>
    <row r="241">
      <c r="AI241" s="207" t="n"/>
      <c r="AJ241" s="208" t="n"/>
      <c r="AK241" s="208" t="n"/>
      <c r="AL241" s="208" t="n"/>
    </row>
  </sheetData>
  <autoFilter ref="B1:AO240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B2" sqref="B2"/>
    </sheetView>
  </sheetViews>
  <sheetFormatPr baseColWidth="10" defaultRowHeight="15"/>
  <sheetData>
    <row r="1" ht="15.75" customHeight="1" s="215">
      <c r="A1" s="160" t="inlineStr">
        <is>
          <t>matiere</t>
        </is>
      </c>
      <c r="B1" s="160" t="inlineStr">
        <is>
          <t>taux</t>
        </is>
      </c>
      <c r="D1" s="160" t="inlineStr">
        <is>
          <t>matiere</t>
        </is>
      </c>
      <c r="E1" s="160" t="inlineStr">
        <is>
          <t>taux</t>
        </is>
      </c>
    </row>
    <row r="2" ht="15.75" customHeight="1" s="215">
      <c r="A2" s="155" t="inlineStr">
        <is>
          <t>CARTON</t>
        </is>
      </c>
      <c r="B2" s="209">
        <f>TABLEAU!CA2</f>
        <v/>
      </c>
      <c r="D2">
        <f t="array" ref="D2:E32">_xlfn._xlws.SORT(BZ2:CA32, 2, 1)</f>
        <v/>
      </c>
      <c r="E2" t="n">
        <v>0</v>
      </c>
    </row>
    <row r="3" ht="15.75" customHeight="1" s="215">
      <c r="A3" s="155" t="inlineStr">
        <is>
          <t>CARTONNETTE</t>
        </is>
      </c>
      <c r="B3" s="209">
        <f>TABLEAU!CA3</f>
        <v/>
      </c>
      <c r="D3" t="n">
        <v>0</v>
      </c>
      <c r="E3" t="n">
        <v>0</v>
      </c>
    </row>
    <row r="4" ht="15.75" customHeight="1" s="215">
      <c r="A4" s="205" t="inlineStr">
        <is>
          <t xml:space="preserve">ECRIT COULEUR </t>
        </is>
      </c>
      <c r="B4" s="209">
        <f>TABLEAU!CA4</f>
        <v/>
      </c>
      <c r="D4" t="n">
        <v>0</v>
      </c>
      <c r="E4" t="n">
        <v>0</v>
      </c>
    </row>
    <row r="5" ht="15.75" customHeight="1" s="215">
      <c r="A5" s="205" t="inlineStr">
        <is>
          <t>JRM</t>
        </is>
      </c>
      <c r="B5" s="209">
        <f>TABLEAU!CA5</f>
        <v/>
      </c>
      <c r="D5" t="n">
        <v>0</v>
      </c>
      <c r="E5" t="n">
        <v>0</v>
      </c>
    </row>
    <row r="6" ht="15.75" customHeight="1" s="215">
      <c r="A6" s="205" t="inlineStr">
        <is>
          <t>GM</t>
        </is>
      </c>
      <c r="B6" s="209">
        <f>TABLEAU!CA6</f>
        <v/>
      </c>
      <c r="D6" t="n">
        <v>0</v>
      </c>
      <c r="E6" t="n">
        <v>0</v>
      </c>
    </row>
    <row r="7" ht="15.75" customHeight="1" s="215">
      <c r="A7" s="206" t="inlineStr">
        <is>
          <t>ELA</t>
        </is>
      </c>
      <c r="B7" s="209">
        <f>TABLEAU!CA7</f>
        <v/>
      </c>
      <c r="D7" t="n">
        <v>0</v>
      </c>
      <c r="E7" t="n">
        <v>0</v>
      </c>
    </row>
    <row r="8" ht="15.75" customHeight="1" s="215">
      <c r="A8" s="157" t="inlineStr">
        <is>
          <t>PEPP</t>
        </is>
      </c>
      <c r="B8" s="209">
        <f>TABLEAU!CA8</f>
        <v/>
      </c>
      <c r="D8" t="n">
        <v>0</v>
      </c>
      <c r="E8" t="n">
        <v>0</v>
      </c>
    </row>
    <row r="9" ht="15.75" customHeight="1" s="215">
      <c r="A9" s="157" t="inlineStr">
        <is>
          <t>PET Q9</t>
        </is>
      </c>
      <c r="B9" s="209">
        <f>TABLEAU!CA9</f>
        <v/>
      </c>
      <c r="D9" t="n">
        <v>0</v>
      </c>
      <c r="E9" t="n">
        <v>0</v>
      </c>
    </row>
    <row r="10" ht="15.75" customHeight="1" s="215">
      <c r="A10" s="157" t="inlineStr">
        <is>
          <t>PET Q5</t>
        </is>
      </c>
      <c r="B10" s="209">
        <f>TABLEAU!CA10</f>
        <v/>
      </c>
      <c r="D10" t="n">
        <v>0</v>
      </c>
      <c r="E10" t="n">
        <v>0</v>
      </c>
    </row>
    <row r="11" ht="15.75" customHeight="1" s="215">
      <c r="A11" s="157" t="inlineStr">
        <is>
          <t>PET B</t>
        </is>
      </c>
      <c r="B11" s="209">
        <f>TABLEAU!CA11</f>
        <v/>
      </c>
      <c r="D11" t="n">
        <v>0</v>
      </c>
      <c r="E11" t="n">
        <v>0</v>
      </c>
    </row>
    <row r="12" ht="15.75" customHeight="1" s="215">
      <c r="A12" s="157" t="inlineStr">
        <is>
          <t>FILM</t>
        </is>
      </c>
      <c r="B12" s="209">
        <f>TABLEAU!CA12</f>
        <v/>
      </c>
      <c r="D12" t="n">
        <v>0</v>
      </c>
      <c r="E12" t="n">
        <v>0</v>
      </c>
    </row>
    <row r="13" ht="15.75" customHeight="1" s="215">
      <c r="A13" s="156" t="inlineStr">
        <is>
          <t>ACIER</t>
        </is>
      </c>
      <c r="B13" s="209">
        <f>TABLEAU!CA13</f>
        <v/>
      </c>
      <c r="D13" t="n">
        <v>0</v>
      </c>
      <c r="E13" t="n">
        <v>0</v>
      </c>
    </row>
    <row r="14" ht="15.75" customHeight="1" s="215">
      <c r="A14" s="156" t="inlineStr">
        <is>
          <t>ALU</t>
        </is>
      </c>
      <c r="B14" s="209">
        <f>TABLEAU!CA14</f>
        <v/>
      </c>
      <c r="D14" t="n">
        <v>0</v>
      </c>
      <c r="E14" t="n">
        <v>0</v>
      </c>
    </row>
    <row r="15" ht="15.75" customHeight="1" s="215">
      <c r="A15" s="156" t="inlineStr">
        <is>
          <t>PETIT ALU</t>
        </is>
      </c>
      <c r="B15" s="209">
        <f>TABLEAU!CA15</f>
        <v/>
      </c>
      <c r="D15" t="n">
        <v>0</v>
      </c>
      <c r="E15" t="n">
        <v>0</v>
      </c>
    </row>
    <row r="16" ht="15.75" customHeight="1" s="215">
      <c r="A16" s="158" t="inlineStr">
        <is>
          <t>PB REFUSES</t>
        </is>
      </c>
      <c r="B16" s="209">
        <f>TABLEAU!CA16</f>
        <v/>
      </c>
      <c r="D16" t="n">
        <v>0</v>
      </c>
      <c r="E16" t="n">
        <v>0</v>
      </c>
    </row>
    <row r="17" ht="15.75" customHeight="1" s="215">
      <c r="A17" s="158" t="inlineStr">
        <is>
          <t>FILM REFUSES</t>
        </is>
      </c>
      <c r="B17" s="209">
        <f>TABLEAU!CA17</f>
        <v/>
      </c>
      <c r="D17" t="n">
        <v>0</v>
      </c>
      <c r="E17" t="n">
        <v>0</v>
      </c>
    </row>
    <row r="18" ht="15.75" customHeight="1" s="215">
      <c r="A18" s="158" t="inlineStr">
        <is>
          <t>EMBALLAGES NOIRS</t>
        </is>
      </c>
      <c r="B18" s="209">
        <f>TABLEAU!CA18</f>
        <v/>
      </c>
      <c r="D18" t="n">
        <v>0</v>
      </c>
      <c r="E18" t="n">
        <v>0</v>
      </c>
    </row>
    <row r="19" ht="15.75" customHeight="1" s="215">
      <c r="A19" s="158" t="inlineStr">
        <is>
          <t>AUTES EMBALLAGES NON RECYCLABES</t>
        </is>
      </c>
      <c r="B19" s="209">
        <f>TABLEAU!CA19</f>
        <v/>
      </c>
      <c r="D19" t="n">
        <v>0</v>
      </c>
      <c r="E19" t="n">
        <v>0</v>
      </c>
    </row>
    <row r="20" ht="15.75" customHeight="1" s="215">
      <c r="A20" s="158" t="inlineStr">
        <is>
          <t>BOIS</t>
        </is>
      </c>
      <c r="B20" s="209">
        <f>TABLEAU!CA20</f>
        <v/>
      </c>
      <c r="D20" t="n">
        <v>0</v>
      </c>
      <c r="E20" t="n">
        <v>0</v>
      </c>
    </row>
    <row r="21" ht="15.75" customHeight="1" s="215">
      <c r="A21" s="158" t="inlineStr">
        <is>
          <t>VERRE</t>
        </is>
      </c>
      <c r="B21" s="209">
        <f>TABLEAU!CA21</f>
        <v/>
      </c>
      <c r="D21" t="n">
        <v>0</v>
      </c>
      <c r="E21" t="n">
        <v>0</v>
      </c>
    </row>
    <row r="22" ht="15.75" customHeight="1" s="215">
      <c r="A22" s="158" t="inlineStr">
        <is>
          <t>DDS</t>
        </is>
      </c>
      <c r="B22" s="209">
        <f>TABLEAU!CA22</f>
        <v/>
      </c>
      <c r="D22" t="n">
        <v>0</v>
      </c>
      <c r="E22" t="n">
        <v>0</v>
      </c>
    </row>
    <row r="23" ht="15.75" customHeight="1" s="215">
      <c r="A23" s="158" t="inlineStr">
        <is>
          <t>D3E</t>
        </is>
      </c>
      <c r="B23" s="209">
        <f>TABLEAU!CA23</f>
        <v/>
      </c>
      <c r="D23" t="n">
        <v>0</v>
      </c>
      <c r="E23" t="n">
        <v>0</v>
      </c>
    </row>
    <row r="24" ht="15.75" customHeight="1" s="215">
      <c r="A24" s="158" t="inlineStr">
        <is>
          <t>IMBRIQUES</t>
        </is>
      </c>
      <c r="B24" s="209">
        <f>TABLEAU!CA24</f>
        <v/>
      </c>
      <c r="D24" t="n">
        <v>0</v>
      </c>
      <c r="E24" t="n">
        <v>0</v>
      </c>
    </row>
    <row r="25" ht="15.75" customHeight="1" s="215">
      <c r="A25" s="158" t="inlineStr">
        <is>
          <t>PLASTIQUES NON EMBALLAGES</t>
        </is>
      </c>
      <c r="B25" s="209">
        <f>TABLEAU!CA25</f>
        <v/>
      </c>
      <c r="D25" t="n">
        <v>0</v>
      </c>
      <c r="E25" t="n">
        <v>0</v>
      </c>
    </row>
    <row r="26" ht="15.75" customHeight="1" s="215">
      <c r="A26" s="158" t="inlineStr">
        <is>
          <t>FERRAILLES</t>
        </is>
      </c>
      <c r="B26" s="209">
        <f>TABLEAU!CA26</f>
        <v/>
      </c>
      <c r="D26" t="n">
        <v>0</v>
      </c>
      <c r="E26" t="n">
        <v>0</v>
      </c>
    </row>
    <row r="27" ht="15.75" customHeight="1" s="215">
      <c r="A27" s="158" t="inlineStr">
        <is>
          <t>GRAVATS</t>
        </is>
      </c>
      <c r="B27" s="209">
        <f>TABLEAU!CA27</f>
        <v/>
      </c>
      <c r="D27" t="n">
        <v>0</v>
      </c>
      <c r="E27" t="n">
        <v>0</v>
      </c>
    </row>
    <row r="28" ht="15.75" customHeight="1" s="215">
      <c r="A28" s="158" t="inlineStr">
        <is>
          <t>TEXTILE</t>
        </is>
      </c>
      <c r="B28" s="209">
        <f>TABLEAU!CA28</f>
        <v/>
      </c>
      <c r="D28" t="n">
        <v>0</v>
      </c>
      <c r="E28" t="n">
        <v>0</v>
      </c>
    </row>
    <row r="29" ht="15.75" customHeight="1" s="215">
      <c r="A29" s="158" t="inlineStr">
        <is>
          <t>EMBALLAGES NON VIDES / SOUILL2S</t>
        </is>
      </c>
      <c r="B29" s="209">
        <f>TABLEAU!CA29</f>
        <v/>
      </c>
      <c r="D29" t="n">
        <v>0</v>
      </c>
      <c r="E29" t="n">
        <v>0</v>
      </c>
    </row>
    <row r="30" ht="15.75" customHeight="1" s="215">
      <c r="A30" s="158" t="inlineStr">
        <is>
          <t>REFUS</t>
        </is>
      </c>
      <c r="B30" s="209">
        <f>TABLEAU!CA30</f>
        <v/>
      </c>
      <c r="D30" t="n">
        <v>0</v>
      </c>
      <c r="E30" t="n">
        <v>0</v>
      </c>
    </row>
    <row r="31" ht="15.75" customHeight="1" s="215">
      <c r="A31" s="158" t="inlineStr">
        <is>
          <t>PAPIER MOUILLE</t>
        </is>
      </c>
      <c r="B31" s="209">
        <f>TABLEAU!CA31</f>
        <v/>
      </c>
      <c r="D31" t="n">
        <v>0</v>
      </c>
      <c r="E31" t="n">
        <v>0</v>
      </c>
    </row>
    <row r="32" ht="15.75" customHeight="1" s="215">
      <c r="A32" s="158" t="inlineStr">
        <is>
          <t>FINES</t>
        </is>
      </c>
      <c r="B32" s="209">
        <f>TABLEAU!CA32</f>
        <v/>
      </c>
      <c r="D32" t="n">
        <v>0</v>
      </c>
      <c r="E3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view="pageBreakPreview" topLeftCell="A14" zoomScale="85" zoomScaleNormal="80" zoomScaleSheetLayoutView="85" workbookViewId="0">
      <selection activeCell="A2" sqref="A2:H37"/>
    </sheetView>
  </sheetViews>
  <sheetFormatPr baseColWidth="10" defaultColWidth="11.42578125" defaultRowHeight="15"/>
  <cols>
    <col width="3.7109375" customWidth="1" style="215" min="1" max="1"/>
    <col width="20.140625" customWidth="1" style="215" min="3" max="3"/>
    <col width="17.140625" customWidth="1" style="215" min="4" max="7"/>
    <col width="3.7109375" customWidth="1" style="215" min="8" max="8"/>
    <col width="4.42578125" customWidth="1" style="215" min="9" max="9"/>
    <col width="11.42578125" customWidth="1" style="215" min="10" max="10"/>
    <col width="20.140625" customWidth="1" style="215" min="11" max="11"/>
    <col width="17.140625" customWidth="1" style="215" min="12" max="13"/>
    <col width="17" customWidth="1" style="215" min="14" max="14"/>
    <col width="17.42578125" customWidth="1" style="215" min="15" max="15"/>
    <col width="3.85546875" customWidth="1" style="215" min="17" max="17"/>
  </cols>
  <sheetData>
    <row r="1">
      <c r="B1" s="76" t="inlineStr">
        <is>
          <t>Numéro</t>
        </is>
      </c>
      <c r="C1" s="76" t="n">
        <v>0</v>
      </c>
    </row>
    <row r="2">
      <c r="A2" s="104" t="n"/>
      <c r="B2" s="105" t="n"/>
      <c r="C2" s="105" t="n"/>
      <c r="D2" s="105" t="n"/>
      <c r="E2" s="105" t="n"/>
      <c r="F2" s="105" t="n"/>
      <c r="G2" s="105" t="n"/>
      <c r="H2" s="106" t="n"/>
      <c r="I2" s="107" t="n"/>
      <c r="J2" s="107" t="n"/>
      <c r="K2" s="107" t="n"/>
      <c r="L2" s="107" t="n"/>
      <c r="M2" s="107" t="n"/>
      <c r="N2" s="107" t="n"/>
      <c r="O2" s="107" t="n"/>
      <c r="P2" s="107" t="n"/>
      <c r="Q2" s="108" t="n"/>
    </row>
    <row r="3" ht="31.5" customHeight="1" s="215">
      <c r="A3" s="109" t="n"/>
      <c r="B3" s="220" t="inlineStr">
        <is>
          <t xml:space="preserve">Caractérisation </t>
        </is>
      </c>
      <c r="H3" s="23" t="n"/>
      <c r="Q3" s="110" t="n"/>
    </row>
    <row r="4" ht="30.75" customHeight="1" s="215">
      <c r="A4" s="109" t="n"/>
      <c r="F4" s="75" t="n"/>
      <c r="G4" s="75" t="n"/>
      <c r="H4" s="23" t="n"/>
      <c r="K4" s="24" t="inlineStr">
        <is>
          <t>Catégorie</t>
        </is>
      </c>
      <c r="L4" s="93" t="inlineStr">
        <is>
          <t>Poids Brut 
(en kg)</t>
        </is>
      </c>
      <c r="M4" s="92" t="inlineStr">
        <is>
          <t>Poids net
(en kg)</t>
        </is>
      </c>
      <c r="N4" s="94" t="inlineStr">
        <is>
          <t>% dans le refus</t>
        </is>
      </c>
      <c r="O4" s="26" t="n"/>
      <c r="Q4" s="110" t="n"/>
    </row>
    <row r="5" ht="30" customHeight="1" s="215">
      <c r="A5" s="109" t="n"/>
      <c r="B5" s="77" t="inlineStr">
        <is>
          <t>Provenance</t>
        </is>
      </c>
      <c r="C5" s="239">
        <f>VLOOKUP(C1,SAISIE!A:BS,2,FALSE)</f>
        <v/>
      </c>
      <c r="D5" s="240" t="n"/>
      <c r="E5" s="241" t="n"/>
      <c r="F5" s="21" t="inlineStr">
        <is>
          <t>Date :</t>
        </is>
      </c>
      <c r="G5" s="22">
        <f>VLOOKUP(C1,SAISIE!A:BS,3,FALSE)</f>
        <v/>
      </c>
      <c r="H5" s="23" t="n"/>
      <c r="I5" s="119" t="n">
        <v>23</v>
      </c>
      <c r="J5" s="226" t="inlineStr">
        <is>
          <t>Refus</t>
        </is>
      </c>
      <c r="K5" s="28" t="inlineStr">
        <is>
          <t>Autre indésirable</t>
        </is>
      </c>
      <c r="L5" s="82" t="n"/>
      <c r="M5" s="95">
        <f>IF(VLOOKUP($C$1,SAISIE!A:BH,I5,FALSE)="","",VLOOKUP($C$1,SAISIE!A:BH,I5,FALSE))</f>
        <v/>
      </c>
      <c r="N5" s="90">
        <f>M5/E27</f>
        <v/>
      </c>
      <c r="O5" s="29" t="n"/>
      <c r="Q5" s="110" t="n"/>
    </row>
    <row r="6">
      <c r="A6" s="109" t="n"/>
      <c r="B6" s="27" t="n"/>
      <c r="C6" s="27" t="n"/>
      <c r="D6" s="27" t="n"/>
      <c r="E6" s="27" t="n"/>
      <c r="F6" s="27" t="n"/>
      <c r="G6" s="27" t="n"/>
      <c r="H6" s="23" t="n"/>
      <c r="I6" s="119" t="n">
        <v>25</v>
      </c>
      <c r="J6" s="227" t="n"/>
      <c r="K6" s="28" t="inlineStr">
        <is>
          <t>Verre</t>
        </is>
      </c>
      <c r="L6" s="82" t="n"/>
      <c r="M6" s="89">
        <f>IF(VLOOKUP($C$1,SAISIE!A:BH,I6,FALSE)="","",VLOOKUP($C$1,SAISIE!A:BH,I6,FALSE))</f>
        <v/>
      </c>
      <c r="N6" s="86">
        <f>M6/E27</f>
        <v/>
      </c>
      <c r="O6" s="29" t="n"/>
      <c r="Q6" s="110" t="n"/>
    </row>
    <row r="7" ht="15.75" customHeight="1" s="215">
      <c r="A7" s="109" t="n"/>
      <c r="B7" s="27" t="n"/>
      <c r="C7" s="32" t="n"/>
      <c r="D7" s="27" t="n"/>
      <c r="E7" s="27" t="n"/>
      <c r="F7" s="27" t="n"/>
      <c r="G7" s="27" t="n"/>
      <c r="H7" s="23" t="n"/>
      <c r="I7" s="119" t="n">
        <v>26</v>
      </c>
      <c r="J7" s="227" t="n"/>
      <c r="K7" s="28" t="inlineStr">
        <is>
          <t>Film complexes</t>
        </is>
      </c>
      <c r="L7" s="82" t="n"/>
      <c r="M7" s="89">
        <f>IF(VLOOKUP($C$1,SAISIE!A:BH,I7,FALSE)="","",VLOOKUP($C$1,SAISIE!A:BH,I7,FALSE))</f>
        <v/>
      </c>
      <c r="N7" s="87">
        <f>M7/E27</f>
        <v/>
      </c>
      <c r="O7" s="29" t="n"/>
      <c r="Q7" s="110" t="n"/>
    </row>
    <row r="8" ht="36" customHeight="1" s="215">
      <c r="A8" s="118" t="n"/>
      <c r="C8" s="24" t="inlineStr">
        <is>
          <t>Catégorie</t>
        </is>
      </c>
      <c r="D8" s="25" t="inlineStr">
        <is>
          <t>Poids Brut 
(en kg)</t>
        </is>
      </c>
      <c r="E8" s="25" t="inlineStr">
        <is>
          <t>Poids net
(en kg)</t>
        </is>
      </c>
      <c r="F8" s="24" t="inlineStr">
        <is>
          <t>%</t>
        </is>
      </c>
      <c r="G8" s="24" t="inlineStr">
        <is>
          <t>%</t>
        </is>
      </c>
      <c r="H8" s="23" t="n"/>
      <c r="I8" s="119" t="n">
        <v>27</v>
      </c>
      <c r="J8" s="227" t="n"/>
      <c r="K8" s="30" t="inlineStr">
        <is>
          <t>Ordure menagere</t>
        </is>
      </c>
      <c r="L8" s="83" t="n"/>
      <c r="M8" s="89">
        <f>IF(VLOOKUP($C$1,SAISIE!A:BH,I8,FALSE)="","",VLOOKUP($C$1,SAISIE!A:BH,I8,FALSE))</f>
        <v/>
      </c>
      <c r="N8" s="87">
        <f>M8/E27</f>
        <v/>
      </c>
      <c r="O8" s="29" t="n"/>
      <c r="Q8" s="110" t="n"/>
    </row>
    <row r="9" ht="30" customHeight="1" s="215">
      <c r="A9" s="118" t="n">
        <v>4</v>
      </c>
      <c r="B9" s="238" t="inlineStr">
        <is>
          <t>Fibreux</t>
        </is>
      </c>
      <c r="C9" s="33" t="inlineStr">
        <is>
          <t>JRM (1.11)</t>
        </is>
      </c>
      <c r="D9" s="34" t="n"/>
      <c r="E9" s="35">
        <f>IF(VLOOKUP($C$1,SAISIE!A:BH,A9,FALSE)="","",VLOOKUP($C$1,SAISIE!A:BH,A9,FALSE))</f>
        <v/>
      </c>
      <c r="F9" s="253">
        <f>E9/C29</f>
        <v/>
      </c>
      <c r="G9" s="223">
        <f>SUM(F9:F14)</f>
        <v/>
      </c>
      <c r="H9" s="23" t="n"/>
      <c r="I9" s="119" t="n">
        <v>28</v>
      </c>
      <c r="J9" s="227" t="n"/>
      <c r="K9" s="31" t="inlineStr">
        <is>
          <t>Film non PE</t>
        </is>
      </c>
      <c r="L9" s="84" t="n"/>
      <c r="M9" s="89">
        <f>IF(VLOOKUP($C$1,SAISIE!A:BH,I9,FALSE)="","",VLOOKUP($C$1,SAISIE!A:BH,I9,FALSE))</f>
        <v/>
      </c>
      <c r="N9" s="88">
        <f>M9/E27</f>
        <v/>
      </c>
      <c r="O9" s="29" t="n"/>
      <c r="Q9" s="110" t="n"/>
    </row>
    <row r="10" ht="30" customHeight="1" s="215">
      <c r="A10" s="118" t="n">
        <v>5</v>
      </c>
      <c r="B10" s="224" t="n"/>
      <c r="C10" s="37" t="inlineStr">
        <is>
          <t>Papier blanc (2.05)</t>
        </is>
      </c>
      <c r="D10" s="221" t="n"/>
      <c r="E10" s="78">
        <f>IF(VLOOKUP($C$1,SAISIE!A:BH,A10,FALSE)="","",VLOOKUP($C$1,SAISIE!A:BH,A10,FALSE))</f>
        <v/>
      </c>
      <c r="F10" s="244">
        <f>E10/C29</f>
        <v/>
      </c>
      <c r="G10" s="224" t="n"/>
      <c r="H10" s="23" t="n"/>
      <c r="I10" s="119" t="n">
        <v>29</v>
      </c>
      <c r="J10" s="227" t="n"/>
      <c r="K10" s="28" t="inlineStr">
        <is>
          <t>Textiles</t>
        </is>
      </c>
      <c r="L10" s="82" t="n"/>
      <c r="M10" s="89">
        <f>IF(VLOOKUP($C$1,SAISIE!A:BH,I10,FALSE)="","",VLOOKUP($C$1,SAISIE!A:BH,I10,FALSE))</f>
        <v/>
      </c>
      <c r="N10" s="86">
        <f>M10/E27</f>
        <v/>
      </c>
      <c r="O10" s="29" t="n"/>
      <c r="Q10" s="110" t="n"/>
    </row>
    <row r="11" ht="15" customHeight="1" s="215">
      <c r="A11" s="242" t="n">
        <v>6</v>
      </c>
      <c r="B11" s="224" t="n"/>
      <c r="C11" s="40" t="inlineStr">
        <is>
          <t>EMR    (1.04 CS)</t>
        </is>
      </c>
      <c r="D11" s="221" t="n"/>
      <c r="E11" s="233">
        <f>IF(VLOOKUP($C$1,SAISIE!A:BH,A11,FALSE)="","",VLOOKUP($C$1,SAISIE!A:BH,A11,FALSE))</f>
        <v/>
      </c>
      <c r="F11" s="236">
        <f>E11/C29</f>
        <v/>
      </c>
      <c r="G11" s="224" t="n"/>
      <c r="H11" s="23" t="n"/>
      <c r="I11" s="119" t="n">
        <v>30</v>
      </c>
      <c r="J11" s="227" t="n"/>
      <c r="K11" s="28" t="inlineStr">
        <is>
          <t>Plastique divers</t>
        </is>
      </c>
      <c r="L11" s="82" t="n"/>
      <c r="M11" s="89">
        <f>IF(VLOOKUP($C$1,SAISIE!A:BH,I11,FALSE)="","",VLOOKUP($C$1,SAISIE!A:BH,I11,FALSE))</f>
        <v/>
      </c>
      <c r="N11" s="86">
        <f>M11/E27</f>
        <v/>
      </c>
      <c r="O11" s="42" t="n"/>
      <c r="Q11" s="110" t="n"/>
    </row>
    <row r="12" ht="15" customHeight="1" s="215">
      <c r="A12" s="243" t="n"/>
      <c r="B12" s="224" t="n"/>
      <c r="C12" s="43" t="inlineStr">
        <is>
          <t>Cartons/ Cartonnettes</t>
        </is>
      </c>
      <c r="D12" s="222" t="n"/>
      <c r="E12" s="222" t="n"/>
      <c r="F12" s="237" t="n"/>
      <c r="G12" s="224" t="n"/>
      <c r="H12" s="23" t="n"/>
      <c r="I12" s="119" t="n">
        <v>21</v>
      </c>
      <c r="J12" s="227" t="n"/>
      <c r="K12" s="28" t="inlineStr">
        <is>
          <t>Imbriqué</t>
        </is>
      </c>
      <c r="L12" s="82" t="n"/>
      <c r="M12" s="89">
        <f>IF(VLOOKUP($C$1,SAISIE!A:BH,I12,FALSE)="","",VLOOKUP($C$1,SAISIE!A:BH,I12,FALSE))</f>
        <v/>
      </c>
      <c r="N12" s="87">
        <f>M12/E27</f>
        <v/>
      </c>
      <c r="O12" s="214" t="n"/>
      <c r="Q12" s="110" t="n"/>
    </row>
    <row r="13" ht="25.5" customHeight="1" s="215">
      <c r="A13" s="118" t="n">
        <v>7</v>
      </c>
      <c r="B13" s="224" t="n"/>
      <c r="C13" s="46" t="inlineStr">
        <is>
          <t>1.05</t>
        </is>
      </c>
      <c r="D13" s="120" t="n"/>
      <c r="E13" s="41">
        <f>IF(VLOOKUP($C$1,SAISIE!A:BH,A13,FALSE)="","",VLOOKUP($C$1,SAISIE!A:BH,A13,FALSE))</f>
        <v/>
      </c>
      <c r="F13" s="244">
        <f>E13/C29</f>
        <v/>
      </c>
      <c r="G13" s="224" t="n"/>
      <c r="H13" s="23" t="n"/>
      <c r="I13" s="119" t="n">
        <v>31</v>
      </c>
      <c r="J13" s="227" t="n"/>
      <c r="K13" s="28" t="inlineStr">
        <is>
          <t>D3E</t>
        </is>
      </c>
      <c r="L13" s="82" t="n"/>
      <c r="M13" s="89">
        <f>IF(VLOOKUP($C$1,SAISIE!A:BH,I13,FALSE)="","",VLOOKUP($C$1,SAISIE!A:BH,I13,FALSE))</f>
        <v/>
      </c>
      <c r="N13" s="97">
        <f>M13/E27</f>
        <v/>
      </c>
      <c r="Q13" s="110" t="n"/>
    </row>
    <row r="14" ht="30" customHeight="1" s="215">
      <c r="A14" s="118" t="n">
        <v>8</v>
      </c>
      <c r="B14" s="225" t="n"/>
      <c r="C14" s="50" t="inlineStr">
        <is>
          <t>GM (1.02 CS)</t>
        </is>
      </c>
      <c r="D14" s="51" t="n"/>
      <c r="E14" s="78">
        <f>IF(VLOOKUP($C$1,SAISIE!A:BH,A14,FALSE)="","",VLOOKUP($C$1,SAISIE!A:BH,A14,FALSE))</f>
        <v/>
      </c>
      <c r="F14" s="52">
        <f>E14/C29</f>
        <v/>
      </c>
      <c r="G14" s="225" t="n"/>
      <c r="H14" s="23" t="n"/>
      <c r="I14" s="119" t="n">
        <v>32</v>
      </c>
      <c r="J14" s="227" t="n"/>
      <c r="K14" s="31" t="inlineStr">
        <is>
          <t>P &amp; B multi</t>
        </is>
      </c>
      <c r="L14" s="84" t="n"/>
      <c r="M14" s="89">
        <f>IF(VLOOKUP($C$1,SAISIE!A:BH,I14,FALSE)="","",VLOOKUP($C$1,SAISIE!A:BH,I14,FALSE))</f>
        <v/>
      </c>
      <c r="N14" s="98">
        <f>M14/E27</f>
        <v/>
      </c>
      <c r="Q14" s="110" t="n"/>
    </row>
    <row r="15" ht="30" customHeight="1" s="215">
      <c r="A15" s="118" t="n">
        <v>9</v>
      </c>
      <c r="B15" s="229" t="inlineStr">
        <is>
          <t>Corps creux</t>
        </is>
      </c>
      <c r="C15" s="53" t="inlineStr">
        <is>
          <t>PET clair (Q4)</t>
        </is>
      </c>
      <c r="D15" s="79" t="n"/>
      <c r="E15" s="100">
        <f>IF(VLOOKUP($C$1,SAISIE!A:BH,A15,FALSE)="","",VLOOKUP($C$1,SAISIE!A:BH,A15,FALSE))</f>
        <v/>
      </c>
      <c r="F15" s="80">
        <f>E15/C29</f>
        <v/>
      </c>
      <c r="G15" s="223">
        <f>SUM(F15:F23)</f>
        <v/>
      </c>
      <c r="H15" s="23" t="n"/>
      <c r="I15" s="119" t="n">
        <v>33</v>
      </c>
      <c r="J15" s="227" t="n"/>
      <c r="K15" s="28" t="inlineStr">
        <is>
          <t>Non vide</t>
        </is>
      </c>
      <c r="L15" s="82" t="n"/>
      <c r="M15" s="91">
        <f>IF(VLOOKUP($C$1,SAISIE!A:BH,I15,FALSE)="","",VLOOKUP($C$1,SAISIE!A:BH,I15,FALSE))</f>
        <v/>
      </c>
      <c r="N15" s="98">
        <f>M15/E27</f>
        <v/>
      </c>
      <c r="Q15" s="110" t="n"/>
    </row>
    <row r="16" ht="30" customHeight="1" s="215">
      <c r="A16" s="118" t="n">
        <v>10</v>
      </c>
      <c r="B16" s="224" t="n"/>
      <c r="C16" s="56" t="inlineStr">
        <is>
          <t>PET foncé (Q5)</t>
        </is>
      </c>
      <c r="D16" s="221" t="n"/>
      <c r="E16" s="102">
        <f>IF(VLOOKUP($C$1,SAISIE!A:BH,A16,FALSE)="","",VLOOKUP($C$1,SAISIE!A:BH,A16,FALSE))</f>
        <v/>
      </c>
      <c r="F16" s="244">
        <f>E16/C29</f>
        <v/>
      </c>
      <c r="G16" s="224" t="n"/>
      <c r="H16" s="23" t="n"/>
      <c r="I16" s="119" t="n">
        <v>19</v>
      </c>
      <c r="J16" s="228" t="n"/>
      <c r="K16" s="44" t="inlineStr">
        <is>
          <t>Petit alu</t>
        </is>
      </c>
      <c r="L16" s="85" t="n"/>
      <c r="M16" s="96">
        <f>IF(VLOOKUP($C$1,SAISIE!A:BH,I16,FALSE)="","",VLOOKUP($C$1,SAISIE!A:BH,I16,FALSE))</f>
        <v/>
      </c>
      <c r="N16" s="99">
        <f>M16/E27</f>
        <v/>
      </c>
      <c r="P16" s="103" t="n"/>
      <c r="Q16" s="110" t="n"/>
    </row>
    <row r="17" ht="30" customHeight="1" s="215">
      <c r="A17" s="118" t="n">
        <v>11</v>
      </c>
      <c r="B17" s="224" t="n"/>
      <c r="C17" s="111" t="inlineStr">
        <is>
          <t>PET Opaque</t>
        </is>
      </c>
      <c r="D17" s="121" t="n"/>
      <c r="E17" s="102">
        <f>IF(VLOOKUP($C$1,SAISIE!A:BH,A17,FALSE)="","",VLOOKUP($C$1,SAISIE!A:BH,A17,FALSE))</f>
        <v/>
      </c>
      <c r="F17" s="244">
        <f>E17/C29</f>
        <v/>
      </c>
      <c r="G17" s="224" t="n"/>
      <c r="H17" s="23" t="n"/>
      <c r="I17" s="119" t="n"/>
      <c r="J17" s="47" t="n"/>
      <c r="K17" s="48" t="n"/>
      <c r="M17" s="112">
        <f>SUM(M5:M16)</f>
        <v/>
      </c>
      <c r="N17" s="49">
        <f>M17/C29</f>
        <v/>
      </c>
      <c r="Q17" s="110" t="n"/>
    </row>
    <row r="18" ht="30" customHeight="1" s="215">
      <c r="A18" s="118" t="n">
        <v>12</v>
      </c>
      <c r="B18" s="224" t="n"/>
      <c r="C18" s="57" t="inlineStr">
        <is>
          <t>PET B</t>
        </is>
      </c>
      <c r="D18" s="221" t="n"/>
      <c r="E18" s="102">
        <f>IF(VLOOKUP($C$1,SAISIE!A:BH,A18,FALSE)="","",VLOOKUP($C$1,SAISIE!A:BH,A18,FALSE))</f>
        <v/>
      </c>
      <c r="F18" s="244">
        <f>E18/C29</f>
        <v/>
      </c>
      <c r="G18" s="224" t="n"/>
      <c r="H18" s="23" t="n"/>
      <c r="J18" s="234" t="n"/>
      <c r="Q18" s="110" t="n"/>
    </row>
    <row r="19" ht="30" customHeight="1" s="215">
      <c r="A19" s="118" t="n">
        <v>13</v>
      </c>
      <c r="B19" s="224" t="n"/>
      <c r="C19" s="58" t="inlineStr">
        <is>
          <t>PS</t>
        </is>
      </c>
      <c r="D19" s="221" t="n"/>
      <c r="E19" s="102">
        <f>IF(VLOOKUP($C$1,SAISIE!A:BH,A19,FALSE)="","",VLOOKUP($C$1,SAISIE!A:BH,A19,FALSE))</f>
        <v/>
      </c>
      <c r="F19" s="244">
        <f>E19/C29</f>
        <v/>
      </c>
      <c r="G19" s="224" t="n"/>
      <c r="H19" s="23" t="n"/>
      <c r="Q19" s="110" t="n"/>
    </row>
    <row r="20" ht="30" customHeight="1" s="215">
      <c r="A20" s="118" t="n">
        <v>14</v>
      </c>
      <c r="B20" s="224" t="n"/>
      <c r="C20" s="57" t="inlineStr">
        <is>
          <t>PEHD</t>
        </is>
      </c>
      <c r="D20" s="120" t="n"/>
      <c r="E20" s="102">
        <f>IF(VLOOKUP($C$1,SAISIE!A:BH,A20,FALSE)="","",VLOOKUP($C$1,SAISIE!A:BH,A20,FALSE))</f>
        <v/>
      </c>
      <c r="F20" s="59">
        <f>E20/C29</f>
        <v/>
      </c>
      <c r="G20" s="224" t="n"/>
      <c r="H20" s="23" t="n"/>
      <c r="Q20" s="110" t="n"/>
    </row>
    <row r="21" ht="30" customHeight="1" s="215">
      <c r="A21" s="118" t="n">
        <v>15</v>
      </c>
      <c r="B21" s="224" t="n"/>
      <c r="C21" s="56" t="inlineStr">
        <is>
          <t>PP</t>
        </is>
      </c>
      <c r="D21" s="221" t="n"/>
      <c r="E21" s="102">
        <f>IF(VLOOKUP($C$1,SAISIE!A:BH,A21,FALSE)="","",VLOOKUP($C$1,SAISIE!A:BH,A21,FALSE))</f>
        <v/>
      </c>
      <c r="F21" s="244">
        <f>E21/C29</f>
        <v/>
      </c>
      <c r="G21" s="224" t="n"/>
      <c r="H21" s="23" t="n"/>
      <c r="Q21" s="110" t="n"/>
    </row>
    <row r="22" ht="30" customHeight="1" s="215">
      <c r="A22" s="118" t="n">
        <v>16</v>
      </c>
      <c r="B22" s="224" t="n"/>
      <c r="C22" s="60" t="inlineStr">
        <is>
          <t>TETRA</t>
        </is>
      </c>
      <c r="D22" s="221" t="n"/>
      <c r="E22" s="102">
        <f>IF(VLOOKUP($C$1,SAISIE!A:BH,A22,FALSE)="","",VLOOKUP($C$1,SAISIE!A:BH,A22,FALSE))</f>
        <v/>
      </c>
      <c r="F22" s="244">
        <f>E22/C29</f>
        <v/>
      </c>
      <c r="G22" s="224" t="n"/>
      <c r="H22" s="23" t="n"/>
      <c r="Q22" s="110" t="n"/>
    </row>
    <row r="23" ht="30" customHeight="1" s="215">
      <c r="A23" s="118" t="n">
        <v>17</v>
      </c>
      <c r="B23" s="225" t="n"/>
      <c r="C23" s="61" t="inlineStr">
        <is>
          <t>Film PE</t>
        </is>
      </c>
      <c r="D23" s="120" t="n"/>
      <c r="E23" s="101">
        <f>IF(VLOOKUP($C$1,SAISIE!A:BH,A23,FALSE)="","",VLOOKUP($C$1,SAISIE!A:BH,A23,FALSE))</f>
        <v/>
      </c>
      <c r="F23" s="62">
        <f>E23/C29</f>
        <v/>
      </c>
      <c r="G23" s="225" t="n"/>
      <c r="H23" s="23" t="n"/>
      <c r="Q23" s="110" t="n"/>
    </row>
    <row r="24" ht="30" customHeight="1" s="215">
      <c r="A24" s="118" t="n">
        <v>18</v>
      </c>
      <c r="B24" s="235" t="inlineStr">
        <is>
          <t>Ferreux / Non Ferreux</t>
        </is>
      </c>
      <c r="C24" s="63" t="inlineStr">
        <is>
          <t>Aciers</t>
        </is>
      </c>
      <c r="D24" s="64" t="n"/>
      <c r="E24" s="81">
        <f>IF(VLOOKUP($C$1,SAISIE!A:BH,A24,FALSE)="","",VLOOKUP($C$1,SAISIE!A:BH,A24,FALSE))</f>
        <v/>
      </c>
      <c r="F24" s="55">
        <f>E24/C29</f>
        <v/>
      </c>
      <c r="G24" s="232">
        <f>SUM(F24:F25)</f>
        <v/>
      </c>
      <c r="H24" s="23" t="n"/>
      <c r="J24" s="234" t="n"/>
      <c r="Q24" s="110" t="n"/>
    </row>
    <row r="25" ht="30" customHeight="1" s="215">
      <c r="A25" s="118" t="n">
        <v>20</v>
      </c>
      <c r="B25" s="224" t="n"/>
      <c r="C25" s="60" t="inlineStr">
        <is>
          <t>Alu</t>
        </is>
      </c>
      <c r="D25" s="54" t="n"/>
      <c r="E25" s="101">
        <f>IF(VLOOKUP($C$1,SAISIE!A:BH,A25,FALSE)="","",VLOOKUP($C$1,SAISIE!A:BH,A25,FALSE))</f>
        <v/>
      </c>
      <c r="F25" s="62">
        <f>E25/C29</f>
        <v/>
      </c>
      <c r="G25" s="224" t="n"/>
      <c r="H25" s="23" t="n"/>
      <c r="Q25" s="110" t="n"/>
    </row>
    <row r="26" ht="30" customHeight="1" s="215">
      <c r="A26" s="118" t="n">
        <v>22</v>
      </c>
      <c r="B26" s="229" t="inlineStr">
        <is>
          <t>Refus</t>
        </is>
      </c>
      <c r="C26" s="63" t="inlineStr">
        <is>
          <t>Refus fines</t>
        </is>
      </c>
      <c r="D26" s="64" t="n"/>
      <c r="E26" s="81">
        <f>IF(VLOOKUP($C$1,SAISIE!A:BH,A26,FALSE)="","",VLOOKUP($C$1,SAISIE!A:BH,A26,FALSE))</f>
        <v/>
      </c>
      <c r="F26" s="253">
        <f>E26/C29</f>
        <v/>
      </c>
      <c r="G26" s="223">
        <f>SUM(F26:F27)</f>
        <v/>
      </c>
      <c r="H26" s="23" t="n"/>
      <c r="Q26" s="110" t="n"/>
    </row>
    <row r="27" ht="30" customHeight="1" s="215">
      <c r="A27" s="118" t="n">
        <v>34</v>
      </c>
      <c r="B27" s="225" t="n"/>
      <c r="C27" s="61" t="inlineStr">
        <is>
          <t>Refus</t>
        </is>
      </c>
      <c r="D27" s="51" t="n"/>
      <c r="E27" s="101">
        <f>M17</f>
        <v/>
      </c>
      <c r="F27" s="62">
        <f>E27/C29</f>
        <v/>
      </c>
      <c r="G27" s="225" t="n"/>
      <c r="H27" s="23" t="n"/>
      <c r="Q27" s="110" t="n"/>
    </row>
    <row r="28">
      <c r="A28" s="118" t="n">
        <v>39</v>
      </c>
      <c r="B28" s="65" t="n"/>
      <c r="C28" s="66" t="n"/>
      <c r="D28" s="67" t="n"/>
      <c r="E28" s="68" t="n"/>
      <c r="F28" s="68" t="n"/>
      <c r="G28" s="69" t="n"/>
      <c r="H28" s="23" t="n"/>
      <c r="Q28" s="110" t="n"/>
    </row>
    <row r="29" ht="39" customHeight="1" s="215">
      <c r="A29" s="118" t="n"/>
      <c r="B29" s="70" t="inlineStr">
        <is>
          <t>Poids total net</t>
        </is>
      </c>
      <c r="C29" s="71">
        <f>SUM(E9:E27)</f>
        <v/>
      </c>
      <c r="D29" s="72" t="inlineStr">
        <is>
          <t>Kg</t>
        </is>
      </c>
      <c r="E29" s="70" t="n"/>
      <c r="F29" s="73" t="n"/>
      <c r="G29" s="74" t="n"/>
      <c r="H29" s="23" t="n"/>
      <c r="Q29" s="110" t="n"/>
    </row>
    <row r="30" ht="15" customHeight="1" s="215">
      <c r="A30" s="118" t="n"/>
      <c r="B30" s="27" t="n"/>
      <c r="C30" s="27" t="n"/>
      <c r="D30" s="27" t="n"/>
      <c r="E30" s="27" t="n"/>
      <c r="F30" s="27" t="n"/>
      <c r="G30" s="27" t="n"/>
      <c r="H30" s="23" t="n"/>
      <c r="Q30" s="110" t="n"/>
    </row>
    <row r="31">
      <c r="A31" s="118" t="n"/>
      <c r="B31" s="27" t="inlineStr">
        <is>
          <t>REMARQUES</t>
        </is>
      </c>
      <c r="C31" s="27" t="n"/>
      <c r="D31" s="27" t="n"/>
      <c r="E31" s="27" t="n"/>
      <c r="F31" s="27" t="n"/>
      <c r="G31" s="27" t="n"/>
      <c r="H31" s="23" t="n"/>
      <c r="J31" s="230" t="n"/>
      <c r="Q31" s="110" t="n"/>
    </row>
    <row r="32" ht="20.1" customHeight="1" s="215">
      <c r="A32" s="118" t="n"/>
      <c r="B32" s="211">
        <f>IF(VLOOKUP($C$1,SAISIE!A:BH,A28,FALSE)="","",VLOOKUP($C$1,SAISIE!A:BH,A28,FALSE))</f>
        <v/>
      </c>
      <c r="C32" s="212" t="n"/>
      <c r="D32" s="212" t="n"/>
      <c r="E32" s="212" t="n"/>
      <c r="F32" s="212" t="n"/>
      <c r="G32" s="213" t="n"/>
      <c r="H32" s="23" t="n"/>
      <c r="Q32" s="110" t="n"/>
    </row>
    <row r="33" ht="20.1" customHeight="1" s="215">
      <c r="A33" s="118" t="n"/>
      <c r="B33" s="214" t="n"/>
      <c r="G33" s="216" t="n"/>
      <c r="H33" s="23" t="n"/>
      <c r="Q33" s="110" t="n"/>
    </row>
    <row r="34" ht="20.1" customHeight="1" s="215">
      <c r="A34" s="118" t="n"/>
      <c r="B34" s="214" t="n"/>
      <c r="G34" s="216" t="n"/>
      <c r="H34" s="23" t="n"/>
      <c r="Q34" s="110" t="n"/>
    </row>
    <row r="35" ht="20.1" customHeight="1" s="215">
      <c r="A35" s="109" t="n"/>
      <c r="B35" s="214" t="n"/>
      <c r="G35" s="216" t="n"/>
      <c r="H35" s="23" t="n"/>
      <c r="Q35" s="110" t="n"/>
    </row>
    <row r="36" ht="20.1" customHeight="1" s="215">
      <c r="A36" s="109" t="n"/>
      <c r="B36" s="217" t="n"/>
      <c r="C36" s="218" t="n"/>
      <c r="D36" s="218" t="n"/>
      <c r="E36" s="218" t="n"/>
      <c r="F36" s="218" t="n"/>
      <c r="G36" s="219" t="n"/>
      <c r="H36" s="23" t="n"/>
      <c r="Q36" s="110" t="n"/>
    </row>
    <row r="37" ht="20.1" customHeight="1" s="215">
      <c r="A37" s="113" t="n"/>
      <c r="B37" s="114" t="n"/>
      <c r="C37" s="114" t="n"/>
      <c r="D37" s="114" t="n"/>
      <c r="E37" s="114" t="n"/>
      <c r="F37" s="114" t="n"/>
      <c r="G37" s="114" t="n"/>
      <c r="H37" s="115" t="n"/>
      <c r="I37" s="231" t="n"/>
      <c r="J37" s="231" t="n"/>
      <c r="K37" s="231" t="n"/>
      <c r="L37" s="231" t="n"/>
      <c r="M37" s="231" t="n"/>
      <c r="N37" s="231" t="n"/>
      <c r="O37" s="231" t="n"/>
      <c r="P37" s="231" t="n"/>
      <c r="Q37" s="117" t="n"/>
    </row>
  </sheetData>
  <mergeCells count="19">
    <mergeCell ref="B32:G36"/>
    <mergeCell ref="B3:C3"/>
    <mergeCell ref="D11:D12"/>
    <mergeCell ref="G15:G23"/>
    <mergeCell ref="J5:J16"/>
    <mergeCell ref="B15:B23"/>
    <mergeCell ref="J31:P37"/>
    <mergeCell ref="G24:G25"/>
    <mergeCell ref="E11:E12"/>
    <mergeCell ref="J24:P29"/>
    <mergeCell ref="B24:B25"/>
    <mergeCell ref="J18:P22"/>
    <mergeCell ref="F11:F12"/>
    <mergeCell ref="G26:G27"/>
    <mergeCell ref="B9:B14"/>
    <mergeCell ref="C5:E5"/>
    <mergeCell ref="B26:B27"/>
    <mergeCell ref="A11:A12"/>
    <mergeCell ref="G9:G14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82" fitToWidth="0"/>
  <colBreaks count="1" manualBreakCount="1">
    <brk id="8" min="1" max="39" man="1"/>
  </colBreak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H32"/>
  <sheetViews>
    <sheetView workbookViewId="0">
      <selection activeCell="B34" sqref="B34"/>
    </sheetView>
  </sheetViews>
  <sheetFormatPr baseColWidth="10" defaultRowHeight="15"/>
  <cols>
    <col width="14.7109375" customWidth="1" style="215" min="2" max="2"/>
    <col width="17" customWidth="1" style="215" min="3" max="3"/>
  </cols>
  <sheetData>
    <row r="1">
      <c r="A1" s="191" t="n"/>
      <c r="B1" s="192" t="n"/>
      <c r="C1" s="192" t="n"/>
      <c r="D1" s="192" t="n"/>
      <c r="E1" s="192" t="n"/>
      <c r="F1" s="192" t="n"/>
      <c r="G1" s="192" t="n"/>
      <c r="H1" s="193" t="n"/>
    </row>
    <row r="2" ht="18" customHeight="1" s="215">
      <c r="A2" s="248" t="inlineStr">
        <is>
          <t xml:space="preserve">Caractérisation </t>
        </is>
      </c>
      <c r="H2" s="216" t="n"/>
    </row>
    <row r="3" ht="15.75" customHeight="1" s="215" thickBot="1">
      <c r="A3" s="194" t="n"/>
      <c r="F3" s="75" t="n"/>
      <c r="G3" s="75" t="n"/>
      <c r="H3" s="23" t="n"/>
    </row>
    <row r="4" ht="16.5" customHeight="1" s="215" thickBot="1">
      <c r="A4" s="194" t="n"/>
      <c r="B4" s="195" t="inlineStr">
        <is>
          <t>Provenance</t>
        </is>
      </c>
      <c r="C4" s="252" t="n"/>
      <c r="D4" s="240" t="n"/>
      <c r="E4" s="241" t="n"/>
      <c r="F4" s="195" t="inlineStr">
        <is>
          <t>Date :</t>
        </is>
      </c>
      <c r="G4" s="139" t="n"/>
      <c r="H4" s="23" t="n"/>
    </row>
    <row r="5">
      <c r="A5" s="194" t="n"/>
      <c r="B5" s="27" t="n"/>
      <c r="C5" s="27" t="n"/>
      <c r="D5" s="27" t="n"/>
      <c r="E5" s="27" t="n"/>
      <c r="F5" s="27" t="n"/>
      <c r="G5" s="27" t="n"/>
      <c r="H5" s="23" t="n"/>
    </row>
    <row r="6" ht="15.75" customHeight="1" s="215" thickBot="1">
      <c r="A6" s="194" t="n"/>
      <c r="B6" s="27" t="n"/>
      <c r="C6" s="32" t="n"/>
      <c r="D6" s="27" t="n"/>
      <c r="E6" s="27" t="n"/>
      <c r="F6" s="27" t="n"/>
      <c r="G6" s="27" t="n"/>
      <c r="H6" s="23" t="n"/>
    </row>
    <row r="7" ht="30.75" customHeight="1" s="215" thickBot="1">
      <c r="A7" s="196" t="n"/>
      <c r="C7" s="163" t="inlineStr">
        <is>
          <t>Catégorie</t>
        </is>
      </c>
      <c r="D7" s="164" t="inlineStr">
        <is>
          <t>Poids Brut 
(en kg)</t>
        </is>
      </c>
      <c r="E7" s="164" t="inlineStr">
        <is>
          <t>Poids net
(en kg)</t>
        </is>
      </c>
      <c r="F7" s="163" t="inlineStr">
        <is>
          <t>%</t>
        </is>
      </c>
      <c r="G7" s="163" t="inlineStr">
        <is>
          <t>%</t>
        </is>
      </c>
      <c r="H7" s="23" t="n"/>
    </row>
    <row r="8" ht="15.75" customHeight="1" s="215" thickBot="1">
      <c r="A8" s="196" t="n">
        <v>4</v>
      </c>
      <c r="B8" s="245" t="inlineStr">
        <is>
          <t>Fibreux</t>
        </is>
      </c>
      <c r="C8" s="184" t="inlineStr">
        <is>
          <t>JRM</t>
        </is>
      </c>
      <c r="D8" s="185" t="n"/>
      <c r="E8" s="186" t="n"/>
      <c r="F8" s="187" t="n"/>
      <c r="G8" s="249" t="n"/>
      <c r="H8" s="23" t="n"/>
    </row>
    <row r="9">
      <c r="A9" s="196" t="n">
        <v>5</v>
      </c>
      <c r="B9" s="214" t="n"/>
      <c r="C9" s="134" t="inlineStr">
        <is>
          <t>EMR    (1.04 CS)</t>
        </is>
      </c>
      <c r="D9" s="135" t="n"/>
      <c r="E9" s="165" t="n"/>
      <c r="F9" s="166" t="n"/>
      <c r="G9" s="250" t="n"/>
      <c r="H9" s="23" t="n"/>
    </row>
    <row r="10">
      <c r="A10" s="256" t="n">
        <v>6</v>
      </c>
      <c r="B10" s="214" t="n"/>
      <c r="C10" s="134" t="inlineStr">
        <is>
          <t xml:space="preserve">CARTON </t>
        </is>
      </c>
      <c r="D10" s="135" t="n"/>
      <c r="E10" s="165" t="n"/>
      <c r="F10" s="167" t="n"/>
      <c r="G10" s="250" t="n"/>
      <c r="H10" s="23" t="n"/>
    </row>
    <row r="11" ht="15.75" customHeight="1" s="215" thickBot="1">
      <c r="A11" s="214" t="n"/>
      <c r="B11" s="214" t="n"/>
      <c r="C11" s="168" t="inlineStr">
        <is>
          <t>GM (1.02 CS)</t>
        </is>
      </c>
      <c r="D11" s="136" t="n"/>
      <c r="E11" s="169" t="n"/>
      <c r="F11" s="170" t="n"/>
      <c r="G11" s="251" t="n"/>
      <c r="H11" s="23" t="n"/>
    </row>
    <row r="12" ht="15.75" customHeight="1" s="215" thickBot="1">
      <c r="A12" s="196" t="n">
        <v>7</v>
      </c>
      <c r="B12" s="254" t="inlineStr">
        <is>
          <t>Corps creux</t>
        </is>
      </c>
      <c r="C12" s="142" t="inlineStr">
        <is>
          <t>PET Q9</t>
        </is>
      </c>
      <c r="D12" s="171" t="n"/>
      <c r="E12" s="172" t="n"/>
      <c r="F12" s="143" t="n"/>
      <c r="G12" s="223" t="n"/>
      <c r="H12" s="216" t="n"/>
    </row>
    <row r="13">
      <c r="A13" s="196" t="n">
        <v>8</v>
      </c>
      <c r="B13" s="224" t="n"/>
      <c r="C13" s="144" t="inlineStr">
        <is>
          <t>FLUX DEV</t>
        </is>
      </c>
      <c r="D13" s="145" t="n"/>
      <c r="E13" s="146" t="n"/>
      <c r="F13" s="147" t="n"/>
      <c r="G13" s="224" t="n"/>
      <c r="H13" s="216" t="n"/>
    </row>
    <row r="14">
      <c r="A14" s="196" t="n">
        <v>9</v>
      </c>
      <c r="B14" s="224" t="n"/>
      <c r="C14" s="173" t="inlineStr">
        <is>
          <t>PET B</t>
        </is>
      </c>
      <c r="D14" s="148" t="n"/>
      <c r="E14" s="146" t="n"/>
      <c r="F14" s="147" t="n"/>
      <c r="G14" s="224" t="n"/>
      <c r="H14" s="23" t="n"/>
    </row>
    <row r="15">
      <c r="A15" s="196" t="n">
        <v>10</v>
      </c>
      <c r="B15" s="224" t="n"/>
      <c r="C15" s="149" t="inlineStr">
        <is>
          <t>PEPP</t>
        </is>
      </c>
      <c r="D15" s="145" t="n"/>
      <c r="E15" s="146" t="n"/>
      <c r="F15" s="147" t="n"/>
      <c r="G15" s="224" t="n"/>
      <c r="H15" s="23" t="n"/>
    </row>
    <row r="16">
      <c r="A16" s="196" t="n">
        <v>11</v>
      </c>
      <c r="B16" s="224" t="n"/>
      <c r="C16" s="150" t="inlineStr">
        <is>
          <t>ELA</t>
        </is>
      </c>
      <c r="D16" s="145" t="n"/>
      <c r="E16" s="146" t="n"/>
      <c r="F16" s="147" t="n"/>
      <c r="G16" s="224" t="n"/>
      <c r="H16" s="23" t="n"/>
    </row>
    <row r="17">
      <c r="A17" s="196" t="n">
        <v>12</v>
      </c>
      <c r="B17" s="224" t="n"/>
      <c r="C17" s="149" t="inlineStr">
        <is>
          <t>Film PE</t>
        </is>
      </c>
      <c r="D17" s="151" t="n"/>
      <c r="E17" s="146" t="n"/>
      <c r="F17" s="152" t="n"/>
      <c r="G17" s="224" t="n"/>
      <c r="H17" s="23" t="n"/>
    </row>
    <row r="18" ht="15.75" customHeight="1" s="215" thickBot="1">
      <c r="A18" s="196" t="n">
        <v>13</v>
      </c>
      <c r="B18" s="225" t="n"/>
      <c r="C18" s="153" t="inlineStr">
        <is>
          <t>Aciers</t>
        </is>
      </c>
      <c r="D18" s="174" t="n"/>
      <c r="E18" s="175" t="n"/>
      <c r="F18" s="154" t="n"/>
      <c r="G18" s="225" t="n"/>
      <c r="H18" s="23" t="n"/>
    </row>
    <row r="19" ht="25.5" customHeight="1" s="215">
      <c r="A19" s="196" t="n">
        <v>14</v>
      </c>
      <c r="B19" s="255" t="inlineStr">
        <is>
          <t>Ferreux / Non Ferreux</t>
        </is>
      </c>
      <c r="C19" s="176" t="inlineStr">
        <is>
          <t xml:space="preserve">ACIER </t>
        </is>
      </c>
      <c r="D19" s="177" t="n"/>
      <c r="E19" s="178" t="n"/>
      <c r="F19" s="179" t="n"/>
      <c r="G19" s="253" t="n"/>
      <c r="H19" s="23" t="n"/>
    </row>
    <row r="20">
      <c r="A20" s="196" t="n">
        <v>15</v>
      </c>
      <c r="B20" s="227" t="n"/>
      <c r="C20" s="176" t="inlineStr">
        <is>
          <t>ALU</t>
        </is>
      </c>
      <c r="D20" s="177" t="n"/>
      <c r="E20" s="178" t="n"/>
      <c r="F20" s="179" t="n"/>
      <c r="G20" s="250" t="n"/>
      <c r="H20" s="23" t="n"/>
    </row>
    <row r="21">
      <c r="A21" s="196" t="n">
        <v>16</v>
      </c>
      <c r="B21" s="228" t="n"/>
      <c r="C21" s="176" t="inlineStr">
        <is>
          <t>PETIT ALU</t>
        </is>
      </c>
      <c r="D21" s="177" t="n"/>
      <c r="E21" s="178" t="n"/>
      <c r="F21" s="179" t="n"/>
      <c r="G21" s="237" t="n"/>
      <c r="H21" s="216" t="n"/>
    </row>
    <row r="22" ht="15.75" customHeight="1" s="215" thickBot="1">
      <c r="A22" s="196" t="n">
        <v>17</v>
      </c>
      <c r="B22" s="246" t="inlineStr">
        <is>
          <t>Refus</t>
        </is>
      </c>
      <c r="C22" s="180" t="inlineStr">
        <is>
          <t>REFUS FINES</t>
        </is>
      </c>
      <c r="D22" s="181" t="n"/>
      <c r="E22" s="182" t="n"/>
      <c r="F22" s="183" t="n"/>
      <c r="G22" s="244" t="n"/>
      <c r="H22" s="216" t="n"/>
    </row>
    <row r="23" ht="15.75" customHeight="1" s="215" thickBot="1">
      <c r="A23" s="196" t="n">
        <v>18</v>
      </c>
      <c r="B23" s="247" t="n"/>
      <c r="C23" s="188" t="n"/>
      <c r="D23" s="137" t="n"/>
      <c r="E23" s="189" t="n"/>
      <c r="F23" s="190" t="n"/>
      <c r="G23" s="237" t="n"/>
      <c r="H23" s="23" t="n"/>
    </row>
    <row r="24" ht="18.75" customHeight="1" s="215" thickBot="1">
      <c r="A24" s="196" t="n"/>
      <c r="B24" s="198" t="inlineStr">
        <is>
          <t>Poids total net</t>
        </is>
      </c>
      <c r="C24" s="138" t="n"/>
      <c r="D24" s="72" t="inlineStr">
        <is>
          <t>Kg</t>
        </is>
      </c>
      <c r="E24" s="70" t="n"/>
      <c r="F24" s="73" t="n"/>
      <c r="G24" s="74" t="n"/>
      <c r="H24" s="23" t="n"/>
    </row>
    <row r="25">
      <c r="A25" s="196" t="n"/>
      <c r="B25" s="27" t="n"/>
      <c r="C25" s="27" t="n"/>
      <c r="D25" s="27" t="n"/>
      <c r="E25" s="27" t="n"/>
      <c r="F25" s="27" t="n"/>
      <c r="G25" s="27" t="n"/>
      <c r="H25" s="23" t="n"/>
    </row>
    <row r="26" ht="15.75" customHeight="1" s="215" thickBot="1">
      <c r="A26" s="196" t="n"/>
      <c r="B26" s="199" t="inlineStr">
        <is>
          <t>REMARQUES</t>
        </is>
      </c>
      <c r="C26" s="27" t="n"/>
      <c r="D26" s="27" t="n"/>
      <c r="E26" s="27" t="n"/>
      <c r="F26" s="27" t="n"/>
      <c r="G26" s="27" t="n"/>
      <c r="H26" s="23" t="n"/>
    </row>
    <row r="27" ht="15.75" customHeight="1" s="215" thickBot="1">
      <c r="A27" s="196" t="n"/>
      <c r="B27" s="211" t="n"/>
      <c r="C27" s="212" t="n"/>
      <c r="D27" s="212" t="n"/>
      <c r="E27" s="212" t="n"/>
      <c r="F27" s="212" t="n"/>
      <c r="G27" s="213" t="n"/>
      <c r="H27" s="23" t="n"/>
    </row>
    <row r="28">
      <c r="A28" s="196" t="n"/>
      <c r="B28" s="214" t="n"/>
      <c r="G28" s="216" t="n"/>
      <c r="H28" s="23" t="n"/>
    </row>
    <row r="29">
      <c r="A29" s="196" t="n"/>
      <c r="B29" s="214" t="n"/>
      <c r="G29" s="216" t="n"/>
      <c r="H29" s="23" t="n"/>
    </row>
    <row r="30">
      <c r="A30" s="194" t="n"/>
      <c r="B30" s="214" t="n"/>
      <c r="G30" s="216" t="n"/>
      <c r="H30" s="23" t="n"/>
    </row>
    <row r="31" ht="15.75" customHeight="1" s="215" thickBot="1">
      <c r="A31" s="194" t="n"/>
      <c r="B31" s="217" t="n"/>
      <c r="C31" s="218" t="n"/>
      <c r="D31" s="218" t="n"/>
      <c r="E31" s="218" t="n"/>
      <c r="F31" s="218" t="n"/>
      <c r="G31" s="219" t="n"/>
      <c r="H31" s="23" t="n"/>
    </row>
    <row r="32" ht="15.75" customHeight="1" s="215" thickBot="1">
      <c r="A32" s="200" t="n"/>
      <c r="B32" s="201" t="n"/>
      <c r="C32" s="201" t="n"/>
      <c r="D32" s="201" t="n"/>
      <c r="E32" s="201" t="n"/>
      <c r="F32" s="201" t="n"/>
      <c r="G32" s="201" t="n"/>
      <c r="H32" s="202" t="n"/>
    </row>
  </sheetData>
  <mergeCells count="12">
    <mergeCell ref="G22:G23"/>
    <mergeCell ref="B8:B11"/>
    <mergeCell ref="B22:B23"/>
    <mergeCell ref="B27:G31"/>
    <mergeCell ref="A2:H2"/>
    <mergeCell ref="G12:G18"/>
    <mergeCell ref="G8:G11"/>
    <mergeCell ref="C4:E4"/>
    <mergeCell ref="G19:G21"/>
    <mergeCell ref="B12:B18"/>
    <mergeCell ref="B19:B21"/>
    <mergeCell ref="A10:A11"/>
  </mergeCells>
  <pageMargins left="1" right="1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G16"/>
  <sheetViews>
    <sheetView showGridLines="0" view="pageBreakPreview" topLeftCell="A7" zoomScale="60" zoomScaleNormal="90" workbookViewId="0">
      <selection activeCell="AB33" sqref="AB33"/>
    </sheetView>
  </sheetViews>
  <sheetFormatPr baseColWidth="10" defaultColWidth="11.42578125" defaultRowHeight="15"/>
  <cols>
    <col width="16.42578125" bestFit="1" customWidth="1" style="215" min="3" max="3"/>
    <col width="15.7109375" bestFit="1" customWidth="1" style="215" min="5" max="5"/>
    <col width="13" bestFit="1" customWidth="1" style="215" min="7" max="7"/>
    <col width="8" customWidth="1" style="215" min="18" max="18"/>
  </cols>
  <sheetData>
    <row r="1">
      <c r="B1" s="234" t="n"/>
    </row>
    <row r="5">
      <c r="C5" s="1" t="n"/>
      <c r="D5" s="1" t="n"/>
      <c r="E5" s="5" t="n"/>
      <c r="F5" s="1" t="n"/>
      <c r="G5" s="1" t="n"/>
    </row>
    <row r="6">
      <c r="C6" s="1" t="n"/>
      <c r="D6" s="4" t="n"/>
      <c r="E6" s="5" t="n"/>
      <c r="F6" s="3" t="n"/>
      <c r="G6" s="3" t="n"/>
    </row>
    <row r="7">
      <c r="C7" s="1" t="n"/>
      <c r="D7" s="4" t="n"/>
      <c r="E7" s="5" t="n"/>
      <c r="F7" s="3" t="n"/>
      <c r="G7" s="3" t="n"/>
    </row>
    <row r="8">
      <c r="C8" s="1" t="n"/>
      <c r="D8" s="4" t="n"/>
      <c r="E8" s="5" t="n"/>
      <c r="F8" s="3" t="n"/>
      <c r="G8" s="3" t="n"/>
    </row>
    <row r="9">
      <c r="C9" s="1" t="n"/>
      <c r="D9" s="4" t="n"/>
      <c r="E9" s="5" t="n"/>
      <c r="F9" s="3" t="n"/>
      <c r="G9" s="3" t="n"/>
    </row>
    <row r="10">
      <c r="C10" s="1" t="n"/>
      <c r="D10" s="4" t="n"/>
      <c r="E10" s="5" t="n"/>
      <c r="F10" s="3" t="n"/>
      <c r="G10" s="3" t="n"/>
    </row>
    <row r="11">
      <c r="C11" s="1" t="n"/>
      <c r="D11" s="4" t="n"/>
      <c r="E11" s="5" t="n"/>
      <c r="F11" s="3" t="n"/>
      <c r="G11" s="3" t="n"/>
    </row>
    <row r="12">
      <c r="C12" s="1" t="n"/>
      <c r="D12" s="4" t="n"/>
      <c r="E12" s="5" t="n"/>
      <c r="F12" s="3" t="n"/>
      <c r="G12" s="3" t="n"/>
    </row>
    <row r="13">
      <c r="C13" s="1" t="n"/>
      <c r="D13" s="4" t="n"/>
      <c r="E13" s="5" t="n"/>
      <c r="F13" s="3" t="n"/>
      <c r="G13" s="3" t="n"/>
    </row>
    <row r="14">
      <c r="C14" s="1" t="n"/>
      <c r="D14" s="4" t="n"/>
      <c r="E14" s="5" t="n"/>
      <c r="F14" s="3" t="n"/>
      <c r="G14" s="3" t="n"/>
    </row>
    <row r="15">
      <c r="E15" s="6" t="n"/>
      <c r="F15" s="6" t="n"/>
      <c r="G15" s="6" t="n"/>
    </row>
    <row r="16">
      <c r="G16" s="3" t="n"/>
    </row>
  </sheetData>
  <mergeCells count="1">
    <mergeCell ref="B1:C1"/>
  </mergeCells>
  <pageMargins left="0.25" right="0.25" top="0.75" bottom="0.75" header="0.3" footer="0.3"/>
  <pageSetup orientation="landscape" paperSize="9" scale="4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A22"/>
  <sheetViews>
    <sheetView workbookViewId="0">
      <selection activeCell="B32" sqref="B32"/>
    </sheetView>
  </sheetViews>
  <sheetFormatPr baseColWidth="10" defaultColWidth="9.140625" defaultRowHeight="15"/>
  <cols>
    <col width="33.85546875" customWidth="1" style="215" min="1" max="1"/>
  </cols>
  <sheetData>
    <row r="1">
      <c r="A1" t="inlineStr">
        <is>
          <t>GARE MONTPARNASSE</t>
        </is>
      </c>
    </row>
    <row r="2">
      <c r="A2" t="inlineStr">
        <is>
          <t>LE PETIT PLUS</t>
        </is>
      </c>
    </row>
    <row r="3">
      <c r="A3" t="inlineStr">
        <is>
          <t>LA COURNEUVE</t>
        </is>
      </c>
    </row>
    <row r="4">
      <c r="A4" t="inlineStr">
        <is>
          <t>PSM</t>
        </is>
      </c>
    </row>
    <row r="5">
      <c r="A5" t="inlineStr">
        <is>
          <t>PSM - ADP BEAUVAIS</t>
        </is>
      </c>
    </row>
    <row r="6">
      <c r="A6" t="inlineStr">
        <is>
          <t>LBM</t>
        </is>
      </c>
    </row>
    <row r="7">
      <c r="A7" t="inlineStr">
        <is>
          <t>AEROVILLE</t>
        </is>
      </c>
    </row>
    <row r="8">
      <c r="A8" t="inlineStr">
        <is>
          <t>CDG</t>
        </is>
      </c>
    </row>
    <row r="9">
      <c r="A9" t="inlineStr">
        <is>
          <t>HAUSSMAN</t>
        </is>
      </c>
    </row>
    <row r="10">
      <c r="A10" t="inlineStr">
        <is>
          <t>ORLY</t>
        </is>
      </c>
    </row>
    <row r="11">
      <c r="A11" t="inlineStr">
        <is>
          <t>CEMEX</t>
        </is>
      </c>
    </row>
    <row r="12">
      <c r="A12" t="inlineStr">
        <is>
          <t>LE BOURGET &amp; LBM</t>
        </is>
      </c>
    </row>
    <row r="13">
      <c r="A13" t="inlineStr">
        <is>
          <t>ROISSY</t>
        </is>
      </c>
    </row>
    <row r="14">
      <c r="A14" t="inlineStr">
        <is>
          <t>DISNEYLAND</t>
        </is>
      </c>
    </row>
    <row r="15">
      <c r="A15" t="inlineStr">
        <is>
          <t>VALLEE VILLAGE &amp; 4 TEMPS</t>
        </is>
      </c>
    </row>
    <row r="16">
      <c r="A16" t="inlineStr">
        <is>
          <t>GARE DE LYON</t>
        </is>
      </c>
    </row>
    <row r="17">
      <c r="A17" t="inlineStr">
        <is>
          <t>SNCF</t>
        </is>
      </c>
    </row>
    <row r="18">
      <c r="A18" t="inlineStr">
        <is>
          <t>VALODEA</t>
        </is>
      </c>
    </row>
    <row r="19">
      <c r="A19" t="inlineStr">
        <is>
          <t>VALOR'AISME</t>
        </is>
      </c>
    </row>
    <row r="20">
      <c r="A20" t="inlineStr">
        <is>
          <t>SITRU</t>
        </is>
      </c>
    </row>
    <row r="21">
      <c r="A21" t="inlineStr">
        <is>
          <t>SYCTOM</t>
        </is>
      </c>
    </row>
    <row r="22">
      <c r="A22" t="inlineStr">
        <is>
          <t>AUTRES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E35" sqref="E35"/>
    </sheetView>
  </sheetViews>
  <sheetFormatPr baseColWidth="10" defaultRowHeight="15"/>
  <cols>
    <col width="13.7109375" bestFit="1" customWidth="1" style="215" min="1" max="1"/>
    <col width="11.42578125" bestFit="1" customWidth="1" style="215" min="2" max="21"/>
    <col width="20.42578125" bestFit="1" customWidth="1" style="215" min="22" max="22"/>
    <col width="17" bestFit="1" customWidth="1" style="215" min="23" max="23"/>
    <col width="15.140625" bestFit="1" customWidth="1" style="215" min="24" max="24"/>
    <col width="15.42578125" bestFit="1" customWidth="1" style="215" min="25" max="25"/>
    <col width="11.42578125" bestFit="1" customWidth="1" style="215" min="26" max="42"/>
    <col width="12.42578125" bestFit="1" customWidth="1" style="215" min="43" max="43"/>
    <col width="11.42578125" bestFit="1" customWidth="1" style="215" min="44" max="45"/>
    <col width="17.85546875" bestFit="1" customWidth="1" style="215" min="46" max="46"/>
    <col width="13.28515625" bestFit="1" customWidth="1" style="215" min="47" max="47"/>
    <col width="15" bestFit="1" customWidth="1" style="215" min="48" max="48"/>
  </cols>
  <sheetData>
    <row r="1">
      <c r="A1" s="204" t="inlineStr">
        <is>
          <t>Détails pou for Moyenne de Taux de valorisable - Mois : 2</t>
        </is>
      </c>
    </row>
    <row r="3">
      <c r="A3" t="inlineStr">
        <is>
          <t>Provenance</t>
        </is>
      </c>
      <c r="B3" t="inlineStr">
        <is>
          <t>Date</t>
        </is>
      </c>
      <c r="C3" t="inlineStr">
        <is>
          <t>JRM</t>
        </is>
      </c>
      <c r="D3" t="inlineStr">
        <is>
          <t>2.06</t>
        </is>
      </c>
      <c r="E3" t="inlineStr">
        <is>
          <t>EMR</t>
        </is>
      </c>
      <c r="F3" t="inlineStr">
        <is>
          <t>1.05</t>
        </is>
      </c>
      <c r="G3" t="inlineStr">
        <is>
          <t>GM</t>
        </is>
      </c>
      <c r="H3" t="inlineStr">
        <is>
          <t>PET Q4</t>
        </is>
      </c>
      <c r="I3" t="inlineStr">
        <is>
          <t>PET Q5</t>
        </is>
      </c>
      <c r="J3" t="inlineStr">
        <is>
          <t>PET O</t>
        </is>
      </c>
      <c r="K3" t="inlineStr">
        <is>
          <t>PET B</t>
        </is>
      </c>
      <c r="L3" t="inlineStr">
        <is>
          <t>PS</t>
        </is>
      </c>
      <c r="M3" t="inlineStr">
        <is>
          <t>PEHD</t>
        </is>
      </c>
      <c r="N3" t="inlineStr">
        <is>
          <t>PP</t>
        </is>
      </c>
      <c r="O3" t="inlineStr">
        <is>
          <t>ELA</t>
        </is>
      </c>
      <c r="P3" t="inlineStr">
        <is>
          <t>Films PE</t>
        </is>
      </c>
      <c r="Q3" t="inlineStr">
        <is>
          <t>ACIER</t>
        </is>
      </c>
      <c r="R3" t="inlineStr">
        <is>
          <t>Petit ALU</t>
        </is>
      </c>
      <c r="S3" t="inlineStr">
        <is>
          <t>ALU</t>
        </is>
      </c>
      <c r="T3" t="inlineStr">
        <is>
          <t>Refus</t>
        </is>
      </c>
      <c r="U3" t="inlineStr">
        <is>
          <t>Total (kg)</t>
        </is>
      </c>
      <c r="V3" t="inlineStr">
        <is>
          <t>Taux de valorisable</t>
        </is>
      </c>
      <c r="W3" t="inlineStr">
        <is>
          <t>Taux de fibreux</t>
        </is>
      </c>
      <c r="X3" t="inlineStr">
        <is>
          <t>Taux de refus</t>
        </is>
      </c>
      <c r="Y3" t="inlineStr">
        <is>
          <t>Commentaire</t>
        </is>
      </c>
      <c r="Z3" t="inlineStr">
        <is>
          <t>Année</t>
        </is>
      </c>
      <c r="AA3" t="inlineStr">
        <is>
          <t>Mois</t>
        </is>
      </c>
      <c r="AB3" t="inlineStr">
        <is>
          <t>Semaine</t>
        </is>
      </c>
      <c r="AC3" t="inlineStr">
        <is>
          <t>JRM2</t>
        </is>
      </c>
      <c r="AD3" t="inlineStr">
        <is>
          <t>2.05</t>
        </is>
      </c>
      <c r="AE3" t="inlineStr">
        <is>
          <t>EMR2</t>
        </is>
      </c>
      <c r="AF3" t="inlineStr">
        <is>
          <t>GM2</t>
        </is>
      </c>
      <c r="AG3" t="inlineStr">
        <is>
          <t>PET Q42</t>
        </is>
      </c>
      <c r="AH3" t="inlineStr">
        <is>
          <t>PET Q52</t>
        </is>
      </c>
      <c r="AI3" t="inlineStr">
        <is>
          <t>PET O2</t>
        </is>
      </c>
      <c r="AJ3" t="inlineStr">
        <is>
          <t>PET B2</t>
        </is>
      </c>
      <c r="AK3" t="inlineStr">
        <is>
          <t>PS2</t>
        </is>
      </c>
      <c r="AL3" t="inlineStr">
        <is>
          <t>PEHD2</t>
        </is>
      </c>
      <c r="AM3" t="inlineStr">
        <is>
          <t>PP2</t>
        </is>
      </c>
      <c r="AN3" t="inlineStr">
        <is>
          <t>ELA2</t>
        </is>
      </c>
      <c r="AO3" t="inlineStr">
        <is>
          <t>Films PE2</t>
        </is>
      </c>
      <c r="AP3" t="inlineStr">
        <is>
          <t>ACIER2</t>
        </is>
      </c>
      <c r="AQ3" t="inlineStr">
        <is>
          <t>Petit ALU2</t>
        </is>
      </c>
      <c r="AR3" t="inlineStr">
        <is>
          <t>ALU2</t>
        </is>
      </c>
      <c r="AS3" t="inlineStr">
        <is>
          <t>Refus2</t>
        </is>
      </c>
      <c r="AT3" t="inlineStr">
        <is>
          <t>Taux Valorisable</t>
        </is>
      </c>
      <c r="AU3" t="inlineStr">
        <is>
          <t xml:space="preserve">Taux Refus </t>
        </is>
      </c>
      <c r="AV3" t="inlineStr">
        <is>
          <t xml:space="preserve">Taux Fibreux </t>
        </is>
      </c>
    </row>
    <row r="4">
      <c r="A4" t="inlineStr">
        <is>
          <t>SYCTOM</t>
        </is>
      </c>
      <c r="B4" s="203" t="n">
        <v>46068</v>
      </c>
      <c r="C4" t="n">
        <v>2</v>
      </c>
      <c r="D4" t="n">
        <v>4</v>
      </c>
      <c r="E4" t="n">
        <v>6</v>
      </c>
      <c r="F4" t="n">
        <v>12</v>
      </c>
      <c r="G4" t="n">
        <v>8</v>
      </c>
      <c r="H4" t="n">
        <v>88</v>
      </c>
      <c r="I4" t="n">
        <v>4</v>
      </c>
      <c r="J4" t="n">
        <v>0</v>
      </c>
      <c r="K4" t="n">
        <v>1</v>
      </c>
      <c r="L4" t="n">
        <v>0</v>
      </c>
      <c r="M4" t="n">
        <v>6</v>
      </c>
      <c r="N4" t="n">
        <v>5</v>
      </c>
      <c r="O4" t="n">
        <v>4</v>
      </c>
      <c r="P4" t="n">
        <v>9</v>
      </c>
      <c r="Q4" t="n">
        <v>25</v>
      </c>
      <c r="R4" t="n">
        <v>7</v>
      </c>
      <c r="S4" t="n">
        <v>2</v>
      </c>
      <c r="T4" t="n">
        <v>2</v>
      </c>
      <c r="U4" t="n">
        <v>185</v>
      </c>
      <c r="V4" t="n">
        <v>0.9891891891891892</v>
      </c>
      <c r="W4" t="n">
        <v>0.172972972972973</v>
      </c>
      <c r="X4" t="n">
        <v>0.01081081081081081</v>
      </c>
      <c r="Z4" t="n">
        <v>2026</v>
      </c>
      <c r="AA4" t="n">
        <v>2</v>
      </c>
      <c r="AB4" t="n">
        <v>7</v>
      </c>
      <c r="AC4" t="n">
        <v>0.01081081081081081</v>
      </c>
      <c r="AD4" t="n">
        <v>0.02162162162162162</v>
      </c>
      <c r="AE4" t="n">
        <v>0.03243243243243243</v>
      </c>
      <c r="AF4" t="n">
        <v>0.04324324324324325</v>
      </c>
      <c r="AG4" t="n">
        <v>0.4756756756756757</v>
      </c>
      <c r="AH4" t="n">
        <v>0.02162162162162162</v>
      </c>
      <c r="AI4" t="n">
        <v>0</v>
      </c>
      <c r="AJ4" t="n">
        <v>0.005405405405405406</v>
      </c>
      <c r="AK4" t="n">
        <v>0</v>
      </c>
      <c r="AL4" t="n">
        <v>0.03243243243243243</v>
      </c>
      <c r="AM4" t="n">
        <v>0.02702702702702703</v>
      </c>
      <c r="AN4" t="n">
        <v>0.02162162162162162</v>
      </c>
      <c r="AO4" t="n">
        <v>0.04864864864864865</v>
      </c>
      <c r="AP4" t="n">
        <v>0.1351351351351351</v>
      </c>
      <c r="AQ4" t="n">
        <v>0.03783783783783784</v>
      </c>
      <c r="AR4" t="n">
        <v>0.01081081081081081</v>
      </c>
      <c r="AS4" t="n">
        <v>0.01081081081081081</v>
      </c>
      <c r="AT4" t="n">
        <v>0.9243243243243243</v>
      </c>
      <c r="AU4" t="n">
        <v>0.01081081081081081</v>
      </c>
      <c r="AV4" t="n">
        <v>0.1081081081081081</v>
      </c>
    </row>
    <row r="5">
      <c r="A5" t="inlineStr">
        <is>
          <t>SYCTOM</t>
        </is>
      </c>
      <c r="B5" s="203" t="n">
        <v>46068</v>
      </c>
      <c r="C5" t="n">
        <v>2</v>
      </c>
      <c r="D5" t="n">
        <v>23</v>
      </c>
      <c r="E5" t="n">
        <v>2</v>
      </c>
      <c r="F5" t="n">
        <v>1</v>
      </c>
      <c r="G5" t="n">
        <v>5</v>
      </c>
      <c r="H5" t="n">
        <v>0</v>
      </c>
      <c r="I5" t="n">
        <v>1</v>
      </c>
      <c r="J5" t="n">
        <v>3</v>
      </c>
      <c r="K5" t="n">
        <v>1</v>
      </c>
      <c r="L5" t="n">
        <v>2</v>
      </c>
      <c r="M5" t="n">
        <v>8</v>
      </c>
      <c r="N5" t="n">
        <v>4</v>
      </c>
      <c r="O5" t="n">
        <v>6</v>
      </c>
      <c r="P5" t="n">
        <v>9</v>
      </c>
      <c r="Q5" t="n">
        <v>0</v>
      </c>
      <c r="R5" t="n">
        <v>2</v>
      </c>
      <c r="S5" t="n">
        <v>2</v>
      </c>
      <c r="T5" t="n">
        <v>5</v>
      </c>
      <c r="U5" t="n">
        <v>76</v>
      </c>
      <c r="V5" t="n">
        <v>0.9342105263157895</v>
      </c>
      <c r="W5" t="n">
        <v>0.4342105263157895</v>
      </c>
      <c r="X5" t="n">
        <v>0.06578947368421052</v>
      </c>
      <c r="Z5" t="n">
        <v>2026</v>
      </c>
      <c r="AA5" t="n">
        <v>2</v>
      </c>
      <c r="AB5" t="n">
        <v>7</v>
      </c>
      <c r="AC5" t="n">
        <v>0.02631578947368421</v>
      </c>
      <c r="AD5" t="n">
        <v>0.3026315789473684</v>
      </c>
      <c r="AE5" t="n">
        <v>0.02631578947368421</v>
      </c>
      <c r="AF5" t="n">
        <v>0.06578947368421052</v>
      </c>
      <c r="AG5" t="n">
        <v>0</v>
      </c>
      <c r="AH5" t="n">
        <v>0.0131578947368421</v>
      </c>
      <c r="AI5" t="n">
        <v>0.03947368421052631</v>
      </c>
      <c r="AJ5" t="n">
        <v>0.0131578947368421</v>
      </c>
      <c r="AK5" t="n">
        <v>0.02631578947368421</v>
      </c>
      <c r="AL5" t="n">
        <v>0.1052631578947368</v>
      </c>
      <c r="AM5" t="n">
        <v>0.05263157894736842</v>
      </c>
      <c r="AN5" t="n">
        <v>0.07894736842105263</v>
      </c>
      <c r="AO5" t="n">
        <v>0.1184210526315789</v>
      </c>
      <c r="AP5" t="n">
        <v>0</v>
      </c>
      <c r="AQ5" t="n">
        <v>0.02631578947368421</v>
      </c>
      <c r="AR5" t="n">
        <v>0.02631578947368421</v>
      </c>
      <c r="AS5" t="n">
        <v>0.06578947368421052</v>
      </c>
      <c r="AT5" t="n">
        <v>0.9210526315789473</v>
      </c>
      <c r="AU5" t="n">
        <v>0.06578947368421052</v>
      </c>
      <c r="AV5" t="n">
        <v>0.4210526315789473</v>
      </c>
    </row>
    <row r="6">
      <c r="A6" t="inlineStr">
        <is>
          <t>SYCTOM</t>
        </is>
      </c>
      <c r="B6" s="203" t="n">
        <v>46068</v>
      </c>
      <c r="C6" t="n">
        <v>0.2</v>
      </c>
      <c r="D6" t="n">
        <v>0.3</v>
      </c>
      <c r="E6" t="n">
        <v>0.01</v>
      </c>
      <c r="F6" t="n">
        <v>0.001</v>
      </c>
      <c r="G6" t="n">
        <v>0.2</v>
      </c>
      <c r="H6" t="n">
        <v>0.3</v>
      </c>
      <c r="I6" t="n">
        <v>0.6</v>
      </c>
      <c r="J6" t="n">
        <v>0.2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25</v>
      </c>
      <c r="R6" t="n">
        <v>0.2</v>
      </c>
      <c r="S6" t="n">
        <v>0.1</v>
      </c>
      <c r="T6" t="n">
        <v>10</v>
      </c>
      <c r="U6" t="n">
        <v>37.711</v>
      </c>
      <c r="V6" t="n">
        <v>0.7348253825143858</v>
      </c>
      <c r="W6" t="n">
        <v>0.01885391530322718</v>
      </c>
      <c r="X6" t="n">
        <v>0.2651746174856143</v>
      </c>
      <c r="Z6" t="n">
        <v>2026</v>
      </c>
      <c r="AA6" t="n">
        <v>2</v>
      </c>
      <c r="AB6" t="n">
        <v>7</v>
      </c>
      <c r="AC6" t="n">
        <v>0.005303492349712286</v>
      </c>
      <c r="AD6" t="n">
        <v>0.007955238524568429</v>
      </c>
      <c r="AE6" t="n">
        <v>0.0002651746174856143</v>
      </c>
      <c r="AF6" t="n">
        <v>0.005303492349712286</v>
      </c>
      <c r="AG6" t="n">
        <v>0.007955238524568429</v>
      </c>
      <c r="AH6" t="n">
        <v>0.01591047704913686</v>
      </c>
      <c r="AI6" t="n">
        <v>0.005303492349712286</v>
      </c>
      <c r="AJ6" t="n">
        <v>0.002651746174856143</v>
      </c>
      <c r="AK6" t="n">
        <v>0.002651746174856143</v>
      </c>
      <c r="AL6" t="n">
        <v>0.002651746174856143</v>
      </c>
      <c r="AM6" t="n">
        <v>0.002651746174856143</v>
      </c>
      <c r="AN6" t="n">
        <v>0.002651746174856143</v>
      </c>
      <c r="AO6" t="n">
        <v>0.002651746174856143</v>
      </c>
      <c r="AP6" t="n">
        <v>0.6629365437140358</v>
      </c>
      <c r="AQ6" t="n">
        <v>0.005303492349712286</v>
      </c>
      <c r="AR6" t="n">
        <v>0.002651746174856143</v>
      </c>
      <c r="AS6" t="n">
        <v>0.2651746174856143</v>
      </c>
      <c r="AT6" t="n">
        <v>0.7347988650526373</v>
      </c>
      <c r="AU6" t="n">
        <v>0.2651746174856143</v>
      </c>
      <c r="AV6" t="n">
        <v>0.01882739784147862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L13"/>
  <sheetViews>
    <sheetView workbookViewId="0">
      <selection activeCell="B5" sqref="B5"/>
    </sheetView>
  </sheetViews>
  <sheetFormatPr baseColWidth="10" defaultColWidth="11.42578125" defaultRowHeight="15"/>
  <cols>
    <col width="21" bestFit="1" customWidth="1" style="215" min="1" max="1"/>
    <col width="30.140625" bestFit="1" customWidth="1" style="9" min="2" max="2"/>
    <col width="24.85546875" bestFit="1" customWidth="1" style="9" min="3" max="3"/>
    <col width="16.42578125" customWidth="1" style="215" min="7" max="7"/>
    <col width="20.85546875" bestFit="1" customWidth="1" style="215" min="9" max="9"/>
  </cols>
  <sheetData>
    <row r="1">
      <c r="G1" s="133" t="inlineStr">
        <is>
          <t>MOIS CHIFFRE</t>
        </is>
      </c>
      <c r="H1" s="133" t="inlineStr">
        <is>
          <t xml:space="preserve">MOIS </t>
        </is>
      </c>
      <c r="I1" s="133" t="inlineStr">
        <is>
          <t>TAUX DE VALORISABLE</t>
        </is>
      </c>
      <c r="J1" s="133" t="inlineStr">
        <is>
          <t>TAUX REFUS</t>
        </is>
      </c>
    </row>
    <row r="2">
      <c r="G2" s="132" t="n">
        <v>1</v>
      </c>
      <c r="H2" s="131" t="inlineStr">
        <is>
          <t>JANVIER</t>
        </is>
      </c>
      <c r="I2" s="140">
        <f>IFERROR(VLOOKUP(G2,A:C,2,0),"")</f>
        <v/>
      </c>
      <c r="J2" s="141">
        <f>IFERROR(VLOOKUP(G2,A:C,3,0),"")</f>
        <v/>
      </c>
    </row>
    <row r="3">
      <c r="A3" s="7" t="inlineStr">
        <is>
          <t>Étiquettes de lignes</t>
        </is>
      </c>
      <c r="B3" t="inlineStr">
        <is>
          <t>Moyenne de Taux de valorisable</t>
        </is>
      </c>
      <c r="C3" t="inlineStr">
        <is>
          <t>Moyenne de Taux de refus</t>
        </is>
      </c>
      <c r="G3" s="132" t="n">
        <v>2</v>
      </c>
      <c r="H3" s="131" t="inlineStr">
        <is>
          <t>FÉVRIER</t>
        </is>
      </c>
      <c r="I3" s="140">
        <f>IFERROR(VLOOKUP(G3,A:C,2,0),"")</f>
        <v/>
      </c>
      <c r="J3" s="140">
        <f>IFERROR(VLOOKUP(G3,A:C,3,0),"")</f>
        <v/>
      </c>
    </row>
    <row r="4">
      <c r="A4" s="8" t="n">
        <v>1</v>
      </c>
      <c r="B4" t="e">
        <v>#DIV/0!</v>
      </c>
      <c r="C4" t="e">
        <v>#DIV/0!</v>
      </c>
      <c r="G4" s="132" t="n">
        <v>3</v>
      </c>
      <c r="H4" s="131" t="inlineStr">
        <is>
          <t>MARS</t>
        </is>
      </c>
      <c r="I4" s="140">
        <f>IFERROR(VLOOKUP(G4,A:C,2,0),"")</f>
        <v/>
      </c>
      <c r="J4" s="141">
        <f>IFERROR(VLOOKUP(G4,A:C,3,0),"")</f>
        <v/>
      </c>
    </row>
    <row r="5">
      <c r="A5" s="8" t="n">
        <v>2</v>
      </c>
      <c r="B5" t="n">
        <v>0.8860750326731215</v>
      </c>
      <c r="C5" t="n">
        <v>0.1139249673268785</v>
      </c>
      <c r="G5" s="132" t="n">
        <v>4</v>
      </c>
      <c r="H5" s="131" t="inlineStr">
        <is>
          <t>AVRIL</t>
        </is>
      </c>
      <c r="I5" s="140">
        <f>IFERROR(VLOOKUP(G5,A:C,2,0),"")</f>
        <v/>
      </c>
      <c r="J5" s="141">
        <f>IFERROR(VLOOKUP(G5,A:C,3,0),"")</f>
        <v/>
      </c>
      <c r="K5" s="14" t="n"/>
      <c r="L5" s="14" t="n"/>
    </row>
    <row r="6">
      <c r="A6" s="8" t="inlineStr">
        <is>
          <t>(vide)</t>
        </is>
      </c>
      <c r="G6" s="132" t="n">
        <v>5</v>
      </c>
      <c r="H6" s="131" t="inlineStr">
        <is>
          <t>MAI</t>
        </is>
      </c>
      <c r="I6" s="140">
        <f>IFERROR(VLOOKUP(G6,A:C,2,0),"")</f>
        <v/>
      </c>
      <c r="J6" s="141">
        <f>IFERROR(VLOOKUP(G6,A:C,3,0),"")</f>
        <v/>
      </c>
    </row>
    <row r="7">
      <c r="A7" s="8" t="inlineStr">
        <is>
          <t>Total général</t>
        </is>
      </c>
      <c r="B7" t="e">
        <v>#DIV/0!</v>
      </c>
      <c r="C7" t="e">
        <v>#DIV/0!</v>
      </c>
      <c r="G7" s="132" t="n">
        <v>6</v>
      </c>
      <c r="H7" s="131" t="inlineStr">
        <is>
          <t>JUIN</t>
        </is>
      </c>
      <c r="I7" s="140">
        <f>IFERROR(VLOOKUP(G7,A:C,2,0),"")</f>
        <v/>
      </c>
      <c r="J7" s="140">
        <f>IFERROR(VLOOKUP(G7,A:C,3,0),"")</f>
        <v/>
      </c>
    </row>
    <row r="8">
      <c r="G8" s="132" t="n">
        <v>7</v>
      </c>
      <c r="H8" s="131" t="inlineStr">
        <is>
          <t>JUILLET</t>
        </is>
      </c>
      <c r="I8" s="140">
        <f>IFERROR(VLOOKUP(G8,A:C,2,0),"")</f>
        <v/>
      </c>
      <c r="J8" s="141">
        <f>IFERROR(VLOOKUP(G8,A:C,3,0),"")</f>
        <v/>
      </c>
    </row>
    <row r="9">
      <c r="G9" s="132" t="n">
        <v>8</v>
      </c>
      <c r="H9" s="131" t="inlineStr">
        <is>
          <t>AOÛT</t>
        </is>
      </c>
      <c r="I9" s="140">
        <f>IFERROR(VLOOKUP(G9,A:C,2,0),"")</f>
        <v/>
      </c>
      <c r="J9" s="140">
        <f>IFERROR(VLOOKUP(G9,A:C,3,0),"")</f>
        <v/>
      </c>
    </row>
    <row r="10">
      <c r="G10" s="132" t="n">
        <v>9</v>
      </c>
      <c r="H10" s="131" t="inlineStr">
        <is>
          <t>SEPTEMBRE</t>
        </is>
      </c>
      <c r="I10" s="140">
        <f>IFERROR(VLOOKUP(G10,A:C,2,0),"")</f>
        <v/>
      </c>
      <c r="J10" s="141">
        <f>IFERROR(VLOOKUP(G10,A:C,3,0),"")</f>
        <v/>
      </c>
    </row>
    <row r="11">
      <c r="G11" s="132" t="n">
        <v>10</v>
      </c>
      <c r="H11" s="131" t="inlineStr">
        <is>
          <t>OCTOBRE</t>
        </is>
      </c>
      <c r="I11" s="140">
        <f>IFERROR(VLOOKUP(G11,A:C,2,0),"")</f>
        <v/>
      </c>
      <c r="J11" s="140">
        <f>IFERROR(VLOOKUP(G11,A:C,3,0),"")</f>
        <v/>
      </c>
    </row>
    <row r="12">
      <c r="G12" s="132" t="n">
        <v>11</v>
      </c>
      <c r="H12" s="131" t="inlineStr">
        <is>
          <t>NOVEMBRE</t>
        </is>
      </c>
      <c r="I12" s="140">
        <f>IFERROR(VLOOKUP(G12,A:C,2,0),"")</f>
        <v/>
      </c>
      <c r="J12" s="141">
        <f>IFERROR(VLOOKUP(G12,A:C,3,0),"")</f>
        <v/>
      </c>
    </row>
    <row r="13">
      <c r="G13" s="132" t="n">
        <v>12</v>
      </c>
      <c r="H13" s="131" t="inlineStr">
        <is>
          <t>DÉCEMBRE</t>
        </is>
      </c>
      <c r="I13" s="140">
        <f>IFERROR(VLOOKUP(G13,A:C,2,0),"")</f>
        <v/>
      </c>
      <c r="J13" s="140">
        <f>IFERROR(VLOOKUP(G13,A:C,3,0),"")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34"/>
  <sheetViews>
    <sheetView view="pageBreakPreview" topLeftCell="A62" zoomScale="80" zoomScaleNormal="100" zoomScaleSheetLayoutView="80" workbookViewId="0">
      <selection activeCell="J13" sqref="J13"/>
    </sheetView>
  </sheetViews>
  <sheetFormatPr baseColWidth="10" defaultColWidth="11.42578125" defaultRowHeight="15"/>
  <cols>
    <col width="21.42578125" bestFit="1" customWidth="1" style="215" min="3" max="3"/>
    <col width="12.42578125" bestFit="1" customWidth="1" style="215" min="4" max="4"/>
    <col width="15" customWidth="1" style="215" min="5" max="7"/>
    <col width="17.28515625" customWidth="1" style="215" min="9" max="9"/>
    <col width="16.85546875" bestFit="1" customWidth="1" style="215" min="10" max="10"/>
    <col width="15" bestFit="1" customWidth="1" style="215" min="11" max="11"/>
  </cols>
  <sheetData>
    <row r="1" ht="22.5" customHeight="1" s="215">
      <c r="A1" s="19" t="inlineStr">
        <is>
          <t>Caract avec le SMDO</t>
        </is>
      </c>
      <c r="B1" s="15" t="n"/>
    </row>
    <row r="3" ht="34.5" customHeight="1" s="215">
      <c r="C3" s="11" t="inlineStr">
        <is>
          <t>Flux caractérisé</t>
        </is>
      </c>
      <c r="D3" s="11" t="inlineStr">
        <is>
          <t>Date</t>
        </is>
      </c>
      <c r="E3" s="12" t="inlineStr">
        <is>
          <t>Taux de valorisable</t>
        </is>
      </c>
      <c r="F3" s="11" t="inlineStr">
        <is>
          <t>Taux de fibreux</t>
        </is>
      </c>
      <c r="G3" s="11" t="inlineStr">
        <is>
          <t>Taux de refus</t>
        </is>
      </c>
    </row>
    <row r="4">
      <c r="C4" s="234">
        <f>SAISIE!$B2</f>
        <v/>
      </c>
      <c r="D4" s="123">
        <f>SAISIE!$C2</f>
        <v/>
      </c>
      <c r="E4" s="124">
        <f>SAISIE!BV2</f>
        <v/>
      </c>
      <c r="F4" s="124">
        <f>SAISIE!BX2</f>
        <v/>
      </c>
      <c r="G4" s="124">
        <f>SAISIE!BW2</f>
        <v/>
      </c>
    </row>
    <row r="5">
      <c r="C5" s="234">
        <f>SAISIE!$B3</f>
        <v/>
      </c>
      <c r="D5" s="123">
        <f>SAISIE!$C3</f>
        <v/>
      </c>
      <c r="E5" s="124">
        <f>SAISIE!BV3</f>
        <v/>
      </c>
      <c r="F5" s="124">
        <f>SAISIE!BX3</f>
        <v/>
      </c>
      <c r="G5" s="124">
        <f>SAISIE!BW3</f>
        <v/>
      </c>
      <c r="I5" s="13" t="inlineStr">
        <is>
          <t>Moyenne Valo</t>
        </is>
      </c>
      <c r="J5" s="13" t="inlineStr">
        <is>
          <t>Moyenne Fibreux</t>
        </is>
      </c>
      <c r="K5" s="13" t="inlineStr">
        <is>
          <t>Moyenne Refus</t>
        </is>
      </c>
    </row>
    <row r="6">
      <c r="C6" s="234">
        <f>SAISIE!B4</f>
        <v/>
      </c>
      <c r="D6" s="123">
        <f>SAISIE!$C4</f>
        <v/>
      </c>
      <c r="E6" s="124">
        <f>SAISIE!BV4</f>
        <v/>
      </c>
      <c r="F6" s="124">
        <f>SAISIE!BX4</f>
        <v/>
      </c>
      <c r="G6" s="124">
        <f>SAISIE!BW4</f>
        <v/>
      </c>
      <c r="I6" s="6">
        <f>AVERAGE(E4:E9)</f>
        <v/>
      </c>
      <c r="J6" s="6">
        <f>AVERAGE(E4:E9)</f>
        <v/>
      </c>
      <c r="K6" s="6">
        <f>AVERAGE(E4:E9)</f>
        <v/>
      </c>
    </row>
    <row r="7">
      <c r="C7" s="234">
        <f>SAISIE!B5</f>
        <v/>
      </c>
      <c r="D7" s="123">
        <f>SAISIE!$C5</f>
        <v/>
      </c>
      <c r="E7" s="124">
        <f>SAISIE!BV5</f>
        <v/>
      </c>
      <c r="F7" s="124">
        <f>SAISIE!BX5</f>
        <v/>
      </c>
      <c r="G7" s="124">
        <f>SAISIE!BW5</f>
        <v/>
      </c>
    </row>
    <row r="8">
      <c r="C8" s="234">
        <f>SAISIE!$B6</f>
        <v/>
      </c>
      <c r="D8" s="123">
        <f>SAISIE!$C6</f>
        <v/>
      </c>
      <c r="E8" s="124">
        <f>SAISIE!BV6</f>
        <v/>
      </c>
      <c r="F8" s="124">
        <f>SAISIE!BX6</f>
        <v/>
      </c>
      <c r="G8" s="124">
        <f>SAISIE!BW6</f>
        <v/>
      </c>
    </row>
    <row r="9">
      <c r="C9" s="234">
        <f>SAISIE!$B7</f>
        <v/>
      </c>
      <c r="D9" s="123">
        <f>SAISIE!$C7</f>
        <v/>
      </c>
      <c r="E9" s="124">
        <f>SAISIE!BV7</f>
        <v/>
      </c>
      <c r="F9" s="124">
        <f>SAISIE!BX7</f>
        <v/>
      </c>
      <c r="G9" s="124">
        <f>SAISIE!BW7</f>
        <v/>
      </c>
    </row>
    <row r="10">
      <c r="C10" s="234">
        <f>SAISIE!B8</f>
        <v/>
      </c>
      <c r="D10" s="123">
        <f>SAISIE!$C8</f>
        <v/>
      </c>
      <c r="E10" s="124">
        <f>SAISIE!BV8</f>
        <v/>
      </c>
      <c r="F10" s="124">
        <f>SAISIE!BX8</f>
        <v/>
      </c>
      <c r="G10" s="124">
        <f>SAISIE!BW8</f>
        <v/>
      </c>
    </row>
    <row r="11">
      <c r="C11" s="234">
        <f>SAISIE!B9</f>
        <v/>
      </c>
      <c r="D11" s="123">
        <f>SAISIE!$C9</f>
        <v/>
      </c>
      <c r="E11" s="124">
        <f>SAISIE!BV9</f>
        <v/>
      </c>
      <c r="F11" s="124">
        <f>SAISIE!BX9</f>
        <v/>
      </c>
      <c r="G11" s="124">
        <f>SAISIE!BW9</f>
        <v/>
      </c>
    </row>
    <row r="12">
      <c r="C12" s="234">
        <f>SAISIE!$B10</f>
        <v/>
      </c>
      <c r="D12" s="123">
        <f>SAISIE!$C10</f>
        <v/>
      </c>
      <c r="E12" s="124">
        <f>SAISIE!BV10</f>
        <v/>
      </c>
      <c r="F12" s="124">
        <f>SAISIE!BX10</f>
        <v/>
      </c>
      <c r="G12" s="124">
        <f>SAISIE!BW10</f>
        <v/>
      </c>
    </row>
    <row r="13">
      <c r="C13" s="234">
        <f>SAISIE!$B11</f>
        <v/>
      </c>
      <c r="D13" s="123">
        <f>SAISIE!$C11</f>
        <v/>
      </c>
      <c r="E13" s="124">
        <f>SAISIE!BV11</f>
        <v/>
      </c>
      <c r="F13" s="124">
        <f>SAISIE!BX11</f>
        <v/>
      </c>
      <c r="G13" s="124">
        <f>SAISIE!BW11</f>
        <v/>
      </c>
    </row>
    <row r="14">
      <c r="C14" s="234">
        <f>SAISIE!B12</f>
        <v/>
      </c>
      <c r="D14" s="123">
        <f>SAISIE!$C12</f>
        <v/>
      </c>
      <c r="E14" s="124">
        <f>SAISIE!BV12</f>
        <v/>
      </c>
      <c r="F14" s="124">
        <f>SAISIE!BX12</f>
        <v/>
      </c>
      <c r="G14" s="124">
        <f>SAISIE!BW12</f>
        <v/>
      </c>
    </row>
    <row r="15">
      <c r="C15" s="234">
        <f>SAISIE!B13</f>
        <v/>
      </c>
      <c r="D15" s="123">
        <f>SAISIE!$C13</f>
        <v/>
      </c>
      <c r="E15" s="124">
        <f>SAISIE!BV13</f>
        <v/>
      </c>
      <c r="F15" s="124">
        <f>SAISIE!BX13</f>
        <v/>
      </c>
      <c r="G15" s="124">
        <f>SAISIE!BW13</f>
        <v/>
      </c>
    </row>
    <row r="16">
      <c r="C16" s="234">
        <f>SAISIE!$B14</f>
        <v/>
      </c>
      <c r="D16" s="123">
        <f>SAISIE!$C14</f>
        <v/>
      </c>
      <c r="E16" s="124">
        <f>SAISIE!BV14</f>
        <v/>
      </c>
      <c r="F16" s="124">
        <f>SAISIE!BX14</f>
        <v/>
      </c>
      <c r="G16" s="124">
        <f>SAISIE!BW14</f>
        <v/>
      </c>
    </row>
    <row r="17">
      <c r="C17" s="234">
        <f>SAISIE!$B15</f>
        <v/>
      </c>
      <c r="D17" s="123">
        <f>SAISIE!$C15</f>
        <v/>
      </c>
      <c r="E17" s="124">
        <f>SAISIE!BV15</f>
        <v/>
      </c>
      <c r="F17" s="124">
        <f>SAISIE!BX15</f>
        <v/>
      </c>
      <c r="G17" s="124">
        <f>SAISIE!BW15</f>
        <v/>
      </c>
    </row>
    <row r="18">
      <c r="C18" s="234">
        <f>SAISIE!B16</f>
        <v/>
      </c>
      <c r="D18" s="123">
        <f>SAISIE!$C16</f>
        <v/>
      </c>
      <c r="E18" s="124">
        <f>SAISIE!BV16</f>
        <v/>
      </c>
      <c r="F18" s="124">
        <f>SAISIE!BX16</f>
        <v/>
      </c>
      <c r="G18" s="124">
        <f>SAISIE!BW16</f>
        <v/>
      </c>
    </row>
    <row r="19">
      <c r="C19" s="234">
        <f>SAISIE!B17</f>
        <v/>
      </c>
      <c r="D19" s="123">
        <f>SAISIE!$C17</f>
        <v/>
      </c>
      <c r="E19" s="124">
        <f>SAISIE!BV17</f>
        <v/>
      </c>
      <c r="F19" s="124">
        <f>SAISIE!BX17</f>
        <v/>
      </c>
      <c r="G19" s="124">
        <f>SAISIE!BW17</f>
        <v/>
      </c>
    </row>
    <row r="20">
      <c r="C20" s="234">
        <f>SAISIE!$B18</f>
        <v/>
      </c>
      <c r="D20" s="123">
        <f>SAISIE!$C18</f>
        <v/>
      </c>
      <c r="E20" s="124">
        <f>SAISIE!BV18</f>
        <v/>
      </c>
      <c r="F20" s="124">
        <f>SAISIE!BX18</f>
        <v/>
      </c>
      <c r="G20" s="124">
        <f>SAISIE!BW18</f>
        <v/>
      </c>
    </row>
    <row r="21">
      <c r="C21" s="234">
        <f>SAISIE!$B19</f>
        <v/>
      </c>
      <c r="D21" s="123">
        <f>SAISIE!$C19</f>
        <v/>
      </c>
      <c r="E21" s="124">
        <f>SAISIE!BV19</f>
        <v/>
      </c>
      <c r="F21" s="124">
        <f>SAISIE!BX19</f>
        <v/>
      </c>
      <c r="G21" s="124">
        <f>SAISIE!BW19</f>
        <v/>
      </c>
    </row>
    <row r="22">
      <c r="C22" s="234">
        <f>SAISIE!B20</f>
        <v/>
      </c>
      <c r="D22" s="123">
        <f>SAISIE!$C20</f>
        <v/>
      </c>
      <c r="E22" s="124">
        <f>SAISIE!BV20</f>
        <v/>
      </c>
      <c r="F22" s="124">
        <f>SAISIE!BX20</f>
        <v/>
      </c>
      <c r="G22" s="124">
        <f>SAISIE!BW20</f>
        <v/>
      </c>
    </row>
    <row r="23">
      <c r="C23" s="234">
        <f>SAISIE!B21</f>
        <v/>
      </c>
      <c r="D23" s="123">
        <f>SAISIE!$C21</f>
        <v/>
      </c>
      <c r="E23" s="124">
        <f>SAISIE!BV21</f>
        <v/>
      </c>
      <c r="F23" s="124">
        <f>SAISIE!BX21</f>
        <v/>
      </c>
      <c r="G23" s="124">
        <f>SAISIE!BW21</f>
        <v/>
      </c>
    </row>
    <row r="24">
      <c r="C24" s="234">
        <f>SAISIE!$B22</f>
        <v/>
      </c>
      <c r="D24" s="123">
        <f>SAISIE!$C22</f>
        <v/>
      </c>
      <c r="E24" s="124">
        <f>SAISIE!BV22</f>
        <v/>
      </c>
      <c r="F24" s="124">
        <f>SAISIE!BX22</f>
        <v/>
      </c>
      <c r="G24" s="124">
        <f>SAISIE!BW22</f>
        <v/>
      </c>
    </row>
    <row r="25">
      <c r="C25" s="234">
        <f>SAISIE!$B23</f>
        <v/>
      </c>
      <c r="D25" s="123">
        <f>SAISIE!$C23</f>
        <v/>
      </c>
      <c r="E25" s="124">
        <f>SAISIE!BV23</f>
        <v/>
      </c>
      <c r="F25" s="124">
        <f>SAISIE!BX23</f>
        <v/>
      </c>
      <c r="G25" s="124">
        <f>SAISIE!BW23</f>
        <v/>
      </c>
    </row>
    <row r="26">
      <c r="C26" s="234">
        <f>SAISIE!B24</f>
        <v/>
      </c>
      <c r="D26" s="123">
        <f>SAISIE!$C24</f>
        <v/>
      </c>
      <c r="E26" s="124">
        <f>SAISIE!BV24</f>
        <v/>
      </c>
      <c r="F26" s="124">
        <f>SAISIE!BX24</f>
        <v/>
      </c>
      <c r="G26" s="124">
        <f>SAISIE!BW24</f>
        <v/>
      </c>
    </row>
    <row r="27">
      <c r="C27" s="234">
        <f>SAISIE!B25</f>
        <v/>
      </c>
      <c r="D27" s="123">
        <f>SAISIE!$C25</f>
        <v/>
      </c>
      <c r="E27" s="124">
        <f>SAISIE!BV25</f>
        <v/>
      </c>
      <c r="F27" s="124">
        <f>SAISIE!BX25</f>
        <v/>
      </c>
      <c r="G27" s="124">
        <f>SAISIE!BW25</f>
        <v/>
      </c>
    </row>
    <row r="28">
      <c r="C28" s="234">
        <f>SAISIE!$B26</f>
        <v/>
      </c>
      <c r="D28" s="123">
        <f>SAISIE!$C26</f>
        <v/>
      </c>
      <c r="E28" s="124">
        <f>SAISIE!BV26</f>
        <v/>
      </c>
      <c r="F28" s="124">
        <f>SAISIE!BX26</f>
        <v/>
      </c>
      <c r="G28" s="124">
        <f>SAISIE!BW26</f>
        <v/>
      </c>
    </row>
    <row r="29">
      <c r="C29" s="234">
        <f>SAISIE!$B27</f>
        <v/>
      </c>
      <c r="D29" s="123">
        <f>SAISIE!$C27</f>
        <v/>
      </c>
      <c r="E29" s="124">
        <f>SAISIE!BV27</f>
        <v/>
      </c>
      <c r="F29" s="124">
        <f>SAISIE!BX27</f>
        <v/>
      </c>
      <c r="G29" s="124">
        <f>SAISIE!BW27</f>
        <v/>
      </c>
    </row>
    <row r="30">
      <c r="C30" s="234">
        <f>SAISIE!B28</f>
        <v/>
      </c>
      <c r="D30" s="123">
        <f>SAISIE!$C28</f>
        <v/>
      </c>
      <c r="E30" s="124">
        <f>SAISIE!BV28</f>
        <v/>
      </c>
      <c r="F30" s="124">
        <f>SAISIE!BX28</f>
        <v/>
      </c>
      <c r="G30" s="124">
        <f>SAISIE!BW28</f>
        <v/>
      </c>
    </row>
    <row r="31">
      <c r="C31" s="234">
        <f>SAISIE!B29</f>
        <v/>
      </c>
      <c r="D31" s="123">
        <f>SAISIE!$C29</f>
        <v/>
      </c>
      <c r="E31" s="124">
        <f>SAISIE!BV29</f>
        <v/>
      </c>
      <c r="F31" s="124">
        <f>SAISIE!BX29</f>
        <v/>
      </c>
      <c r="G31" s="124">
        <f>SAISIE!BW29</f>
        <v/>
      </c>
    </row>
    <row r="32">
      <c r="C32" s="234">
        <f>SAISIE!$B30</f>
        <v/>
      </c>
      <c r="D32" s="123">
        <f>SAISIE!$C30</f>
        <v/>
      </c>
      <c r="E32" s="124">
        <f>SAISIE!BV30</f>
        <v/>
      </c>
      <c r="F32" s="124">
        <f>SAISIE!BX30</f>
        <v/>
      </c>
      <c r="G32" s="124">
        <f>SAISIE!BW30</f>
        <v/>
      </c>
    </row>
    <row r="33">
      <c r="C33" s="234">
        <f>SAISIE!$B31</f>
        <v/>
      </c>
      <c r="D33" s="123">
        <f>SAISIE!$C31</f>
        <v/>
      </c>
      <c r="E33" s="124">
        <f>SAISIE!BV31</f>
        <v/>
      </c>
      <c r="F33" s="124">
        <f>SAISIE!BX31</f>
        <v/>
      </c>
      <c r="G33" s="124">
        <f>SAISIE!BW31</f>
        <v/>
      </c>
    </row>
    <row r="34">
      <c r="C34" s="234">
        <f>SAISIE!B32</f>
        <v/>
      </c>
      <c r="D34" s="123">
        <f>SAISIE!$C32</f>
        <v/>
      </c>
      <c r="E34" s="124">
        <f>SAISIE!BV32</f>
        <v/>
      </c>
      <c r="F34" s="124">
        <f>SAISIE!BX32</f>
        <v/>
      </c>
      <c r="G34" s="124">
        <f>SAISIE!BW32</f>
        <v/>
      </c>
    </row>
    <row r="35">
      <c r="C35" s="234">
        <f>SAISIE!B33</f>
        <v/>
      </c>
      <c r="D35" s="123">
        <f>SAISIE!$C33</f>
        <v/>
      </c>
      <c r="E35" s="124">
        <f>SAISIE!BV33</f>
        <v/>
      </c>
      <c r="F35" s="124">
        <f>SAISIE!BX33</f>
        <v/>
      </c>
      <c r="G35" s="124">
        <f>SAISIE!BW33</f>
        <v/>
      </c>
    </row>
    <row r="36">
      <c r="C36" s="234">
        <f>SAISIE!$B34</f>
        <v/>
      </c>
      <c r="D36" s="123">
        <f>SAISIE!$C34</f>
        <v/>
      </c>
      <c r="E36" s="124">
        <f>SAISIE!BV34</f>
        <v/>
      </c>
      <c r="F36" s="124">
        <f>SAISIE!BX34</f>
        <v/>
      </c>
      <c r="G36" s="124">
        <f>SAISIE!BW34</f>
        <v/>
      </c>
    </row>
    <row r="37">
      <c r="C37" s="234">
        <f>SAISIE!$B35</f>
        <v/>
      </c>
      <c r="D37" s="123">
        <f>SAISIE!$C35</f>
        <v/>
      </c>
      <c r="E37" s="124">
        <f>SAISIE!BV35</f>
        <v/>
      </c>
      <c r="F37" s="124">
        <f>SAISIE!BX35</f>
        <v/>
      </c>
      <c r="G37" s="124">
        <f>SAISIE!BW35</f>
        <v/>
      </c>
    </row>
    <row r="38">
      <c r="C38" s="234">
        <f>SAISIE!B36</f>
        <v/>
      </c>
      <c r="D38" s="123">
        <f>SAISIE!$C36</f>
        <v/>
      </c>
      <c r="E38" s="124">
        <f>SAISIE!BV36</f>
        <v/>
      </c>
      <c r="F38" s="124">
        <f>SAISIE!BX36</f>
        <v/>
      </c>
      <c r="G38" s="124">
        <f>SAISIE!BW36</f>
        <v/>
      </c>
    </row>
    <row r="39">
      <c r="C39" s="234">
        <f>SAISIE!B37</f>
        <v/>
      </c>
      <c r="D39" s="123">
        <f>SAISIE!$C37</f>
        <v/>
      </c>
      <c r="E39" s="124">
        <f>SAISIE!BV37</f>
        <v/>
      </c>
      <c r="F39" s="124">
        <f>SAISIE!BX37</f>
        <v/>
      </c>
      <c r="G39" s="124">
        <f>SAISIE!BW37</f>
        <v/>
      </c>
    </row>
    <row r="40">
      <c r="C40" s="234">
        <f>SAISIE!$B38</f>
        <v/>
      </c>
      <c r="D40" s="123">
        <f>SAISIE!$C38</f>
        <v/>
      </c>
      <c r="E40" s="124">
        <f>SAISIE!BV38</f>
        <v/>
      </c>
      <c r="F40" s="124">
        <f>SAISIE!BX38</f>
        <v/>
      </c>
      <c r="G40" s="124">
        <f>SAISIE!BW38</f>
        <v/>
      </c>
    </row>
    <row r="41">
      <c r="C41" s="234">
        <f>SAISIE!$B39</f>
        <v/>
      </c>
      <c r="D41" s="123">
        <f>SAISIE!$C39</f>
        <v/>
      </c>
      <c r="E41" s="124">
        <f>SAISIE!BV39</f>
        <v/>
      </c>
      <c r="F41" s="124">
        <f>SAISIE!BX39</f>
        <v/>
      </c>
      <c r="G41" s="124">
        <f>SAISIE!BW39</f>
        <v/>
      </c>
    </row>
    <row r="42">
      <c r="C42" s="234">
        <f>SAISIE!B40</f>
        <v/>
      </c>
      <c r="D42" s="123">
        <f>SAISIE!$C40</f>
        <v/>
      </c>
      <c r="E42" s="124">
        <f>SAISIE!BV40</f>
        <v/>
      </c>
      <c r="F42" s="124">
        <f>SAISIE!BX40</f>
        <v/>
      </c>
      <c r="G42" s="124">
        <f>SAISIE!BW40</f>
        <v/>
      </c>
    </row>
    <row r="43">
      <c r="C43" s="234">
        <f>SAISIE!B41</f>
        <v/>
      </c>
      <c r="D43" s="123">
        <f>SAISIE!$C41</f>
        <v/>
      </c>
      <c r="E43" s="124">
        <f>SAISIE!BV41</f>
        <v/>
      </c>
      <c r="F43" s="124">
        <f>SAISIE!BX41</f>
        <v/>
      </c>
      <c r="G43" s="124">
        <f>SAISIE!BW41</f>
        <v/>
      </c>
    </row>
    <row r="44">
      <c r="C44" s="234">
        <f>SAISIE!$B42</f>
        <v/>
      </c>
      <c r="D44" s="123">
        <f>SAISIE!$C42</f>
        <v/>
      </c>
      <c r="E44" s="124">
        <f>SAISIE!BV42</f>
        <v/>
      </c>
      <c r="F44" s="124">
        <f>SAISIE!BX42</f>
        <v/>
      </c>
      <c r="G44" s="124">
        <f>SAISIE!BW42</f>
        <v/>
      </c>
    </row>
    <row r="45">
      <c r="C45" s="234">
        <f>SAISIE!$B43</f>
        <v/>
      </c>
      <c r="D45" s="123">
        <f>SAISIE!$C43</f>
        <v/>
      </c>
      <c r="E45" s="124">
        <f>SAISIE!BV43</f>
        <v/>
      </c>
      <c r="F45" s="124">
        <f>SAISIE!BX43</f>
        <v/>
      </c>
      <c r="G45" s="124">
        <f>SAISIE!BW43</f>
        <v/>
      </c>
    </row>
    <row r="46">
      <c r="C46" s="234">
        <f>SAISIE!B44</f>
        <v/>
      </c>
      <c r="D46" s="123">
        <f>SAISIE!$C44</f>
        <v/>
      </c>
      <c r="E46" s="124">
        <f>SAISIE!BV44</f>
        <v/>
      </c>
      <c r="F46" s="124">
        <f>SAISIE!BX44</f>
        <v/>
      </c>
      <c r="G46" s="124">
        <f>SAISIE!BW44</f>
        <v/>
      </c>
    </row>
    <row r="47">
      <c r="C47" s="234">
        <f>SAISIE!B45</f>
        <v/>
      </c>
      <c r="D47" s="123">
        <f>SAISIE!$C45</f>
        <v/>
      </c>
      <c r="E47" s="124">
        <f>SAISIE!BV45</f>
        <v/>
      </c>
      <c r="F47" s="124">
        <f>SAISIE!BX45</f>
        <v/>
      </c>
      <c r="G47" s="124">
        <f>SAISIE!BW45</f>
        <v/>
      </c>
    </row>
    <row r="48">
      <c r="C48" s="234">
        <f>SAISIE!$B46</f>
        <v/>
      </c>
      <c r="D48" s="123">
        <f>SAISIE!$C46</f>
        <v/>
      </c>
      <c r="E48" s="124">
        <f>SAISIE!BV46</f>
        <v/>
      </c>
      <c r="F48" s="124">
        <f>SAISIE!BX46</f>
        <v/>
      </c>
      <c r="G48" s="124">
        <f>SAISIE!BW46</f>
        <v/>
      </c>
    </row>
    <row r="49">
      <c r="C49" s="234">
        <f>SAISIE!$B47</f>
        <v/>
      </c>
      <c r="D49" s="123">
        <f>SAISIE!$C47</f>
        <v/>
      </c>
      <c r="E49" s="124">
        <f>SAISIE!BV47</f>
        <v/>
      </c>
      <c r="F49" s="124">
        <f>SAISIE!BX47</f>
        <v/>
      </c>
      <c r="G49" s="124">
        <f>SAISIE!BW47</f>
        <v/>
      </c>
    </row>
    <row r="50">
      <c r="C50" s="234">
        <f>SAISIE!B48</f>
        <v/>
      </c>
      <c r="D50" s="123">
        <f>SAISIE!$C48</f>
        <v/>
      </c>
      <c r="E50" s="124">
        <f>SAISIE!BV48</f>
        <v/>
      </c>
      <c r="F50" s="124">
        <f>SAISIE!BX48</f>
        <v/>
      </c>
      <c r="G50" s="124">
        <f>SAISIE!BW48</f>
        <v/>
      </c>
    </row>
    <row r="51">
      <c r="C51" s="234">
        <f>SAISIE!B49</f>
        <v/>
      </c>
      <c r="D51" s="123">
        <f>SAISIE!$C49</f>
        <v/>
      </c>
      <c r="E51" s="124">
        <f>SAISIE!BV49</f>
        <v/>
      </c>
      <c r="F51" s="124">
        <f>SAISIE!BX49</f>
        <v/>
      </c>
      <c r="G51" s="124">
        <f>SAISIE!BW49</f>
        <v/>
      </c>
    </row>
    <row r="52">
      <c r="C52" s="234">
        <f>SAISIE!$B50</f>
        <v/>
      </c>
      <c r="D52" s="123">
        <f>SAISIE!$C50</f>
        <v/>
      </c>
      <c r="E52" s="124">
        <f>SAISIE!BV50</f>
        <v/>
      </c>
      <c r="F52" s="124">
        <f>SAISIE!BX50</f>
        <v/>
      </c>
      <c r="G52" s="124">
        <f>SAISIE!BW50</f>
        <v/>
      </c>
    </row>
    <row r="53">
      <c r="C53" s="234">
        <f>SAISIE!$B51</f>
        <v/>
      </c>
      <c r="D53" s="123">
        <f>SAISIE!$C51</f>
        <v/>
      </c>
      <c r="E53" s="124">
        <f>SAISIE!BV51</f>
        <v/>
      </c>
      <c r="F53" s="124">
        <f>SAISIE!BX51</f>
        <v/>
      </c>
      <c r="G53" s="124">
        <f>SAISIE!BW51</f>
        <v/>
      </c>
    </row>
    <row r="54">
      <c r="C54" s="234">
        <f>SAISIE!B52</f>
        <v/>
      </c>
      <c r="D54" s="123">
        <f>SAISIE!$C52</f>
        <v/>
      </c>
      <c r="E54" s="124">
        <f>SAISIE!BV52</f>
        <v/>
      </c>
      <c r="F54" s="124">
        <f>SAISIE!BX52</f>
        <v/>
      </c>
      <c r="G54" s="124">
        <f>SAISIE!BW52</f>
        <v/>
      </c>
    </row>
    <row r="55">
      <c r="C55" s="234">
        <f>SAISIE!B53</f>
        <v/>
      </c>
      <c r="D55" s="123">
        <f>SAISIE!$C53</f>
        <v/>
      </c>
      <c r="E55" s="124">
        <f>SAISIE!BV53</f>
        <v/>
      </c>
      <c r="F55" s="124">
        <f>SAISIE!BX53</f>
        <v/>
      </c>
      <c r="G55" s="124">
        <f>SAISIE!BW53</f>
        <v/>
      </c>
    </row>
    <row r="56">
      <c r="C56" s="234">
        <f>SAISIE!$B54</f>
        <v/>
      </c>
      <c r="D56" s="123">
        <f>SAISIE!$C54</f>
        <v/>
      </c>
      <c r="E56" s="124">
        <f>SAISIE!BV54</f>
        <v/>
      </c>
      <c r="F56" s="124">
        <f>SAISIE!BX54</f>
        <v/>
      </c>
      <c r="G56" s="124">
        <f>SAISIE!BW54</f>
        <v/>
      </c>
    </row>
    <row r="57">
      <c r="C57" s="234">
        <f>SAISIE!$B55</f>
        <v/>
      </c>
      <c r="D57" s="123">
        <f>SAISIE!$C55</f>
        <v/>
      </c>
      <c r="E57" s="124">
        <f>SAISIE!BV55</f>
        <v/>
      </c>
      <c r="F57" s="124">
        <f>SAISIE!BX55</f>
        <v/>
      </c>
      <c r="G57" s="124">
        <f>SAISIE!BW55</f>
        <v/>
      </c>
    </row>
    <row r="58">
      <c r="C58" s="234">
        <f>SAISIE!B56</f>
        <v/>
      </c>
      <c r="D58" s="123">
        <f>SAISIE!$C56</f>
        <v/>
      </c>
      <c r="E58" s="124">
        <f>SAISIE!BV56</f>
        <v/>
      </c>
      <c r="F58" s="124">
        <f>SAISIE!BX56</f>
        <v/>
      </c>
      <c r="G58" s="124">
        <f>SAISIE!BW56</f>
        <v/>
      </c>
    </row>
    <row r="59">
      <c r="C59" s="234">
        <f>SAISIE!B57</f>
        <v/>
      </c>
      <c r="D59" s="123">
        <f>SAISIE!$C57</f>
        <v/>
      </c>
      <c r="E59" s="124">
        <f>SAISIE!BV57</f>
        <v/>
      </c>
      <c r="F59" s="124">
        <f>SAISIE!BX57</f>
        <v/>
      </c>
      <c r="G59" s="124">
        <f>SAISIE!BW57</f>
        <v/>
      </c>
    </row>
    <row r="60">
      <c r="C60" s="234">
        <f>SAISIE!$B58</f>
        <v/>
      </c>
      <c r="D60" s="123">
        <f>SAISIE!$C58</f>
        <v/>
      </c>
      <c r="E60" s="124">
        <f>SAISIE!BV58</f>
        <v/>
      </c>
      <c r="F60" s="124">
        <f>SAISIE!BX58</f>
        <v/>
      </c>
      <c r="G60" s="124">
        <f>SAISIE!BW58</f>
        <v/>
      </c>
    </row>
    <row r="61">
      <c r="C61" s="234">
        <f>SAISIE!$B59</f>
        <v/>
      </c>
      <c r="D61" s="123">
        <f>SAISIE!$C59</f>
        <v/>
      </c>
      <c r="E61" s="124">
        <f>SAISIE!BV59</f>
        <v/>
      </c>
      <c r="F61" s="124">
        <f>SAISIE!BX59</f>
        <v/>
      </c>
      <c r="G61" s="124">
        <f>SAISIE!BW59</f>
        <v/>
      </c>
    </row>
    <row r="62">
      <c r="C62" s="234">
        <f>SAISIE!B60</f>
        <v/>
      </c>
      <c r="D62" s="123">
        <f>SAISIE!$C60</f>
        <v/>
      </c>
      <c r="E62" s="124">
        <f>SAISIE!BV60</f>
        <v/>
      </c>
      <c r="F62" s="124">
        <f>SAISIE!BX60</f>
        <v/>
      </c>
      <c r="G62" s="124">
        <f>SAISIE!BW60</f>
        <v/>
      </c>
    </row>
    <row r="63">
      <c r="C63" s="234">
        <f>SAISIE!B61</f>
        <v/>
      </c>
      <c r="D63" s="123">
        <f>SAISIE!$C61</f>
        <v/>
      </c>
      <c r="E63" s="124">
        <f>SAISIE!BV61</f>
        <v/>
      </c>
      <c r="F63" s="124">
        <f>SAISIE!BX61</f>
        <v/>
      </c>
      <c r="G63" s="124">
        <f>SAISIE!BW61</f>
        <v/>
      </c>
    </row>
    <row r="64">
      <c r="C64" s="234">
        <f>SAISIE!$B62</f>
        <v/>
      </c>
      <c r="D64" s="123">
        <f>SAISIE!$C62</f>
        <v/>
      </c>
      <c r="E64" s="124">
        <f>SAISIE!BV62</f>
        <v/>
      </c>
      <c r="F64" s="124">
        <f>SAISIE!BX62</f>
        <v/>
      </c>
      <c r="G64" s="124">
        <f>SAISIE!BW62</f>
        <v/>
      </c>
    </row>
    <row r="65">
      <c r="C65" s="234">
        <f>SAISIE!$B63</f>
        <v/>
      </c>
      <c r="D65" s="123">
        <f>SAISIE!$C63</f>
        <v/>
      </c>
      <c r="E65" s="124">
        <f>SAISIE!BV63</f>
        <v/>
      </c>
      <c r="F65" s="124">
        <f>SAISIE!BX63</f>
        <v/>
      </c>
      <c r="G65" s="124">
        <f>SAISIE!BW63</f>
        <v/>
      </c>
    </row>
    <row r="66">
      <c r="C66" s="234">
        <f>SAISIE!B64</f>
        <v/>
      </c>
      <c r="D66" s="123">
        <f>SAISIE!$C64</f>
        <v/>
      </c>
      <c r="E66" s="124">
        <f>SAISIE!BV64</f>
        <v/>
      </c>
      <c r="F66" s="124">
        <f>SAISIE!BX64</f>
        <v/>
      </c>
      <c r="G66" s="124">
        <f>SAISIE!BW64</f>
        <v/>
      </c>
    </row>
    <row r="67">
      <c r="C67" s="234">
        <f>SAISIE!B65</f>
        <v/>
      </c>
      <c r="D67" s="123">
        <f>SAISIE!$C65</f>
        <v/>
      </c>
      <c r="E67" s="124">
        <f>SAISIE!BV65</f>
        <v/>
      </c>
      <c r="F67" s="124">
        <f>SAISIE!BX65</f>
        <v/>
      </c>
      <c r="G67" s="124">
        <f>SAISIE!BW65</f>
        <v/>
      </c>
    </row>
    <row r="68">
      <c r="C68" s="234">
        <f>SAISIE!$B66</f>
        <v/>
      </c>
      <c r="D68" s="123">
        <f>SAISIE!$C66</f>
        <v/>
      </c>
      <c r="E68" s="124">
        <f>SAISIE!BV66</f>
        <v/>
      </c>
      <c r="F68" s="124">
        <f>SAISIE!BX66</f>
        <v/>
      </c>
      <c r="G68" s="124">
        <f>SAISIE!BW66</f>
        <v/>
      </c>
    </row>
    <row r="69">
      <c r="C69" s="234">
        <f>SAISIE!$B67</f>
        <v/>
      </c>
      <c r="D69" s="123">
        <f>SAISIE!$C67</f>
        <v/>
      </c>
      <c r="E69" s="124">
        <f>SAISIE!BV67</f>
        <v/>
      </c>
      <c r="F69" s="124">
        <f>SAISIE!BX67</f>
        <v/>
      </c>
      <c r="G69" s="124">
        <f>SAISIE!BW67</f>
        <v/>
      </c>
    </row>
    <row r="70">
      <c r="C70" s="234">
        <f>SAISIE!B68</f>
        <v/>
      </c>
      <c r="D70" s="123">
        <f>SAISIE!$C68</f>
        <v/>
      </c>
      <c r="E70" s="124">
        <f>SAISIE!BV68</f>
        <v/>
      </c>
      <c r="F70" s="124">
        <f>SAISIE!BX68</f>
        <v/>
      </c>
      <c r="G70" s="124">
        <f>SAISIE!BW68</f>
        <v/>
      </c>
    </row>
    <row r="71">
      <c r="C71" s="234">
        <f>SAISIE!B69</f>
        <v/>
      </c>
      <c r="D71" s="123">
        <f>SAISIE!$C69</f>
        <v/>
      </c>
      <c r="E71" s="124">
        <f>SAISIE!BV69</f>
        <v/>
      </c>
      <c r="F71" s="124">
        <f>SAISIE!BX69</f>
        <v/>
      </c>
      <c r="G71" s="124">
        <f>SAISIE!BW69</f>
        <v/>
      </c>
    </row>
    <row r="72">
      <c r="C72" s="234">
        <f>SAISIE!$B70</f>
        <v/>
      </c>
      <c r="D72" s="123">
        <f>SAISIE!$C70</f>
        <v/>
      </c>
      <c r="E72" s="124">
        <f>SAISIE!BV70</f>
        <v/>
      </c>
      <c r="F72" s="124">
        <f>SAISIE!BX70</f>
        <v/>
      </c>
      <c r="G72" s="124">
        <f>SAISIE!BW70</f>
        <v/>
      </c>
    </row>
    <row r="73">
      <c r="C73" s="234">
        <f>SAISIE!$B71</f>
        <v/>
      </c>
      <c r="D73" s="123">
        <f>SAISIE!$C71</f>
        <v/>
      </c>
      <c r="E73" s="124">
        <f>SAISIE!BV71</f>
        <v/>
      </c>
      <c r="F73" s="124">
        <f>SAISIE!BX71</f>
        <v/>
      </c>
      <c r="G73" s="124">
        <f>SAISIE!BW71</f>
        <v/>
      </c>
    </row>
    <row r="74">
      <c r="C74" s="234">
        <f>SAISIE!B72</f>
        <v/>
      </c>
      <c r="D74" s="123">
        <f>SAISIE!$C72</f>
        <v/>
      </c>
      <c r="E74" s="124">
        <f>SAISIE!BV72</f>
        <v/>
      </c>
      <c r="F74" s="124">
        <f>SAISIE!BX72</f>
        <v/>
      </c>
      <c r="G74" s="124">
        <f>SAISIE!BW72</f>
        <v/>
      </c>
    </row>
    <row r="75">
      <c r="C75" s="234">
        <f>SAISIE!B73</f>
        <v/>
      </c>
      <c r="D75" s="123">
        <f>SAISIE!$C73</f>
        <v/>
      </c>
      <c r="E75" s="124">
        <f>SAISIE!BV73</f>
        <v/>
      </c>
      <c r="F75" s="124">
        <f>SAISIE!BX73</f>
        <v/>
      </c>
      <c r="G75" s="124">
        <f>SAISIE!BW73</f>
        <v/>
      </c>
    </row>
    <row r="76">
      <c r="C76" s="234">
        <f>SAISIE!$B74</f>
        <v/>
      </c>
      <c r="D76" s="123">
        <f>SAISIE!$C74</f>
        <v/>
      </c>
      <c r="E76" s="124">
        <f>SAISIE!BV74</f>
        <v/>
      </c>
      <c r="F76" s="124">
        <f>SAISIE!BX74</f>
        <v/>
      </c>
      <c r="G76" s="124">
        <f>SAISIE!BW74</f>
        <v/>
      </c>
    </row>
    <row r="77">
      <c r="C77" s="234">
        <f>SAISIE!$B75</f>
        <v/>
      </c>
      <c r="D77" s="123">
        <f>SAISIE!$C75</f>
        <v/>
      </c>
      <c r="E77" s="124">
        <f>SAISIE!BV75</f>
        <v/>
      </c>
      <c r="F77" s="124">
        <f>SAISIE!BX75</f>
        <v/>
      </c>
      <c r="G77" s="124">
        <f>SAISIE!BW75</f>
        <v/>
      </c>
    </row>
    <row r="78">
      <c r="C78" s="234">
        <f>SAISIE!B76</f>
        <v/>
      </c>
      <c r="D78" s="123">
        <f>SAISIE!$C76</f>
        <v/>
      </c>
      <c r="E78" s="124">
        <f>SAISIE!BV76</f>
        <v/>
      </c>
      <c r="F78" s="124">
        <f>SAISIE!BX76</f>
        <v/>
      </c>
      <c r="G78" s="124">
        <f>SAISIE!BW76</f>
        <v/>
      </c>
    </row>
    <row r="79">
      <c r="C79" s="234">
        <f>SAISIE!B77</f>
        <v/>
      </c>
      <c r="D79" s="123">
        <f>SAISIE!$C77</f>
        <v/>
      </c>
      <c r="E79" s="124">
        <f>SAISIE!BV77</f>
        <v/>
      </c>
      <c r="F79" s="124">
        <f>SAISIE!BX77</f>
        <v/>
      </c>
      <c r="G79" s="124">
        <f>SAISIE!BW77</f>
        <v/>
      </c>
    </row>
    <row r="80">
      <c r="C80" s="234">
        <f>SAISIE!$B78</f>
        <v/>
      </c>
      <c r="D80" s="123">
        <f>SAISIE!$C78</f>
        <v/>
      </c>
      <c r="E80" s="124">
        <f>SAISIE!BV78</f>
        <v/>
      </c>
      <c r="F80" s="124">
        <f>SAISIE!BX78</f>
        <v/>
      </c>
      <c r="G80" s="124">
        <f>SAISIE!BW78</f>
        <v/>
      </c>
    </row>
    <row r="81">
      <c r="C81" s="234">
        <f>SAISIE!$B79</f>
        <v/>
      </c>
      <c r="D81" s="123">
        <f>SAISIE!$C79</f>
        <v/>
      </c>
      <c r="E81" s="124">
        <f>SAISIE!BV79</f>
        <v/>
      </c>
      <c r="F81" s="124">
        <f>SAISIE!BX79</f>
        <v/>
      </c>
      <c r="G81" s="124">
        <f>SAISIE!BW79</f>
        <v/>
      </c>
    </row>
    <row r="82">
      <c r="C82" s="234">
        <f>SAISIE!B80</f>
        <v/>
      </c>
      <c r="D82" s="123">
        <f>SAISIE!$C80</f>
        <v/>
      </c>
      <c r="E82" s="124">
        <f>SAISIE!BV80</f>
        <v/>
      </c>
      <c r="F82" s="124">
        <f>SAISIE!BX80</f>
        <v/>
      </c>
      <c r="G82" s="124">
        <f>SAISIE!BW80</f>
        <v/>
      </c>
    </row>
    <row r="83">
      <c r="C83" s="234">
        <f>SAISIE!B81</f>
        <v/>
      </c>
      <c r="D83" s="123">
        <f>SAISIE!$C81</f>
        <v/>
      </c>
      <c r="E83" s="124">
        <f>SAISIE!BV81</f>
        <v/>
      </c>
      <c r="F83" s="124">
        <f>SAISIE!BX81</f>
        <v/>
      </c>
      <c r="G83" s="124">
        <f>SAISIE!BW81</f>
        <v/>
      </c>
    </row>
    <row r="84">
      <c r="C84" s="234">
        <f>SAISIE!$B82</f>
        <v/>
      </c>
      <c r="D84" s="123">
        <f>SAISIE!$C82</f>
        <v/>
      </c>
      <c r="E84" s="124">
        <f>SAISIE!BV82</f>
        <v/>
      </c>
      <c r="F84" s="124">
        <f>SAISIE!BX82</f>
        <v/>
      </c>
      <c r="G84" s="124">
        <f>SAISIE!BW82</f>
        <v/>
      </c>
    </row>
    <row r="85">
      <c r="C85" s="234">
        <f>SAISIE!$B83</f>
        <v/>
      </c>
      <c r="D85" s="123">
        <f>SAISIE!$C83</f>
        <v/>
      </c>
      <c r="E85" s="124">
        <f>SAISIE!BV83</f>
        <v/>
      </c>
      <c r="F85" s="124">
        <f>SAISIE!BX83</f>
        <v/>
      </c>
      <c r="G85" s="124">
        <f>SAISIE!BW83</f>
        <v/>
      </c>
    </row>
    <row r="86">
      <c r="C86" s="234">
        <f>SAISIE!B84</f>
        <v/>
      </c>
      <c r="D86" s="123">
        <f>SAISIE!$C84</f>
        <v/>
      </c>
      <c r="E86" s="124">
        <f>SAISIE!BV84</f>
        <v/>
      </c>
      <c r="F86" s="124">
        <f>SAISIE!BX84</f>
        <v/>
      </c>
      <c r="G86" s="124">
        <f>SAISIE!BW84</f>
        <v/>
      </c>
    </row>
    <row r="87">
      <c r="C87" s="234">
        <f>SAISIE!B85</f>
        <v/>
      </c>
      <c r="D87" s="123">
        <f>SAISIE!$C85</f>
        <v/>
      </c>
      <c r="E87" s="124">
        <f>SAISIE!BV85</f>
        <v/>
      </c>
      <c r="F87" s="124">
        <f>SAISIE!BX85</f>
        <v/>
      </c>
      <c r="G87" s="124">
        <f>SAISIE!BW85</f>
        <v/>
      </c>
    </row>
    <row r="88">
      <c r="C88" s="234">
        <f>SAISIE!$B86</f>
        <v/>
      </c>
      <c r="D88" s="123">
        <f>SAISIE!$C86</f>
        <v/>
      </c>
      <c r="E88" s="124">
        <f>SAISIE!BV86</f>
        <v/>
      </c>
      <c r="F88" s="124">
        <f>SAISIE!BX86</f>
        <v/>
      </c>
      <c r="G88" s="124">
        <f>SAISIE!BW86</f>
        <v/>
      </c>
    </row>
    <row r="89">
      <c r="C89" s="234">
        <f>SAISIE!$B87</f>
        <v/>
      </c>
      <c r="D89" s="123">
        <f>SAISIE!$C87</f>
        <v/>
      </c>
      <c r="E89" s="124">
        <f>SAISIE!BV87</f>
        <v/>
      </c>
      <c r="F89" s="124">
        <f>SAISIE!BX87</f>
        <v/>
      </c>
      <c r="G89" s="124">
        <f>SAISIE!BW87</f>
        <v/>
      </c>
    </row>
    <row r="90">
      <c r="C90" s="234">
        <f>SAISIE!B88</f>
        <v/>
      </c>
      <c r="D90" s="123">
        <f>SAISIE!$C88</f>
        <v/>
      </c>
      <c r="E90" s="124">
        <f>SAISIE!BV88</f>
        <v/>
      </c>
      <c r="F90" s="124">
        <f>SAISIE!BX88</f>
        <v/>
      </c>
      <c r="G90" s="124">
        <f>SAISIE!BW88</f>
        <v/>
      </c>
    </row>
    <row r="91">
      <c r="C91" s="234">
        <f>SAISIE!B89</f>
        <v/>
      </c>
      <c r="D91" s="123">
        <f>SAISIE!$C89</f>
        <v/>
      </c>
      <c r="E91" s="124">
        <f>SAISIE!BV89</f>
        <v/>
      </c>
      <c r="F91" s="124">
        <f>SAISIE!BX89</f>
        <v/>
      </c>
      <c r="G91" s="124">
        <f>SAISIE!BW89</f>
        <v/>
      </c>
    </row>
    <row r="92">
      <c r="C92" s="234">
        <f>SAISIE!$B90</f>
        <v/>
      </c>
      <c r="D92" s="123">
        <f>SAISIE!$C90</f>
        <v/>
      </c>
      <c r="E92" s="124">
        <f>SAISIE!BV90</f>
        <v/>
      </c>
      <c r="F92" s="124">
        <f>SAISIE!BX90</f>
        <v/>
      </c>
      <c r="G92" s="124">
        <f>SAISIE!BW90</f>
        <v/>
      </c>
    </row>
    <row r="93">
      <c r="C93" s="234">
        <f>SAISIE!$B91</f>
        <v/>
      </c>
      <c r="D93" s="123">
        <f>SAISIE!$C91</f>
        <v/>
      </c>
      <c r="E93" s="124">
        <f>SAISIE!BV91</f>
        <v/>
      </c>
      <c r="F93" s="124">
        <f>SAISIE!BX91</f>
        <v/>
      </c>
      <c r="G93" s="124">
        <f>SAISIE!BW91</f>
        <v/>
      </c>
    </row>
    <row r="94">
      <c r="C94" s="234">
        <f>SAISIE!B92</f>
        <v/>
      </c>
      <c r="D94" s="123">
        <f>SAISIE!$C92</f>
        <v/>
      </c>
      <c r="E94" s="124">
        <f>SAISIE!BV92</f>
        <v/>
      </c>
      <c r="F94" s="124">
        <f>SAISIE!BX92</f>
        <v/>
      </c>
      <c r="G94" s="124">
        <f>SAISIE!BW92</f>
        <v/>
      </c>
    </row>
    <row r="95">
      <c r="C95" s="234">
        <f>SAISIE!B93</f>
        <v/>
      </c>
      <c r="D95" s="123">
        <f>SAISIE!$C93</f>
        <v/>
      </c>
      <c r="E95" s="124">
        <f>SAISIE!BV93</f>
        <v/>
      </c>
      <c r="F95" s="124">
        <f>SAISIE!BX93</f>
        <v/>
      </c>
      <c r="G95" s="124">
        <f>SAISIE!BW93</f>
        <v/>
      </c>
    </row>
    <row r="96">
      <c r="C96" s="234">
        <f>SAISIE!$B94</f>
        <v/>
      </c>
      <c r="D96" s="123">
        <f>SAISIE!$C94</f>
        <v/>
      </c>
      <c r="E96" s="124">
        <f>SAISIE!BV94</f>
        <v/>
      </c>
      <c r="F96" s="124">
        <f>SAISIE!BX94</f>
        <v/>
      </c>
      <c r="G96" s="124">
        <f>SAISIE!BW94</f>
        <v/>
      </c>
    </row>
    <row r="97">
      <c r="C97" s="234">
        <f>SAISIE!$B95</f>
        <v/>
      </c>
      <c r="D97" s="123">
        <f>SAISIE!$C95</f>
        <v/>
      </c>
      <c r="E97" s="124">
        <f>SAISIE!BV95</f>
        <v/>
      </c>
      <c r="F97" s="124">
        <f>SAISIE!BX95</f>
        <v/>
      </c>
      <c r="G97" s="124">
        <f>SAISIE!BW95</f>
        <v/>
      </c>
    </row>
    <row r="98">
      <c r="C98" s="16">
        <f>SAISIE!B96</f>
        <v/>
      </c>
      <c r="D98" s="17">
        <f>SAISIE!$C96</f>
        <v/>
      </c>
      <c r="E98" s="18">
        <f>SAISIE!BV96</f>
        <v/>
      </c>
      <c r="F98" s="18">
        <f>SAISIE!BX96</f>
        <v/>
      </c>
      <c r="G98" s="18">
        <f>SAISIE!BW96</f>
        <v/>
      </c>
    </row>
    <row r="99">
      <c r="C99" s="16">
        <f>SAISIE!B97</f>
        <v/>
      </c>
      <c r="D99" s="17">
        <f>SAISIE!$C97</f>
        <v/>
      </c>
      <c r="E99" s="18">
        <f>SAISIE!BV97</f>
        <v/>
      </c>
      <c r="F99" s="18">
        <f>SAISIE!BX97</f>
        <v/>
      </c>
      <c r="G99" s="18">
        <f>SAISIE!BW97</f>
        <v/>
      </c>
    </row>
    <row r="100">
      <c r="C100" s="16">
        <f>SAISIE!$B98</f>
        <v/>
      </c>
      <c r="D100" s="17">
        <f>SAISIE!$C98</f>
        <v/>
      </c>
      <c r="E100" s="18">
        <f>SAISIE!BV98</f>
        <v/>
      </c>
      <c r="F100" s="18">
        <f>SAISIE!BX98</f>
        <v/>
      </c>
      <c r="G100" s="18">
        <f>SAISIE!BW98</f>
        <v/>
      </c>
    </row>
    <row r="101">
      <c r="C101" s="16">
        <f>SAISIE!$B99</f>
        <v/>
      </c>
      <c r="D101" s="17">
        <f>SAISIE!$C99</f>
        <v/>
      </c>
      <c r="E101" s="18">
        <f>SAISIE!BV99</f>
        <v/>
      </c>
      <c r="F101" s="18">
        <f>SAISIE!BX99</f>
        <v/>
      </c>
      <c r="G101" s="18">
        <f>SAISIE!BW99</f>
        <v/>
      </c>
    </row>
    <row r="102">
      <c r="C102" s="16">
        <f>SAISIE!B100</f>
        <v/>
      </c>
      <c r="D102" s="17">
        <f>SAISIE!$C100</f>
        <v/>
      </c>
      <c r="E102" s="18">
        <f>SAISIE!BV100</f>
        <v/>
      </c>
      <c r="F102" s="18">
        <f>SAISIE!BX100</f>
        <v/>
      </c>
      <c r="G102" s="18">
        <f>SAISIE!BW100</f>
        <v/>
      </c>
    </row>
    <row r="103">
      <c r="C103" s="16">
        <f>SAISIE!B101</f>
        <v/>
      </c>
      <c r="D103" s="17">
        <f>SAISIE!$C101</f>
        <v/>
      </c>
      <c r="E103" s="18">
        <f>SAISIE!BV101</f>
        <v/>
      </c>
      <c r="F103" s="18">
        <f>SAISIE!BX101</f>
        <v/>
      </c>
      <c r="G103" s="18">
        <f>SAISIE!BW101</f>
        <v/>
      </c>
    </row>
    <row r="104">
      <c r="C104" s="16">
        <f>SAISIE!$B102</f>
        <v/>
      </c>
      <c r="D104" s="17">
        <f>SAISIE!$C102</f>
        <v/>
      </c>
      <c r="E104" s="18">
        <f>SAISIE!BV102</f>
        <v/>
      </c>
      <c r="F104" s="18">
        <f>SAISIE!BX102</f>
        <v/>
      </c>
      <c r="G104" s="18">
        <f>SAISIE!BW102</f>
        <v/>
      </c>
    </row>
    <row r="105">
      <c r="C105" s="16">
        <f>SAISIE!$B103</f>
        <v/>
      </c>
      <c r="D105" s="17">
        <f>SAISIE!$C103</f>
        <v/>
      </c>
      <c r="E105" s="18">
        <f>SAISIE!BV103</f>
        <v/>
      </c>
      <c r="F105" s="18">
        <f>SAISIE!BX103</f>
        <v/>
      </c>
      <c r="G105" s="18">
        <f>SAISIE!BW103</f>
        <v/>
      </c>
    </row>
    <row r="106">
      <c r="C106" s="16">
        <f>SAISIE!B104</f>
        <v/>
      </c>
      <c r="D106" s="17">
        <f>SAISIE!$C104</f>
        <v/>
      </c>
      <c r="E106" s="18">
        <f>SAISIE!BV104</f>
        <v/>
      </c>
      <c r="F106" s="18">
        <f>SAISIE!BX104</f>
        <v/>
      </c>
      <c r="G106" s="18">
        <f>SAISIE!BW104</f>
        <v/>
      </c>
    </row>
    <row r="107">
      <c r="C107" s="16">
        <f>SAISIE!B105</f>
        <v/>
      </c>
      <c r="D107" s="17">
        <f>SAISIE!$C105</f>
        <v/>
      </c>
      <c r="E107" s="18">
        <f>SAISIE!BV105</f>
        <v/>
      </c>
      <c r="F107" s="18">
        <f>SAISIE!BX105</f>
        <v/>
      </c>
      <c r="G107" s="18">
        <f>SAISIE!BW105</f>
        <v/>
      </c>
    </row>
    <row r="108">
      <c r="C108" s="16">
        <f>SAISIE!$B106</f>
        <v/>
      </c>
      <c r="D108" s="17">
        <f>SAISIE!$C106</f>
        <v/>
      </c>
      <c r="E108" s="18">
        <f>SAISIE!BV106</f>
        <v/>
      </c>
      <c r="F108" s="18">
        <f>SAISIE!BX106</f>
        <v/>
      </c>
      <c r="G108" s="18">
        <f>SAISIE!BW106</f>
        <v/>
      </c>
    </row>
    <row r="109">
      <c r="C109" s="16">
        <f>SAISIE!$B107</f>
        <v/>
      </c>
      <c r="D109" s="17">
        <f>SAISIE!$C107</f>
        <v/>
      </c>
      <c r="E109" s="18">
        <f>SAISIE!BV107</f>
        <v/>
      </c>
      <c r="F109" s="18">
        <f>SAISIE!BX107</f>
        <v/>
      </c>
      <c r="G109" s="18">
        <f>SAISIE!BW107</f>
        <v/>
      </c>
    </row>
    <row r="110">
      <c r="C110" s="16">
        <f>SAISIE!B108</f>
        <v/>
      </c>
      <c r="D110" s="17">
        <f>SAISIE!$C108</f>
        <v/>
      </c>
      <c r="E110" s="18">
        <f>SAISIE!BV108</f>
        <v/>
      </c>
      <c r="F110" s="18">
        <f>SAISIE!BX108</f>
        <v/>
      </c>
      <c r="G110" s="18">
        <f>SAISIE!BW108</f>
        <v/>
      </c>
    </row>
    <row r="111">
      <c r="C111" s="16">
        <f>SAISIE!B109</f>
        <v/>
      </c>
      <c r="D111" s="17">
        <f>SAISIE!$C109</f>
        <v/>
      </c>
      <c r="E111" s="18">
        <f>SAISIE!BV109</f>
        <v/>
      </c>
      <c r="F111" s="18">
        <f>SAISIE!BX109</f>
        <v/>
      </c>
      <c r="G111" s="18">
        <f>SAISIE!BW109</f>
        <v/>
      </c>
    </row>
    <row r="112">
      <c r="C112" s="16">
        <f>SAISIE!$B110</f>
        <v/>
      </c>
      <c r="D112" s="17">
        <f>SAISIE!$C110</f>
        <v/>
      </c>
      <c r="E112" s="18">
        <f>SAISIE!BV110</f>
        <v/>
      </c>
      <c r="F112" s="18">
        <f>SAISIE!BX110</f>
        <v/>
      </c>
      <c r="G112" s="18">
        <f>SAISIE!BW110</f>
        <v/>
      </c>
    </row>
    <row r="113">
      <c r="C113" s="16">
        <f>SAISIE!$B111</f>
        <v/>
      </c>
      <c r="D113" s="17">
        <f>SAISIE!$C111</f>
        <v/>
      </c>
      <c r="E113" s="18">
        <f>SAISIE!BV111</f>
        <v/>
      </c>
      <c r="F113" s="18">
        <f>SAISIE!BX111</f>
        <v/>
      </c>
      <c r="G113" s="18">
        <f>SAISIE!BW111</f>
        <v/>
      </c>
    </row>
    <row r="114">
      <c r="C114" s="16">
        <f>SAISIE!B112</f>
        <v/>
      </c>
      <c r="D114" s="17">
        <f>SAISIE!$C112</f>
        <v/>
      </c>
      <c r="E114" s="18">
        <f>SAISIE!BV112</f>
        <v/>
      </c>
      <c r="F114" s="18">
        <f>SAISIE!BX112</f>
        <v/>
      </c>
      <c r="G114" s="18">
        <f>SAISIE!BW112</f>
        <v/>
      </c>
    </row>
    <row r="115">
      <c r="C115" s="16">
        <f>SAISIE!B113</f>
        <v/>
      </c>
      <c r="D115" s="17">
        <f>SAISIE!$C113</f>
        <v/>
      </c>
      <c r="E115" s="18">
        <f>SAISIE!BV113</f>
        <v/>
      </c>
      <c r="F115" s="18">
        <f>SAISIE!BX113</f>
        <v/>
      </c>
      <c r="G115" s="18">
        <f>SAISIE!BW113</f>
        <v/>
      </c>
    </row>
    <row r="116">
      <c r="C116" s="16">
        <f>SAISIE!$B114</f>
        <v/>
      </c>
      <c r="D116" s="17">
        <f>SAISIE!$C114</f>
        <v/>
      </c>
      <c r="E116" s="18">
        <f>SAISIE!BV114</f>
        <v/>
      </c>
      <c r="F116" s="18">
        <f>SAISIE!BX114</f>
        <v/>
      </c>
      <c r="G116" s="18">
        <f>SAISIE!BW114</f>
        <v/>
      </c>
    </row>
    <row r="117">
      <c r="C117" s="16">
        <f>SAISIE!$B115</f>
        <v/>
      </c>
      <c r="D117" s="17">
        <f>SAISIE!$C115</f>
        <v/>
      </c>
      <c r="E117" s="18">
        <f>SAISIE!BV115</f>
        <v/>
      </c>
      <c r="F117" s="18">
        <f>SAISIE!BX115</f>
        <v/>
      </c>
      <c r="G117" s="18">
        <f>SAISIE!BW115</f>
        <v/>
      </c>
    </row>
    <row r="118">
      <c r="C118" s="16">
        <f>SAISIE!B116</f>
        <v/>
      </c>
      <c r="D118" s="17">
        <f>SAISIE!$C116</f>
        <v/>
      </c>
      <c r="E118" s="18">
        <f>SAISIE!BV116</f>
        <v/>
      </c>
      <c r="F118" s="18">
        <f>SAISIE!BX116</f>
        <v/>
      </c>
      <c r="G118" s="18">
        <f>SAISIE!BW116</f>
        <v/>
      </c>
    </row>
    <row r="119">
      <c r="C119" s="16">
        <f>SAISIE!B117</f>
        <v/>
      </c>
      <c r="D119" s="17">
        <f>SAISIE!$C117</f>
        <v/>
      </c>
      <c r="E119" s="18">
        <f>SAISIE!BV117</f>
        <v/>
      </c>
      <c r="F119" s="18">
        <f>SAISIE!BX117</f>
        <v/>
      </c>
      <c r="G119" s="18">
        <f>SAISIE!BW117</f>
        <v/>
      </c>
    </row>
    <row r="120">
      <c r="C120" s="16">
        <f>SAISIE!$B118</f>
        <v/>
      </c>
      <c r="D120" s="17">
        <f>SAISIE!$C118</f>
        <v/>
      </c>
      <c r="E120" s="18">
        <f>SAISIE!BV118</f>
        <v/>
      </c>
      <c r="F120" s="18">
        <f>SAISIE!BX118</f>
        <v/>
      </c>
      <c r="G120" s="18">
        <f>SAISIE!BW118</f>
        <v/>
      </c>
    </row>
    <row r="121">
      <c r="C121" s="16">
        <f>SAISIE!$B119</f>
        <v/>
      </c>
      <c r="D121" s="17">
        <f>SAISIE!$C119</f>
        <v/>
      </c>
      <c r="E121" s="18">
        <f>SAISIE!BV119</f>
        <v/>
      </c>
      <c r="F121" s="18">
        <f>SAISIE!BX119</f>
        <v/>
      </c>
      <c r="G121" s="18">
        <f>SAISIE!BW119</f>
        <v/>
      </c>
    </row>
    <row r="122">
      <c r="C122" s="16">
        <f>SAISIE!B120</f>
        <v/>
      </c>
      <c r="D122" s="17">
        <f>SAISIE!$C120</f>
        <v/>
      </c>
      <c r="E122" s="18">
        <f>SAISIE!BV120</f>
        <v/>
      </c>
      <c r="F122" s="18">
        <f>SAISIE!BX120</f>
        <v/>
      </c>
      <c r="G122" s="18">
        <f>SAISIE!BW120</f>
        <v/>
      </c>
    </row>
    <row r="123">
      <c r="C123" s="16">
        <f>SAISIE!B121</f>
        <v/>
      </c>
      <c r="D123" s="17">
        <f>SAISIE!$C121</f>
        <v/>
      </c>
      <c r="E123" s="18">
        <f>SAISIE!BV121</f>
        <v/>
      </c>
      <c r="F123" s="18">
        <f>SAISIE!BX121</f>
        <v/>
      </c>
      <c r="G123" s="18">
        <f>SAISIE!BW121</f>
        <v/>
      </c>
    </row>
    <row r="124">
      <c r="C124" s="16">
        <f>SAISIE!$B122</f>
        <v/>
      </c>
      <c r="D124" s="17">
        <f>SAISIE!$C122</f>
        <v/>
      </c>
      <c r="E124" s="18">
        <f>SAISIE!BV122</f>
        <v/>
      </c>
      <c r="F124" s="18">
        <f>SAISIE!BX122</f>
        <v/>
      </c>
      <c r="G124" s="18">
        <f>SAISIE!BW122</f>
        <v/>
      </c>
    </row>
    <row r="125">
      <c r="C125" s="16">
        <f>SAISIE!$B123</f>
        <v/>
      </c>
      <c r="D125" s="17">
        <f>SAISIE!$C123</f>
        <v/>
      </c>
      <c r="E125" s="18">
        <f>SAISIE!BV123</f>
        <v/>
      </c>
      <c r="F125" s="18">
        <f>SAISIE!BX123</f>
        <v/>
      </c>
      <c r="G125" s="18">
        <f>SAISIE!BW123</f>
        <v/>
      </c>
    </row>
    <row r="126">
      <c r="C126" s="16">
        <f>SAISIE!B124</f>
        <v/>
      </c>
      <c r="D126" s="17">
        <f>SAISIE!$C124</f>
        <v/>
      </c>
      <c r="E126" s="18">
        <f>SAISIE!BV124</f>
        <v/>
      </c>
      <c r="F126" s="18">
        <f>SAISIE!BX124</f>
        <v/>
      </c>
      <c r="G126" s="18">
        <f>SAISIE!BW124</f>
        <v/>
      </c>
    </row>
    <row r="127">
      <c r="C127" s="16">
        <f>SAISIE!B125</f>
        <v/>
      </c>
      <c r="D127" s="17">
        <f>SAISIE!$C125</f>
        <v/>
      </c>
      <c r="E127" s="18">
        <f>SAISIE!BV125</f>
        <v/>
      </c>
      <c r="F127" s="18">
        <f>SAISIE!BX125</f>
        <v/>
      </c>
      <c r="G127" s="18">
        <f>SAISIE!BW125</f>
        <v/>
      </c>
    </row>
    <row r="128">
      <c r="C128" s="16">
        <f>SAISIE!$B126</f>
        <v/>
      </c>
      <c r="D128" s="17">
        <f>SAISIE!$C126</f>
        <v/>
      </c>
      <c r="E128" s="18">
        <f>SAISIE!BV126</f>
        <v/>
      </c>
      <c r="F128" s="18">
        <f>SAISIE!BX126</f>
        <v/>
      </c>
      <c r="G128" s="18">
        <f>SAISIE!BW126</f>
        <v/>
      </c>
    </row>
    <row r="129">
      <c r="C129" s="16">
        <f>SAISIE!$B127</f>
        <v/>
      </c>
      <c r="D129" s="17">
        <f>SAISIE!$C127</f>
        <v/>
      </c>
      <c r="E129" s="18">
        <f>SAISIE!BV127</f>
        <v/>
      </c>
      <c r="F129" s="18">
        <f>SAISIE!BX127</f>
        <v/>
      </c>
      <c r="G129" s="18">
        <f>SAISIE!BW127</f>
        <v/>
      </c>
    </row>
    <row r="130">
      <c r="C130" s="16">
        <f>SAISIE!B128</f>
        <v/>
      </c>
      <c r="D130" s="17">
        <f>SAISIE!$C128</f>
        <v/>
      </c>
      <c r="E130" s="18">
        <f>SAISIE!BV128</f>
        <v/>
      </c>
      <c r="F130" s="18">
        <f>SAISIE!BX128</f>
        <v/>
      </c>
      <c r="G130" s="18">
        <f>SAISIE!BW128</f>
        <v/>
      </c>
    </row>
    <row r="131">
      <c r="C131" s="16">
        <f>SAISIE!B129</f>
        <v/>
      </c>
      <c r="D131" s="17">
        <f>SAISIE!$C129</f>
        <v/>
      </c>
      <c r="E131" s="18">
        <f>SAISIE!BV129</f>
        <v/>
      </c>
      <c r="F131" s="18">
        <f>SAISIE!BX129</f>
        <v/>
      </c>
      <c r="G131" s="18">
        <f>SAISIE!BW129</f>
        <v/>
      </c>
    </row>
    <row r="132">
      <c r="C132" s="16">
        <f>SAISIE!$B130</f>
        <v/>
      </c>
      <c r="D132" s="17">
        <f>SAISIE!$C130</f>
        <v/>
      </c>
      <c r="E132" s="18">
        <f>SAISIE!BV130</f>
        <v/>
      </c>
      <c r="F132" s="18">
        <f>SAISIE!BX130</f>
        <v/>
      </c>
      <c r="G132" s="18">
        <f>SAISIE!BW130</f>
        <v/>
      </c>
    </row>
    <row r="133">
      <c r="C133" s="16">
        <f>SAISIE!$B131</f>
        <v/>
      </c>
      <c r="D133" s="17">
        <f>SAISIE!$C131</f>
        <v/>
      </c>
      <c r="E133" s="18">
        <f>SAISIE!BV131</f>
        <v/>
      </c>
      <c r="F133" s="18">
        <f>SAISIE!BX131</f>
        <v/>
      </c>
      <c r="G133" s="18">
        <f>SAISIE!BW131</f>
        <v/>
      </c>
    </row>
    <row r="134">
      <c r="C134" s="16">
        <f>SAISIE!B132</f>
        <v/>
      </c>
      <c r="D134" s="17">
        <f>SAISIE!$C132</f>
        <v/>
      </c>
      <c r="E134" s="18">
        <f>SAISIE!BV132</f>
        <v/>
      </c>
      <c r="F134" s="18">
        <f>SAISIE!BX132</f>
        <v/>
      </c>
      <c r="G134" s="18">
        <f>SAISIE!BW132</f>
        <v/>
      </c>
    </row>
    <row r="135">
      <c r="C135" s="16">
        <f>SAISIE!B133</f>
        <v/>
      </c>
      <c r="D135" s="17">
        <f>SAISIE!$C133</f>
        <v/>
      </c>
      <c r="E135" s="18">
        <f>SAISIE!BV133</f>
        <v/>
      </c>
      <c r="F135" s="18">
        <f>SAISIE!BX133</f>
        <v/>
      </c>
      <c r="G135" s="18">
        <f>SAISIE!BW133</f>
        <v/>
      </c>
    </row>
    <row r="136">
      <c r="C136" s="16">
        <f>SAISIE!$B134</f>
        <v/>
      </c>
      <c r="D136" s="17">
        <f>SAISIE!$C134</f>
        <v/>
      </c>
      <c r="E136" s="18">
        <f>SAISIE!BV134</f>
        <v/>
      </c>
      <c r="F136" s="18">
        <f>SAISIE!BX134</f>
        <v/>
      </c>
      <c r="G136" s="18">
        <f>SAISIE!BW134</f>
        <v/>
      </c>
    </row>
    <row r="137">
      <c r="C137" s="16">
        <f>SAISIE!$B135</f>
        <v/>
      </c>
      <c r="D137" s="17">
        <f>SAISIE!$C135</f>
        <v/>
      </c>
      <c r="E137" s="18">
        <f>SAISIE!BV135</f>
        <v/>
      </c>
      <c r="F137" s="18">
        <f>SAISIE!BX135</f>
        <v/>
      </c>
      <c r="G137" s="18">
        <f>SAISIE!BW135</f>
        <v/>
      </c>
    </row>
    <row r="138">
      <c r="C138" s="16">
        <f>SAISIE!B136</f>
        <v/>
      </c>
      <c r="D138" s="17">
        <f>SAISIE!$C136</f>
        <v/>
      </c>
      <c r="E138" s="18">
        <f>SAISIE!BV136</f>
        <v/>
      </c>
      <c r="F138" s="18">
        <f>SAISIE!BX136</f>
        <v/>
      </c>
      <c r="G138" s="18">
        <f>SAISIE!BW136</f>
        <v/>
      </c>
    </row>
    <row r="139">
      <c r="C139" s="16">
        <f>SAISIE!B137</f>
        <v/>
      </c>
      <c r="D139" s="17">
        <f>SAISIE!$C137</f>
        <v/>
      </c>
      <c r="E139" s="18">
        <f>SAISIE!BV137</f>
        <v/>
      </c>
      <c r="F139" s="18">
        <f>SAISIE!BX137</f>
        <v/>
      </c>
      <c r="G139" s="18">
        <f>SAISIE!BW137</f>
        <v/>
      </c>
    </row>
    <row r="140">
      <c r="C140" s="16">
        <f>SAISIE!$B138</f>
        <v/>
      </c>
      <c r="D140" s="17">
        <f>SAISIE!$C138</f>
        <v/>
      </c>
      <c r="E140" s="18">
        <f>SAISIE!BV138</f>
        <v/>
      </c>
      <c r="F140" s="18">
        <f>SAISIE!BX138</f>
        <v/>
      </c>
      <c r="G140" s="18">
        <f>SAISIE!BW138</f>
        <v/>
      </c>
    </row>
    <row r="141">
      <c r="C141" s="16">
        <f>SAISIE!$B139</f>
        <v/>
      </c>
      <c r="D141" s="17">
        <f>SAISIE!$C139</f>
        <v/>
      </c>
      <c r="E141" s="18">
        <f>SAISIE!BV139</f>
        <v/>
      </c>
      <c r="F141" s="18">
        <f>SAISIE!BX139</f>
        <v/>
      </c>
      <c r="G141" s="18">
        <f>SAISIE!BW139</f>
        <v/>
      </c>
    </row>
    <row r="142">
      <c r="C142" s="16">
        <f>SAISIE!B140</f>
        <v/>
      </c>
      <c r="D142" s="17">
        <f>SAISIE!$C140</f>
        <v/>
      </c>
      <c r="E142" s="18">
        <f>SAISIE!BV140</f>
        <v/>
      </c>
      <c r="F142" s="18">
        <f>SAISIE!BX140</f>
        <v/>
      </c>
      <c r="G142" s="18">
        <f>SAISIE!BW140</f>
        <v/>
      </c>
    </row>
    <row r="143">
      <c r="C143" s="16">
        <f>SAISIE!B141</f>
        <v/>
      </c>
      <c r="D143" s="17">
        <f>SAISIE!$C141</f>
        <v/>
      </c>
      <c r="E143" s="18">
        <f>SAISIE!BV141</f>
        <v/>
      </c>
      <c r="F143" s="18">
        <f>SAISIE!BX141</f>
        <v/>
      </c>
      <c r="G143" s="18">
        <f>SAISIE!BW141</f>
        <v/>
      </c>
    </row>
    <row r="144">
      <c r="C144" s="16">
        <f>SAISIE!$B142</f>
        <v/>
      </c>
      <c r="D144" s="17">
        <f>SAISIE!$C142</f>
        <v/>
      </c>
      <c r="E144" s="18">
        <f>SAISIE!BV142</f>
        <v/>
      </c>
      <c r="F144" s="18">
        <f>SAISIE!BX142</f>
        <v/>
      </c>
      <c r="G144" s="18">
        <f>SAISIE!BW142</f>
        <v/>
      </c>
    </row>
    <row r="145">
      <c r="C145" s="16">
        <f>SAISIE!$B143</f>
        <v/>
      </c>
      <c r="D145" s="17">
        <f>SAISIE!$C143</f>
        <v/>
      </c>
      <c r="E145" s="18">
        <f>SAISIE!BV143</f>
        <v/>
      </c>
      <c r="F145" s="18">
        <f>SAISIE!BX143</f>
        <v/>
      </c>
      <c r="G145" s="18">
        <f>SAISIE!BW143</f>
        <v/>
      </c>
    </row>
    <row r="146">
      <c r="C146" s="16">
        <f>SAISIE!B144</f>
        <v/>
      </c>
      <c r="D146" s="17">
        <f>SAISIE!$C144</f>
        <v/>
      </c>
      <c r="E146" s="18">
        <f>SAISIE!BV144</f>
        <v/>
      </c>
      <c r="F146" s="18">
        <f>SAISIE!BX144</f>
        <v/>
      </c>
      <c r="G146" s="18">
        <f>SAISIE!BW144</f>
        <v/>
      </c>
    </row>
    <row r="147">
      <c r="C147" s="16">
        <f>SAISIE!B145</f>
        <v/>
      </c>
      <c r="D147" s="17">
        <f>SAISIE!$C145</f>
        <v/>
      </c>
      <c r="E147" s="18">
        <f>SAISIE!BV145</f>
        <v/>
      </c>
      <c r="F147" s="18">
        <f>SAISIE!BX145</f>
        <v/>
      </c>
      <c r="G147" s="18">
        <f>SAISIE!BW145</f>
        <v/>
      </c>
    </row>
    <row r="148">
      <c r="C148" s="16">
        <f>SAISIE!$B146</f>
        <v/>
      </c>
      <c r="D148" s="17">
        <f>SAISIE!$C146</f>
        <v/>
      </c>
      <c r="E148" s="18">
        <f>SAISIE!BV146</f>
        <v/>
      </c>
      <c r="F148" s="18">
        <f>SAISIE!BX146</f>
        <v/>
      </c>
      <c r="G148" s="18">
        <f>SAISIE!BW146</f>
        <v/>
      </c>
    </row>
    <row r="149">
      <c r="C149" s="16">
        <f>SAISIE!$B147</f>
        <v/>
      </c>
      <c r="D149" s="17">
        <f>SAISIE!$C147</f>
        <v/>
      </c>
      <c r="E149" s="18">
        <f>SAISIE!BV147</f>
        <v/>
      </c>
      <c r="F149" s="18">
        <f>SAISIE!BX147</f>
        <v/>
      </c>
      <c r="G149" s="18">
        <f>SAISIE!BW147</f>
        <v/>
      </c>
    </row>
    <row r="150">
      <c r="C150" s="16">
        <f>SAISIE!B148</f>
        <v/>
      </c>
      <c r="D150" s="17">
        <f>SAISIE!$C148</f>
        <v/>
      </c>
      <c r="E150" s="18">
        <f>SAISIE!BV148</f>
        <v/>
      </c>
      <c r="F150" s="18">
        <f>SAISIE!BX148</f>
        <v/>
      </c>
      <c r="G150" s="18">
        <f>SAISIE!BW148</f>
        <v/>
      </c>
    </row>
    <row r="151">
      <c r="C151" s="16">
        <f>SAISIE!B149</f>
        <v/>
      </c>
      <c r="D151" s="17">
        <f>SAISIE!$C149</f>
        <v/>
      </c>
      <c r="E151" s="18">
        <f>SAISIE!BV149</f>
        <v/>
      </c>
      <c r="F151" s="18">
        <f>SAISIE!BX149</f>
        <v/>
      </c>
      <c r="G151" s="18">
        <f>SAISIE!BW149</f>
        <v/>
      </c>
    </row>
    <row r="152">
      <c r="C152" s="16">
        <f>SAISIE!$B150</f>
        <v/>
      </c>
      <c r="D152" s="17">
        <f>SAISIE!$C150</f>
        <v/>
      </c>
      <c r="E152" s="18">
        <f>SAISIE!BV150</f>
        <v/>
      </c>
      <c r="F152" s="18">
        <f>SAISIE!BX150</f>
        <v/>
      </c>
      <c r="G152" s="18">
        <f>SAISIE!BW150</f>
        <v/>
      </c>
    </row>
    <row r="153">
      <c r="C153" s="16">
        <f>SAISIE!$B151</f>
        <v/>
      </c>
      <c r="D153" s="17">
        <f>SAISIE!$C151</f>
        <v/>
      </c>
      <c r="E153" s="18">
        <f>SAISIE!BV151</f>
        <v/>
      </c>
      <c r="F153" s="18">
        <f>SAISIE!BX151</f>
        <v/>
      </c>
      <c r="G153" s="18">
        <f>SAISIE!BW151</f>
        <v/>
      </c>
    </row>
    <row r="154">
      <c r="C154" s="16">
        <f>SAISIE!B152</f>
        <v/>
      </c>
      <c r="D154" s="17">
        <f>SAISIE!$C152</f>
        <v/>
      </c>
      <c r="E154" s="18">
        <f>SAISIE!BV152</f>
        <v/>
      </c>
      <c r="F154" s="18">
        <f>SAISIE!BX152</f>
        <v/>
      </c>
      <c r="G154" s="18">
        <f>SAISIE!BW152</f>
        <v/>
      </c>
    </row>
    <row r="155">
      <c r="C155" s="16">
        <f>SAISIE!B153</f>
        <v/>
      </c>
      <c r="D155" s="17">
        <f>SAISIE!$C153</f>
        <v/>
      </c>
      <c r="E155" s="18">
        <f>SAISIE!BV153</f>
        <v/>
      </c>
      <c r="F155" s="18">
        <f>SAISIE!BX153</f>
        <v/>
      </c>
      <c r="G155" s="18">
        <f>SAISIE!BW153</f>
        <v/>
      </c>
    </row>
    <row r="156">
      <c r="C156" s="16">
        <f>SAISIE!$B154</f>
        <v/>
      </c>
      <c r="D156" s="17">
        <f>SAISIE!$C154</f>
        <v/>
      </c>
      <c r="E156" s="18">
        <f>SAISIE!BV154</f>
        <v/>
      </c>
      <c r="F156" s="18">
        <f>SAISIE!BX154</f>
        <v/>
      </c>
      <c r="G156" s="18">
        <f>SAISIE!BW154</f>
        <v/>
      </c>
    </row>
    <row r="157">
      <c r="C157" s="16">
        <f>SAISIE!$B155</f>
        <v/>
      </c>
      <c r="D157" s="17">
        <f>SAISIE!$C155</f>
        <v/>
      </c>
      <c r="E157" s="18">
        <f>SAISIE!BV155</f>
        <v/>
      </c>
      <c r="F157" s="18">
        <f>SAISIE!BX155</f>
        <v/>
      </c>
      <c r="G157" s="18">
        <f>SAISIE!BW155</f>
        <v/>
      </c>
    </row>
    <row r="158">
      <c r="C158" s="16">
        <f>SAISIE!B156</f>
        <v/>
      </c>
      <c r="D158" s="17">
        <f>SAISIE!$C156</f>
        <v/>
      </c>
      <c r="E158" s="18">
        <f>SAISIE!BV156</f>
        <v/>
      </c>
      <c r="F158" s="18">
        <f>SAISIE!BX156</f>
        <v/>
      </c>
      <c r="G158" s="18">
        <f>SAISIE!BW156</f>
        <v/>
      </c>
    </row>
    <row r="159">
      <c r="C159" s="16">
        <f>SAISIE!B157</f>
        <v/>
      </c>
      <c r="D159" s="17">
        <f>SAISIE!$C157</f>
        <v/>
      </c>
      <c r="E159" s="18">
        <f>SAISIE!BV157</f>
        <v/>
      </c>
      <c r="F159" s="18">
        <f>SAISIE!BX157</f>
        <v/>
      </c>
      <c r="G159" s="18">
        <f>SAISIE!BW157</f>
        <v/>
      </c>
    </row>
    <row r="160">
      <c r="C160" s="16">
        <f>SAISIE!$B158</f>
        <v/>
      </c>
      <c r="D160" s="17">
        <f>SAISIE!$C158</f>
        <v/>
      </c>
      <c r="E160" s="18">
        <f>SAISIE!BV158</f>
        <v/>
      </c>
      <c r="F160" s="18">
        <f>SAISIE!BX158</f>
        <v/>
      </c>
      <c r="G160" s="18">
        <f>SAISIE!BW158</f>
        <v/>
      </c>
    </row>
    <row r="161">
      <c r="C161" s="16">
        <f>SAISIE!$B159</f>
        <v/>
      </c>
      <c r="D161" s="17">
        <f>SAISIE!$C159</f>
        <v/>
      </c>
      <c r="E161" s="18">
        <f>SAISIE!BV159</f>
        <v/>
      </c>
      <c r="F161" s="18">
        <f>SAISIE!BX159</f>
        <v/>
      </c>
      <c r="G161" s="18">
        <f>SAISIE!BW159</f>
        <v/>
      </c>
    </row>
    <row r="162">
      <c r="C162" s="16">
        <f>SAISIE!B160</f>
        <v/>
      </c>
      <c r="D162" s="17">
        <f>SAISIE!$C160</f>
        <v/>
      </c>
      <c r="E162" s="18">
        <f>SAISIE!BV160</f>
        <v/>
      </c>
      <c r="F162" s="18">
        <f>SAISIE!BX160</f>
        <v/>
      </c>
      <c r="G162" s="18">
        <f>SAISIE!BW160</f>
        <v/>
      </c>
    </row>
    <row r="163">
      <c r="C163" s="16">
        <f>SAISIE!B161</f>
        <v/>
      </c>
      <c r="D163" s="17">
        <f>SAISIE!$C161</f>
        <v/>
      </c>
      <c r="E163" s="18">
        <f>SAISIE!BV161</f>
        <v/>
      </c>
      <c r="F163" s="18">
        <f>SAISIE!BX161</f>
        <v/>
      </c>
      <c r="G163" s="18">
        <f>SAISIE!BW161</f>
        <v/>
      </c>
    </row>
    <row r="164">
      <c r="C164" s="16">
        <f>SAISIE!$B162</f>
        <v/>
      </c>
      <c r="D164" s="17">
        <f>SAISIE!$C162</f>
        <v/>
      </c>
      <c r="E164" s="18">
        <f>SAISIE!BV162</f>
        <v/>
      </c>
      <c r="F164" s="18">
        <f>SAISIE!BX162</f>
        <v/>
      </c>
      <c r="G164" s="18">
        <f>SAISIE!BW162</f>
        <v/>
      </c>
    </row>
    <row r="165">
      <c r="C165" s="16">
        <f>SAISIE!$B163</f>
        <v/>
      </c>
      <c r="D165" s="17">
        <f>SAISIE!$C163</f>
        <v/>
      </c>
      <c r="E165" s="18">
        <f>SAISIE!BV163</f>
        <v/>
      </c>
      <c r="F165" s="18">
        <f>SAISIE!BX163</f>
        <v/>
      </c>
      <c r="G165" s="18">
        <f>SAISIE!BW163</f>
        <v/>
      </c>
    </row>
    <row r="166">
      <c r="C166" s="16">
        <f>SAISIE!B164</f>
        <v/>
      </c>
      <c r="D166" s="17">
        <f>SAISIE!$C164</f>
        <v/>
      </c>
      <c r="E166" s="18">
        <f>SAISIE!BV164</f>
        <v/>
      </c>
      <c r="F166" s="18">
        <f>SAISIE!BX164</f>
        <v/>
      </c>
      <c r="G166" s="18">
        <f>SAISIE!BW164</f>
        <v/>
      </c>
    </row>
    <row r="167">
      <c r="C167" s="16">
        <f>SAISIE!B165</f>
        <v/>
      </c>
      <c r="D167" s="17">
        <f>SAISIE!$C165</f>
        <v/>
      </c>
      <c r="E167" s="18">
        <f>SAISIE!BV165</f>
        <v/>
      </c>
      <c r="F167" s="18">
        <f>SAISIE!BX165</f>
        <v/>
      </c>
      <c r="G167" s="18">
        <f>SAISIE!BW165</f>
        <v/>
      </c>
    </row>
    <row r="168">
      <c r="C168" s="16">
        <f>SAISIE!$B166</f>
        <v/>
      </c>
      <c r="D168" s="17">
        <f>SAISIE!$C166</f>
        <v/>
      </c>
      <c r="E168" s="18">
        <f>SAISIE!BV166</f>
        <v/>
      </c>
      <c r="F168" s="18">
        <f>SAISIE!BX166</f>
        <v/>
      </c>
      <c r="G168" s="18">
        <f>SAISIE!BW166</f>
        <v/>
      </c>
    </row>
    <row r="169">
      <c r="C169" s="16">
        <f>SAISIE!$B167</f>
        <v/>
      </c>
      <c r="D169" s="17">
        <f>SAISIE!$C167</f>
        <v/>
      </c>
      <c r="E169" s="18">
        <f>SAISIE!BV167</f>
        <v/>
      </c>
      <c r="F169" s="18">
        <f>SAISIE!BX167</f>
        <v/>
      </c>
      <c r="G169" s="18">
        <f>SAISIE!BW167</f>
        <v/>
      </c>
    </row>
    <row r="170">
      <c r="C170" s="16">
        <f>SAISIE!B168</f>
        <v/>
      </c>
      <c r="D170" s="17">
        <f>SAISIE!$C168</f>
        <v/>
      </c>
      <c r="E170" s="18">
        <f>SAISIE!BV168</f>
        <v/>
      </c>
      <c r="F170" s="18">
        <f>SAISIE!BX168</f>
        <v/>
      </c>
      <c r="G170" s="18">
        <f>SAISIE!BW168</f>
        <v/>
      </c>
    </row>
    <row r="171">
      <c r="C171" s="16">
        <f>SAISIE!B169</f>
        <v/>
      </c>
      <c r="D171" s="17">
        <f>SAISIE!$C169</f>
        <v/>
      </c>
      <c r="E171" s="18">
        <f>SAISIE!BV169</f>
        <v/>
      </c>
      <c r="F171" s="18">
        <f>SAISIE!BX169</f>
        <v/>
      </c>
      <c r="G171" s="18">
        <f>SAISIE!BW169</f>
        <v/>
      </c>
    </row>
    <row r="172">
      <c r="C172" s="16">
        <f>SAISIE!$B170</f>
        <v/>
      </c>
      <c r="D172" s="17">
        <f>SAISIE!$C170</f>
        <v/>
      </c>
      <c r="E172" s="18">
        <f>SAISIE!BV170</f>
        <v/>
      </c>
      <c r="F172" s="18">
        <f>SAISIE!BX170</f>
        <v/>
      </c>
      <c r="G172" s="18">
        <f>SAISIE!BW170</f>
        <v/>
      </c>
    </row>
    <row r="173">
      <c r="C173" s="16">
        <f>SAISIE!$B171</f>
        <v/>
      </c>
      <c r="D173" s="17">
        <f>SAISIE!$C171</f>
        <v/>
      </c>
      <c r="E173" s="18">
        <f>SAISIE!BV171</f>
        <v/>
      </c>
      <c r="F173" s="18">
        <f>SAISIE!BX171</f>
        <v/>
      </c>
      <c r="G173" s="18">
        <f>SAISIE!BW171</f>
        <v/>
      </c>
    </row>
    <row r="174">
      <c r="C174" s="16">
        <f>SAISIE!B172</f>
        <v/>
      </c>
      <c r="D174" s="17">
        <f>SAISIE!$C172</f>
        <v/>
      </c>
      <c r="E174" s="18">
        <f>SAISIE!BV172</f>
        <v/>
      </c>
      <c r="F174" s="18">
        <f>SAISIE!BX172</f>
        <v/>
      </c>
      <c r="G174" s="18">
        <f>SAISIE!BW172</f>
        <v/>
      </c>
    </row>
    <row r="175">
      <c r="C175" s="16">
        <f>SAISIE!B173</f>
        <v/>
      </c>
      <c r="D175" s="17">
        <f>SAISIE!$C173</f>
        <v/>
      </c>
      <c r="E175" s="18">
        <f>SAISIE!BV173</f>
        <v/>
      </c>
      <c r="F175" s="18">
        <f>SAISIE!BX173</f>
        <v/>
      </c>
      <c r="G175" s="18">
        <f>SAISIE!BW173</f>
        <v/>
      </c>
    </row>
    <row r="176">
      <c r="C176" s="16">
        <f>SAISIE!$B174</f>
        <v/>
      </c>
      <c r="D176" s="17">
        <f>SAISIE!$C174</f>
        <v/>
      </c>
      <c r="E176" s="18">
        <f>SAISIE!BV174</f>
        <v/>
      </c>
      <c r="F176" s="18">
        <f>SAISIE!BX174</f>
        <v/>
      </c>
      <c r="G176" s="18">
        <f>SAISIE!BW174</f>
        <v/>
      </c>
    </row>
    <row r="177">
      <c r="C177" s="16">
        <f>SAISIE!$B175</f>
        <v/>
      </c>
      <c r="D177" s="17">
        <f>SAISIE!$C175</f>
        <v/>
      </c>
      <c r="E177" s="18">
        <f>SAISIE!BV175</f>
        <v/>
      </c>
      <c r="F177" s="18">
        <f>SAISIE!BX175</f>
        <v/>
      </c>
      <c r="G177" s="18">
        <f>SAISIE!BW175</f>
        <v/>
      </c>
    </row>
    <row r="178">
      <c r="C178" s="16">
        <f>SAISIE!B176</f>
        <v/>
      </c>
      <c r="D178" s="17">
        <f>SAISIE!$C176</f>
        <v/>
      </c>
      <c r="E178" s="18">
        <f>SAISIE!BV176</f>
        <v/>
      </c>
      <c r="F178" s="18">
        <f>SAISIE!BX176</f>
        <v/>
      </c>
      <c r="G178" s="18">
        <f>SAISIE!BW176</f>
        <v/>
      </c>
    </row>
    <row r="179">
      <c r="C179" s="16">
        <f>SAISIE!B177</f>
        <v/>
      </c>
      <c r="D179" s="17">
        <f>SAISIE!$C177</f>
        <v/>
      </c>
      <c r="E179" s="18">
        <f>SAISIE!BV177</f>
        <v/>
      </c>
      <c r="F179" s="18">
        <f>SAISIE!BX177</f>
        <v/>
      </c>
      <c r="G179" s="18">
        <f>SAISIE!BW177</f>
        <v/>
      </c>
    </row>
    <row r="180">
      <c r="C180" s="16">
        <f>SAISIE!$B178</f>
        <v/>
      </c>
      <c r="D180" s="17">
        <f>SAISIE!$C178</f>
        <v/>
      </c>
      <c r="E180" s="18">
        <f>SAISIE!BV178</f>
        <v/>
      </c>
      <c r="F180" s="18">
        <f>SAISIE!BX178</f>
        <v/>
      </c>
      <c r="G180" s="18">
        <f>SAISIE!BW178</f>
        <v/>
      </c>
    </row>
    <row r="181">
      <c r="C181" s="16">
        <f>SAISIE!$B179</f>
        <v/>
      </c>
      <c r="D181" s="17">
        <f>SAISIE!$C179</f>
        <v/>
      </c>
      <c r="E181" s="18">
        <f>SAISIE!BV179</f>
        <v/>
      </c>
      <c r="F181" s="18">
        <f>SAISIE!BX179</f>
        <v/>
      </c>
      <c r="G181" s="18">
        <f>SAISIE!BW179</f>
        <v/>
      </c>
    </row>
    <row r="182">
      <c r="C182" s="16">
        <f>SAISIE!B180</f>
        <v/>
      </c>
      <c r="D182" s="17">
        <f>SAISIE!$C180</f>
        <v/>
      </c>
      <c r="E182" s="18">
        <f>SAISIE!BV180</f>
        <v/>
      </c>
      <c r="F182" s="18">
        <f>SAISIE!BX180</f>
        <v/>
      </c>
      <c r="G182" s="18">
        <f>SAISIE!BW180</f>
        <v/>
      </c>
    </row>
    <row r="183">
      <c r="C183" s="16">
        <f>SAISIE!B181</f>
        <v/>
      </c>
      <c r="D183" s="17">
        <f>SAISIE!$C181</f>
        <v/>
      </c>
      <c r="E183" s="18">
        <f>SAISIE!BV181</f>
        <v/>
      </c>
      <c r="F183" s="18">
        <f>SAISIE!BX181</f>
        <v/>
      </c>
      <c r="G183" s="18">
        <f>SAISIE!BW181</f>
        <v/>
      </c>
    </row>
    <row r="184">
      <c r="C184" s="16">
        <f>SAISIE!$B182</f>
        <v/>
      </c>
      <c r="D184" s="17">
        <f>SAISIE!$C182</f>
        <v/>
      </c>
      <c r="E184" s="18">
        <f>SAISIE!BV182</f>
        <v/>
      </c>
      <c r="F184" s="18">
        <f>SAISIE!BX182</f>
        <v/>
      </c>
      <c r="G184" s="18">
        <f>SAISIE!BW182</f>
        <v/>
      </c>
    </row>
    <row r="185">
      <c r="C185" s="16">
        <f>SAISIE!$B183</f>
        <v/>
      </c>
      <c r="D185" s="17">
        <f>SAISIE!$C183</f>
        <v/>
      </c>
      <c r="E185" s="18">
        <f>SAISIE!BV183</f>
        <v/>
      </c>
      <c r="F185" s="18">
        <f>SAISIE!BX183</f>
        <v/>
      </c>
      <c r="G185" s="18">
        <f>SAISIE!BW183</f>
        <v/>
      </c>
    </row>
    <row r="186">
      <c r="C186" s="16">
        <f>SAISIE!B184</f>
        <v/>
      </c>
      <c r="D186" s="17">
        <f>SAISIE!$C184</f>
        <v/>
      </c>
      <c r="E186" s="18">
        <f>SAISIE!BV184</f>
        <v/>
      </c>
      <c r="F186" s="18">
        <f>SAISIE!BX184</f>
        <v/>
      </c>
      <c r="G186" s="18">
        <f>SAISIE!BW184</f>
        <v/>
      </c>
    </row>
    <row r="187">
      <c r="C187" s="16">
        <f>SAISIE!B185</f>
        <v/>
      </c>
      <c r="D187" s="17">
        <f>SAISIE!$C185</f>
        <v/>
      </c>
      <c r="E187" s="18">
        <f>SAISIE!BV185</f>
        <v/>
      </c>
      <c r="F187" s="18">
        <f>SAISIE!BX185</f>
        <v/>
      </c>
      <c r="G187" s="18">
        <f>SAISIE!BW185</f>
        <v/>
      </c>
    </row>
    <row r="188">
      <c r="C188" s="16">
        <f>SAISIE!$B186</f>
        <v/>
      </c>
      <c r="D188" s="17">
        <f>SAISIE!$C186</f>
        <v/>
      </c>
      <c r="E188" s="18">
        <f>SAISIE!BV186</f>
        <v/>
      </c>
      <c r="F188" s="18">
        <f>SAISIE!BX186</f>
        <v/>
      </c>
      <c r="G188" s="18">
        <f>SAISIE!BW186</f>
        <v/>
      </c>
    </row>
    <row r="189">
      <c r="C189" s="16">
        <f>SAISIE!$B187</f>
        <v/>
      </c>
      <c r="D189" s="17">
        <f>SAISIE!$C187</f>
        <v/>
      </c>
      <c r="E189" s="18">
        <f>SAISIE!BV187</f>
        <v/>
      </c>
      <c r="F189" s="18">
        <f>SAISIE!BX187</f>
        <v/>
      </c>
      <c r="G189" s="18">
        <f>SAISIE!BW187</f>
        <v/>
      </c>
    </row>
    <row r="190">
      <c r="C190" s="16">
        <f>SAISIE!B188</f>
        <v/>
      </c>
      <c r="D190" s="17">
        <f>SAISIE!$C188</f>
        <v/>
      </c>
      <c r="E190" s="18">
        <f>SAISIE!BV188</f>
        <v/>
      </c>
      <c r="F190" s="18">
        <f>SAISIE!BX188</f>
        <v/>
      </c>
      <c r="G190" s="18">
        <f>SAISIE!BW188</f>
        <v/>
      </c>
    </row>
    <row r="191">
      <c r="C191" s="16">
        <f>SAISIE!B189</f>
        <v/>
      </c>
      <c r="D191" s="17">
        <f>SAISIE!$C189</f>
        <v/>
      </c>
      <c r="E191" s="18">
        <f>SAISIE!BV189</f>
        <v/>
      </c>
      <c r="F191" s="18">
        <f>SAISIE!BX189</f>
        <v/>
      </c>
      <c r="G191" s="18">
        <f>SAISIE!BW189</f>
        <v/>
      </c>
    </row>
    <row r="192">
      <c r="C192" s="16">
        <f>SAISIE!$B190</f>
        <v/>
      </c>
      <c r="D192" s="17">
        <f>SAISIE!$C190</f>
        <v/>
      </c>
      <c r="E192" s="18">
        <f>SAISIE!BV190</f>
        <v/>
      </c>
      <c r="F192" s="18">
        <f>SAISIE!BX190</f>
        <v/>
      </c>
      <c r="G192" s="18">
        <f>SAISIE!BW190</f>
        <v/>
      </c>
    </row>
    <row r="193">
      <c r="C193" s="16">
        <f>SAISIE!$B191</f>
        <v/>
      </c>
      <c r="D193" s="17">
        <f>SAISIE!$C191</f>
        <v/>
      </c>
      <c r="E193" s="18">
        <f>SAISIE!BV191</f>
        <v/>
      </c>
      <c r="F193" s="18">
        <f>SAISIE!BX191</f>
        <v/>
      </c>
      <c r="G193" s="18">
        <f>SAISIE!BW191</f>
        <v/>
      </c>
    </row>
    <row r="194">
      <c r="C194" s="16">
        <f>SAISIE!B192</f>
        <v/>
      </c>
      <c r="D194" s="17">
        <f>SAISIE!$C192</f>
        <v/>
      </c>
      <c r="E194" s="18">
        <f>SAISIE!BV192</f>
        <v/>
      </c>
      <c r="F194" s="18">
        <f>SAISIE!BX192</f>
        <v/>
      </c>
      <c r="G194" s="18">
        <f>SAISIE!BW192</f>
        <v/>
      </c>
    </row>
    <row r="195">
      <c r="C195" s="16">
        <f>SAISIE!B193</f>
        <v/>
      </c>
      <c r="D195" s="17">
        <f>SAISIE!$C193</f>
        <v/>
      </c>
      <c r="E195" s="18">
        <f>SAISIE!BV193</f>
        <v/>
      </c>
      <c r="F195" s="18">
        <f>SAISIE!BX193</f>
        <v/>
      </c>
      <c r="G195" s="18">
        <f>SAISIE!BW193</f>
        <v/>
      </c>
    </row>
    <row r="196">
      <c r="C196" s="16">
        <f>SAISIE!$B194</f>
        <v/>
      </c>
      <c r="D196" s="17">
        <f>SAISIE!$C194</f>
        <v/>
      </c>
      <c r="E196" s="18">
        <f>SAISIE!BV194</f>
        <v/>
      </c>
      <c r="F196" s="18">
        <f>SAISIE!BX194</f>
        <v/>
      </c>
      <c r="G196" s="18">
        <f>SAISIE!BW194</f>
        <v/>
      </c>
    </row>
    <row r="197">
      <c r="C197" s="16">
        <f>SAISIE!$B195</f>
        <v/>
      </c>
      <c r="D197" s="17">
        <f>SAISIE!$C195</f>
        <v/>
      </c>
      <c r="E197" s="18">
        <f>SAISIE!BV195</f>
        <v/>
      </c>
      <c r="F197" s="18">
        <f>SAISIE!BX195</f>
        <v/>
      </c>
      <c r="G197" s="18">
        <f>SAISIE!BW195</f>
        <v/>
      </c>
    </row>
    <row r="198">
      <c r="C198" s="16">
        <f>SAISIE!B196</f>
        <v/>
      </c>
      <c r="D198" s="17">
        <f>SAISIE!$C196</f>
        <v/>
      </c>
      <c r="E198" s="18">
        <f>SAISIE!BV196</f>
        <v/>
      </c>
      <c r="F198" s="18">
        <f>SAISIE!BX196</f>
        <v/>
      </c>
      <c r="G198" s="18">
        <f>SAISIE!BW196</f>
        <v/>
      </c>
    </row>
    <row r="199">
      <c r="C199" s="16">
        <f>SAISIE!B197</f>
        <v/>
      </c>
      <c r="D199" s="17">
        <f>SAISIE!$C197</f>
        <v/>
      </c>
      <c r="E199" s="18">
        <f>SAISIE!BV197</f>
        <v/>
      </c>
      <c r="F199" s="18">
        <f>SAISIE!BX197</f>
        <v/>
      </c>
      <c r="G199" s="18">
        <f>SAISIE!BW197</f>
        <v/>
      </c>
    </row>
    <row r="200">
      <c r="C200" s="16">
        <f>SAISIE!$B198</f>
        <v/>
      </c>
      <c r="D200" s="17">
        <f>SAISIE!$C198</f>
        <v/>
      </c>
      <c r="E200" s="18">
        <f>SAISIE!BV198</f>
        <v/>
      </c>
      <c r="F200" s="18">
        <f>SAISIE!BX198</f>
        <v/>
      </c>
      <c r="G200" s="18">
        <f>SAISIE!BW198</f>
        <v/>
      </c>
    </row>
    <row r="201">
      <c r="C201" s="16">
        <f>SAISIE!$B199</f>
        <v/>
      </c>
      <c r="D201" s="17">
        <f>SAISIE!$C199</f>
        <v/>
      </c>
      <c r="E201" s="18">
        <f>SAISIE!BV199</f>
        <v/>
      </c>
      <c r="F201" s="18">
        <f>SAISIE!BX199</f>
        <v/>
      </c>
      <c r="G201" s="18">
        <f>SAISIE!BW199</f>
        <v/>
      </c>
    </row>
    <row r="202">
      <c r="C202" s="16">
        <f>SAISIE!B200</f>
        <v/>
      </c>
      <c r="D202" s="17">
        <f>SAISIE!$C200</f>
        <v/>
      </c>
      <c r="E202" s="18">
        <f>SAISIE!BV200</f>
        <v/>
      </c>
      <c r="F202" s="18">
        <f>SAISIE!BX200</f>
        <v/>
      </c>
      <c r="G202" s="18">
        <f>SAISIE!BW200</f>
        <v/>
      </c>
    </row>
    <row r="203">
      <c r="C203" s="16">
        <f>SAISIE!B201</f>
        <v/>
      </c>
      <c r="D203" s="17">
        <f>SAISIE!$C201</f>
        <v/>
      </c>
      <c r="E203" s="18">
        <f>SAISIE!BV201</f>
        <v/>
      </c>
      <c r="F203" s="18">
        <f>SAISIE!BX201</f>
        <v/>
      </c>
      <c r="G203" s="18">
        <f>SAISIE!BW201</f>
        <v/>
      </c>
    </row>
    <row r="204">
      <c r="C204" s="16">
        <f>SAISIE!$B202</f>
        <v/>
      </c>
      <c r="D204" s="17">
        <f>SAISIE!$C202</f>
        <v/>
      </c>
      <c r="E204" s="18">
        <f>SAISIE!BV202</f>
        <v/>
      </c>
      <c r="F204" s="18">
        <f>SAISIE!BX202</f>
        <v/>
      </c>
      <c r="G204" s="18">
        <f>SAISIE!BW202</f>
        <v/>
      </c>
    </row>
    <row r="205">
      <c r="C205" s="16">
        <f>SAISIE!$B203</f>
        <v/>
      </c>
      <c r="D205" s="17">
        <f>SAISIE!$C203</f>
        <v/>
      </c>
      <c r="E205" s="18">
        <f>SAISIE!BV203</f>
        <v/>
      </c>
      <c r="F205" s="18">
        <f>SAISIE!BX203</f>
        <v/>
      </c>
      <c r="G205" s="18">
        <f>SAISIE!BW203</f>
        <v/>
      </c>
    </row>
    <row r="206">
      <c r="C206" s="16">
        <f>SAISIE!B204</f>
        <v/>
      </c>
      <c r="D206" s="17">
        <f>SAISIE!$C204</f>
        <v/>
      </c>
      <c r="E206" s="18">
        <f>SAISIE!BV204</f>
        <v/>
      </c>
      <c r="F206" s="18">
        <f>SAISIE!BX204</f>
        <v/>
      </c>
      <c r="G206" s="18">
        <f>SAISIE!BW204</f>
        <v/>
      </c>
    </row>
    <row r="207">
      <c r="C207" s="16">
        <f>SAISIE!B205</f>
        <v/>
      </c>
      <c r="D207" s="17">
        <f>SAISIE!$C205</f>
        <v/>
      </c>
      <c r="E207" s="18">
        <f>SAISIE!BV205</f>
        <v/>
      </c>
      <c r="F207" s="18">
        <f>SAISIE!BX205</f>
        <v/>
      </c>
      <c r="G207" s="18">
        <f>SAISIE!BW205</f>
        <v/>
      </c>
    </row>
    <row r="208">
      <c r="C208" s="16">
        <f>SAISIE!$B206</f>
        <v/>
      </c>
      <c r="D208" s="17">
        <f>SAISIE!$C206</f>
        <v/>
      </c>
      <c r="E208" s="18">
        <f>SAISIE!BV206</f>
        <v/>
      </c>
      <c r="F208" s="18">
        <f>SAISIE!BX206</f>
        <v/>
      </c>
      <c r="G208" s="18">
        <f>SAISIE!BW206</f>
        <v/>
      </c>
    </row>
    <row r="209">
      <c r="C209" s="16">
        <f>SAISIE!$B207</f>
        <v/>
      </c>
      <c r="D209" s="17">
        <f>SAISIE!$C207</f>
        <v/>
      </c>
      <c r="E209" s="18">
        <f>SAISIE!BV207</f>
        <v/>
      </c>
      <c r="F209" s="18">
        <f>SAISIE!BX207</f>
        <v/>
      </c>
      <c r="G209" s="18">
        <f>SAISIE!BW207</f>
        <v/>
      </c>
    </row>
    <row r="210">
      <c r="C210" s="16">
        <f>SAISIE!B208</f>
        <v/>
      </c>
      <c r="D210" s="17">
        <f>SAISIE!$C208</f>
        <v/>
      </c>
      <c r="E210" s="18">
        <f>SAISIE!BV208</f>
        <v/>
      </c>
      <c r="F210" s="18">
        <f>SAISIE!BX208</f>
        <v/>
      </c>
      <c r="G210" s="18">
        <f>SAISIE!BW208</f>
        <v/>
      </c>
    </row>
    <row r="211">
      <c r="C211" s="16">
        <f>SAISIE!B209</f>
        <v/>
      </c>
      <c r="D211" s="17">
        <f>SAISIE!$C209</f>
        <v/>
      </c>
      <c r="E211" s="18">
        <f>SAISIE!BV209</f>
        <v/>
      </c>
      <c r="F211" s="18">
        <f>SAISIE!BX209</f>
        <v/>
      </c>
      <c r="G211" s="18">
        <f>SAISIE!BW209</f>
        <v/>
      </c>
    </row>
    <row r="212">
      <c r="C212" s="16">
        <f>SAISIE!$B210</f>
        <v/>
      </c>
      <c r="D212" s="17">
        <f>SAISIE!$C210</f>
        <v/>
      </c>
      <c r="E212" s="18">
        <f>SAISIE!BV210</f>
        <v/>
      </c>
      <c r="F212" s="18">
        <f>SAISIE!BX210</f>
        <v/>
      </c>
      <c r="G212" s="18">
        <f>SAISIE!BW210</f>
        <v/>
      </c>
    </row>
    <row r="213">
      <c r="C213" s="16">
        <f>SAISIE!$B211</f>
        <v/>
      </c>
      <c r="D213" s="17">
        <f>SAISIE!$C211</f>
        <v/>
      </c>
      <c r="E213" s="18">
        <f>SAISIE!BV211</f>
        <v/>
      </c>
      <c r="F213" s="18">
        <f>SAISIE!BX211</f>
        <v/>
      </c>
      <c r="G213" s="18">
        <f>SAISIE!BW211</f>
        <v/>
      </c>
    </row>
    <row r="214">
      <c r="C214" s="16">
        <f>SAISIE!B212</f>
        <v/>
      </c>
      <c r="D214" s="17">
        <f>SAISIE!$C212</f>
        <v/>
      </c>
      <c r="E214" s="18">
        <f>SAISIE!BV212</f>
        <v/>
      </c>
      <c r="F214" s="18">
        <f>SAISIE!BX212</f>
        <v/>
      </c>
      <c r="G214" s="18">
        <f>SAISIE!BW212</f>
        <v/>
      </c>
    </row>
    <row r="215">
      <c r="C215" s="16">
        <f>SAISIE!B213</f>
        <v/>
      </c>
      <c r="D215" s="17">
        <f>SAISIE!$C213</f>
        <v/>
      </c>
      <c r="E215" s="18">
        <f>SAISIE!BV213</f>
        <v/>
      </c>
      <c r="F215" s="18">
        <f>SAISIE!BX213</f>
        <v/>
      </c>
      <c r="G215" s="18">
        <f>SAISIE!BW213</f>
        <v/>
      </c>
    </row>
    <row r="216">
      <c r="C216" s="16">
        <f>SAISIE!$B214</f>
        <v/>
      </c>
      <c r="D216" s="17">
        <f>SAISIE!$C214</f>
        <v/>
      </c>
      <c r="E216" s="18">
        <f>SAISIE!BV214</f>
        <v/>
      </c>
      <c r="F216" s="18">
        <f>SAISIE!BX214</f>
        <v/>
      </c>
      <c r="G216" s="18">
        <f>SAISIE!BW214</f>
        <v/>
      </c>
    </row>
    <row r="217">
      <c r="C217" s="16">
        <f>SAISIE!$B215</f>
        <v/>
      </c>
      <c r="D217" s="17">
        <f>SAISIE!$C215</f>
        <v/>
      </c>
      <c r="E217" s="18">
        <f>SAISIE!BV215</f>
        <v/>
      </c>
      <c r="F217" s="18">
        <f>SAISIE!BX215</f>
        <v/>
      </c>
      <c r="G217" s="18">
        <f>SAISIE!BW215</f>
        <v/>
      </c>
    </row>
    <row r="218">
      <c r="C218" s="16">
        <f>SAISIE!B216</f>
        <v/>
      </c>
      <c r="D218" s="17">
        <f>SAISIE!$C216</f>
        <v/>
      </c>
      <c r="E218" s="18">
        <f>SAISIE!BV216</f>
        <v/>
      </c>
      <c r="F218" s="18">
        <f>SAISIE!BX216</f>
        <v/>
      </c>
      <c r="G218" s="18">
        <f>SAISIE!BW216</f>
        <v/>
      </c>
    </row>
    <row r="219">
      <c r="C219" s="16">
        <f>SAISIE!B217</f>
        <v/>
      </c>
      <c r="D219" s="17">
        <f>SAISIE!$C217</f>
        <v/>
      </c>
      <c r="E219" s="18">
        <f>SAISIE!BV217</f>
        <v/>
      </c>
      <c r="F219" s="18">
        <f>SAISIE!BX217</f>
        <v/>
      </c>
      <c r="G219" s="18">
        <f>SAISIE!BW217</f>
        <v/>
      </c>
    </row>
    <row r="220">
      <c r="C220" s="16">
        <f>SAISIE!$B218</f>
        <v/>
      </c>
      <c r="D220" s="17">
        <f>SAISIE!$C218</f>
        <v/>
      </c>
      <c r="E220" s="18">
        <f>SAISIE!BV218</f>
        <v/>
      </c>
      <c r="F220" s="18">
        <f>SAISIE!BX218</f>
        <v/>
      </c>
      <c r="G220" s="18">
        <f>SAISIE!BW218</f>
        <v/>
      </c>
    </row>
    <row r="221">
      <c r="C221" s="16">
        <f>SAISIE!$B219</f>
        <v/>
      </c>
      <c r="D221" s="17">
        <f>SAISIE!$C219</f>
        <v/>
      </c>
      <c r="E221" s="18">
        <f>SAISIE!BV219</f>
        <v/>
      </c>
      <c r="F221" s="18">
        <f>SAISIE!BX219</f>
        <v/>
      </c>
      <c r="G221" s="18">
        <f>SAISIE!BW219</f>
        <v/>
      </c>
    </row>
    <row r="222">
      <c r="C222" s="16">
        <f>SAISIE!B220</f>
        <v/>
      </c>
      <c r="D222" s="17">
        <f>SAISIE!$C220</f>
        <v/>
      </c>
      <c r="E222" s="18">
        <f>SAISIE!BV220</f>
        <v/>
      </c>
      <c r="F222" s="18">
        <f>SAISIE!BX220</f>
        <v/>
      </c>
      <c r="G222" s="18">
        <f>SAISIE!BW220</f>
        <v/>
      </c>
    </row>
    <row r="223">
      <c r="C223" s="16">
        <f>SAISIE!B221</f>
        <v/>
      </c>
      <c r="D223" s="17">
        <f>SAISIE!$C221</f>
        <v/>
      </c>
      <c r="E223" s="18">
        <f>SAISIE!BV221</f>
        <v/>
      </c>
      <c r="F223" s="18">
        <f>SAISIE!BX221</f>
        <v/>
      </c>
      <c r="G223" s="18">
        <f>SAISIE!BW221</f>
        <v/>
      </c>
    </row>
    <row r="224">
      <c r="C224" s="16">
        <f>SAISIE!$B222</f>
        <v/>
      </c>
      <c r="D224" s="17">
        <f>SAISIE!$C222</f>
        <v/>
      </c>
      <c r="E224" s="18">
        <f>SAISIE!BV222</f>
        <v/>
      </c>
      <c r="F224" s="18">
        <f>SAISIE!BX222</f>
        <v/>
      </c>
      <c r="G224" s="18">
        <f>SAISIE!BW222</f>
        <v/>
      </c>
    </row>
    <row r="225">
      <c r="C225" s="16">
        <f>SAISIE!$B223</f>
        <v/>
      </c>
      <c r="D225" s="17">
        <f>SAISIE!$C223</f>
        <v/>
      </c>
      <c r="E225" s="18">
        <f>SAISIE!BV223</f>
        <v/>
      </c>
      <c r="F225" s="18">
        <f>SAISIE!BX223</f>
        <v/>
      </c>
      <c r="G225" s="18">
        <f>SAISIE!BW223</f>
        <v/>
      </c>
    </row>
    <row r="226">
      <c r="C226" s="16">
        <f>SAISIE!B224</f>
        <v/>
      </c>
      <c r="D226" s="17">
        <f>SAISIE!$C224</f>
        <v/>
      </c>
      <c r="E226" s="18">
        <f>SAISIE!BV224</f>
        <v/>
      </c>
      <c r="F226" s="18">
        <f>SAISIE!BX224</f>
        <v/>
      </c>
      <c r="G226" s="18">
        <f>SAISIE!BW224</f>
        <v/>
      </c>
    </row>
    <row r="227">
      <c r="C227" s="16">
        <f>SAISIE!B225</f>
        <v/>
      </c>
      <c r="D227" s="17">
        <f>SAISIE!$C225</f>
        <v/>
      </c>
      <c r="E227" s="18">
        <f>SAISIE!BV225</f>
        <v/>
      </c>
      <c r="F227" s="18">
        <f>SAISIE!BX225</f>
        <v/>
      </c>
      <c r="G227" s="18">
        <f>SAISIE!BW225</f>
        <v/>
      </c>
    </row>
    <row r="228">
      <c r="C228" s="16">
        <f>SAISIE!$B226</f>
        <v/>
      </c>
      <c r="D228" s="17">
        <f>SAISIE!$C226</f>
        <v/>
      </c>
      <c r="E228" s="18">
        <f>SAISIE!BV226</f>
        <v/>
      </c>
      <c r="F228" s="18">
        <f>SAISIE!BX226</f>
        <v/>
      </c>
      <c r="G228" s="18">
        <f>SAISIE!BW226</f>
        <v/>
      </c>
    </row>
    <row r="229">
      <c r="C229" s="16">
        <f>SAISIE!$B227</f>
        <v/>
      </c>
      <c r="D229" s="17">
        <f>SAISIE!$C227</f>
        <v/>
      </c>
      <c r="E229" s="18">
        <f>SAISIE!BV227</f>
        <v/>
      </c>
      <c r="F229" s="18">
        <f>SAISIE!BX227</f>
        <v/>
      </c>
      <c r="G229" s="18">
        <f>SAISIE!BW227</f>
        <v/>
      </c>
    </row>
    <row r="230">
      <c r="C230" s="16">
        <f>SAISIE!B228</f>
        <v/>
      </c>
      <c r="D230" s="17">
        <f>SAISIE!$C228</f>
        <v/>
      </c>
      <c r="E230" s="18">
        <f>SAISIE!BV228</f>
        <v/>
      </c>
      <c r="F230" s="18">
        <f>SAISIE!BX228</f>
        <v/>
      </c>
      <c r="G230" s="18">
        <f>SAISIE!BW228</f>
        <v/>
      </c>
    </row>
    <row r="231">
      <c r="C231" s="16">
        <f>SAISIE!B229</f>
        <v/>
      </c>
      <c r="D231" s="17">
        <f>SAISIE!$C229</f>
        <v/>
      </c>
      <c r="E231" s="18">
        <f>SAISIE!BV229</f>
        <v/>
      </c>
      <c r="F231" s="18">
        <f>SAISIE!BX229</f>
        <v/>
      </c>
      <c r="G231" s="18">
        <f>SAISIE!BW229</f>
        <v/>
      </c>
    </row>
    <row r="232">
      <c r="C232" s="16">
        <f>SAISIE!$B230</f>
        <v/>
      </c>
      <c r="D232" s="17">
        <f>SAISIE!$C230</f>
        <v/>
      </c>
      <c r="E232" s="18">
        <f>SAISIE!BV230</f>
        <v/>
      </c>
      <c r="F232" s="18">
        <f>SAISIE!BX230</f>
        <v/>
      </c>
      <c r="G232" s="18">
        <f>SAISIE!BW230</f>
        <v/>
      </c>
    </row>
    <row r="233">
      <c r="C233" s="16">
        <f>SAISIE!$B231</f>
        <v/>
      </c>
      <c r="D233" s="17">
        <f>SAISIE!$C231</f>
        <v/>
      </c>
      <c r="E233" s="18">
        <f>SAISIE!BV231</f>
        <v/>
      </c>
      <c r="F233" s="18">
        <f>SAISIE!BX231</f>
        <v/>
      </c>
      <c r="G233" s="18">
        <f>SAISIE!BW231</f>
        <v/>
      </c>
    </row>
    <row r="234">
      <c r="C234" s="16">
        <f>SAISIE!B232</f>
        <v/>
      </c>
      <c r="D234" s="17">
        <f>SAISIE!$C232</f>
        <v/>
      </c>
      <c r="E234" s="18">
        <f>SAISIE!BV232</f>
        <v/>
      </c>
      <c r="F234" s="18">
        <f>SAISIE!BX232</f>
        <v/>
      </c>
      <c r="G234" s="18">
        <f>SAISIE!BW232</f>
        <v/>
      </c>
    </row>
  </sheetData>
  <pageMargins left="0.7" right="0.7" top="0.75" bottom="0.75" header="0.3" footer="0.3"/>
  <pageSetup orientation="landscape" paperSize="9" scale="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2019-03-27T14:48:59Z</dcterms:created>
  <dcterms:modified xsi:type="dcterms:W3CDTF">2026-02-24T09:49:35Z</dcterms:modified>
  <cp:lastModifiedBy>Oscar De Haut de Sigy</cp:lastModifiedBy>
  <cp:lastPrinted>2026-01-06T15:40:05Z</cp:lastPrinted>
</cp:coreProperties>
</file>