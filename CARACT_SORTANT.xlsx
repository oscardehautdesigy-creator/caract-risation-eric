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SAISIE" sheetId="1" state="visible" r:id="rId1"/>
    <sheet name="PLANNING" sheetId="2" state="hidden" r:id="rId2"/>
    <sheet name="BILAN" sheetId="3" state="visible" r:id="rId3"/>
    <sheet name="FICHE" sheetId="4" state="hidden" r:id="rId4"/>
    <sheet name="CARACT" sheetId="5" state="hidden" r:id="rId5"/>
    <sheet name="FICHE a imprimer" sheetId="6" state="hidden" r:id="rId6"/>
    <sheet name="BDD" sheetId="7" state="hidden" r:id="rId7"/>
    <sheet name="JRM" sheetId="8" state="hidden" r:id="rId8"/>
    <sheet name="EMR" sheetId="9" state="hidden" r:id="rId9"/>
    <sheet name="GM" sheetId="10" state="hidden" r:id="rId10"/>
    <sheet name="Q7" sheetId="11" state="hidden" r:id="rId11"/>
    <sheet name="Q8" sheetId="12" state="hidden" r:id="rId12"/>
    <sheet name="PEPPPS" sheetId="13" state="hidden" r:id="rId13"/>
    <sheet name="Films" sheetId="14" state="hidden" r:id="rId14"/>
    <sheet name="ELA" sheetId="15" state="hidden" r:id="rId15"/>
    <sheet name="REFUS" sheetId="16" state="hidden" r:id="rId16"/>
    <sheet name="Feuil4" sheetId="17" state="hidden" r:id="rId17"/>
    <sheet name="Fines (6B)" sheetId="18" state="hidden" r:id="rId18"/>
    <sheet name="CSMM" sheetId="19" state="hidden" r:id="rId19"/>
    <sheet name="Rapport sur la compatibilité" sheetId="20" state="hidden" r:id="rId20"/>
  </sheets>
  <definedNames>
    <definedName name="_xlnm.Print_Area" localSheetId="2">'BILAN'!$A$67:$BN$188</definedName>
    <definedName name="_xlnm.Print_Area" localSheetId="3">'FICHE'!$B$2:$H$40</definedName>
    <definedName name="_xlnm.Print_Area" localSheetId="5">'FICHE a imprimer'!$B$2:$H$40</definedName>
    <definedName name="_xlnm._FilterDatabase" localSheetId="7" hidden="1">'JRM'!$A$2:$Q$181</definedName>
    <definedName name="_xlnm._FilterDatabase" localSheetId="8" hidden="1">'EMR'!$A$1:$P$96</definedName>
    <definedName name="_xlnm._FilterDatabase" localSheetId="9" hidden="1">'GM'!$A$1:$O$41</definedName>
    <definedName name="_xlnm._FilterDatabase" localSheetId="10" hidden="1">'Q7'!$A$1:$AM$63</definedName>
    <definedName name="_xlnm._FilterDatabase" localSheetId="11" hidden="1">'Q8'!$A$1:$AM$68</definedName>
    <definedName name="_xlnm._FilterDatabase" localSheetId="12" hidden="1">'PEPPPS'!$A$1:$AK$36</definedName>
    <definedName name="_xlnm._FilterDatabase" localSheetId="13" hidden="1">'Films'!$A$1:$AI$1</definedName>
    <definedName name="_xlnm._FilterDatabase" localSheetId="14" hidden="1">'ELA'!$A$1:$AF$30</definedName>
    <definedName name="_xlnm._FilterDatabase" localSheetId="15" hidden="1">'REFUS'!$A$1:$AE$30</definedName>
  </definedNames>
  <calcPr calcId="191029" fullCalcOnLoad="1"/>
</workbook>
</file>

<file path=xl/styles.xml><?xml version="1.0" encoding="utf-8"?>
<styleSheet xmlns="http://schemas.openxmlformats.org/spreadsheetml/2006/main">
  <numFmts count="3">
    <numFmt numFmtId="164" formatCode="0.0%"/>
    <numFmt numFmtId="165" formatCode="_-* #,##0.00\ _F_-;\-* #,##0.00\ _F_-;_-* &quot;-&quot;??\ _F_-;_-@_-"/>
    <numFmt numFmtId="166" formatCode="_-* #,##0\ _F_-;\-* #,##0\ _F_-;_-* &quot;-&quot;??\ _F_-;_-@_-"/>
  </numFmts>
  <fonts count="34">
    <font>
      <name val="Arial"/>
      <sz val="10"/>
    </font>
    <font>
      <name val="Arial"/>
      <family val="2"/>
      <sz val="14"/>
    </font>
    <font>
      <name val="Arial"/>
      <family val="2"/>
      <sz val="10"/>
    </font>
    <font>
      <name val="Arial"/>
      <family val="2"/>
      <sz val="12"/>
    </font>
    <font>
      <name val="Arial"/>
      <family val="2"/>
      <b val="1"/>
      <sz val="12"/>
    </font>
    <font>
      <name val="Arial"/>
      <family val="2"/>
      <b val="1"/>
      <sz val="14"/>
    </font>
    <font>
      <name val="Arial"/>
      <family val="2"/>
      <b val="1"/>
      <sz val="10"/>
    </font>
    <font>
      <name val="Arial"/>
      <family val="2"/>
      <b val="1"/>
      <sz val="18"/>
    </font>
    <font>
      <name val="Arial"/>
      <family val="2"/>
      <b val="1"/>
      <sz val="16"/>
    </font>
    <font>
      <name val="Arial"/>
      <family val="2"/>
      <b val="1"/>
      <sz val="22"/>
    </font>
    <font>
      <name val="Arial"/>
      <family val="2"/>
      <sz val="11"/>
    </font>
    <font>
      <name val="Arial"/>
      <family val="2"/>
      <b val="1"/>
      <sz val="11"/>
    </font>
    <font>
      <name val="Calibri"/>
      <family val="2"/>
      <b val="1"/>
      <sz val="11"/>
    </font>
    <font>
      <name val="Calibri"/>
      <family val="2"/>
      <sz val="11"/>
    </font>
    <font>
      <name val="Calibri"/>
      <charset val="1"/>
      <family val="2"/>
      <color indexed="8"/>
      <sz val="11"/>
    </font>
    <font>
      <name val="Calibri"/>
      <charset val="1"/>
      <family val="2"/>
      <b val="1"/>
      <color indexed="8"/>
      <sz val="13"/>
    </font>
    <font>
      <name val="Arial"/>
      <family val="2"/>
      <b val="1"/>
      <sz val="10"/>
      <u val="single"/>
    </font>
    <font>
      <name val="Arial"/>
      <family val="2"/>
      <b val="1"/>
      <sz val="12"/>
      <u val="single"/>
    </font>
    <font>
      <name val="Arial"/>
      <family val="2"/>
      <sz val="10"/>
    </font>
    <font>
      <name val="Calibri"/>
      <family val="2"/>
      <color theme="1"/>
      <sz val="11"/>
      <scheme val="minor"/>
    </font>
    <font>
      <name val="Calibri"/>
      <family val="2"/>
      <b val="1"/>
      <color theme="1"/>
      <sz val="11"/>
      <scheme val="minor"/>
    </font>
    <font>
      <name val="Calibri"/>
      <family val="2"/>
      <b val="1"/>
      <color rgb="FF000000"/>
      <sz val="10"/>
    </font>
    <font>
      <name val="Calibri"/>
      <family val="2"/>
      <color rgb="FF000000"/>
      <sz val="10"/>
    </font>
    <font>
      <name val="Calibri"/>
      <family val="2"/>
      <b val="1"/>
      <color rgb="FF000000"/>
      <sz val="11"/>
    </font>
    <font>
      <name val="Arial"/>
      <family val="2"/>
      <color theme="0"/>
      <sz val="10"/>
    </font>
    <font>
      <name val="Calibri"/>
      <family val="2"/>
      <b val="1"/>
      <sz val="16"/>
      <scheme val="minor"/>
    </font>
    <font>
      <name val="Calibri"/>
      <family val="2"/>
      <b val="1"/>
      <color theme="1"/>
      <sz val="18"/>
      <scheme val="minor"/>
    </font>
    <font>
      <name val="Arial"/>
      <family val="2"/>
      <color rgb="FFFF0000"/>
      <sz val="10"/>
    </font>
    <font>
      <name val="Calibri"/>
      <family val="2"/>
      <b val="1"/>
      <color theme="1"/>
      <sz val="26"/>
      <u val="single"/>
      <scheme val="minor"/>
    </font>
    <font>
      <name val="Calibri"/>
      <family val="2"/>
      <b val="1"/>
      <color rgb="FF000000"/>
      <sz val="10"/>
      <scheme val="minor"/>
    </font>
    <font>
      <name val="Calibri"/>
      <family val="2"/>
      <color rgb="FF000000"/>
      <sz val="10"/>
      <scheme val="minor"/>
    </font>
    <font>
      <name val="Calibri"/>
      <family val="2"/>
      <sz val="10"/>
      <scheme val="minor"/>
    </font>
    <font>
      <name val="Calibri"/>
      <family val="2"/>
      <color rgb="FFFFC000"/>
      <sz val="11"/>
      <scheme val="minor"/>
    </font>
    <font>
      <name val="Calibri"/>
      <family val="2"/>
      <b val="1"/>
      <color rgb="FF000000"/>
      <sz val="20"/>
    </font>
  </fonts>
  <fills count="27">
    <fill>
      <patternFill/>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C6D9F0"/>
        <bgColor rgb="FFC6D9F0"/>
      </patternFill>
    </fill>
    <fill>
      <patternFill patternType="solid">
        <fgColor theme="3" tint="0.3999755851924192"/>
        <bgColor rgb="FFC6D9F0"/>
      </patternFill>
    </fill>
    <fill>
      <patternFill patternType="solid">
        <fgColor rgb="FFFFEAA7"/>
        <bgColor indexed="64"/>
      </patternFill>
    </fill>
    <fill>
      <patternFill patternType="solid">
        <fgColor rgb="FFC00000"/>
        <bgColor rgb="FFE36C09"/>
      </patternFill>
    </fill>
    <fill>
      <patternFill patternType="solid">
        <fgColor rgb="FFFAC090"/>
        <bgColor indexed="64"/>
      </patternFill>
    </fill>
    <fill>
      <patternFill patternType="solid">
        <fgColor rgb="FFFFB9B9"/>
        <bgColor indexed="64"/>
      </patternFill>
    </fill>
    <fill>
      <patternFill patternType="solid">
        <fgColor theme="2" tint="-0.09997863704336681"/>
        <bgColor indexed="64"/>
      </patternFill>
    </fill>
    <fill>
      <patternFill patternType="solid">
        <fgColor theme="8" tint="0.3999755851924192"/>
        <bgColor indexed="64"/>
      </patternFill>
    </fill>
    <fill>
      <patternFill patternType="solid">
        <fgColor rgb="FF0070C0"/>
        <bgColor indexed="64"/>
      </patternFill>
    </fill>
    <fill>
      <patternFill patternType="solid">
        <fgColor theme="9" tint="-0.249977111117893"/>
        <bgColor indexed="64"/>
      </patternFill>
    </fill>
    <fill>
      <patternFill patternType="solid">
        <fgColor rgb="FFC00000"/>
        <bgColor indexed="64"/>
      </patternFill>
    </fill>
    <fill>
      <patternFill patternType="solid">
        <fgColor rgb="FF00B050"/>
        <bgColor indexed="64"/>
      </patternFill>
    </fill>
    <fill>
      <patternFill patternType="lightUp">
        <fgColor rgb="FFFFC000"/>
        <bgColor theme="0"/>
      </patternFill>
    </fill>
    <fill>
      <patternFill patternType="solid">
        <fgColor theme="7" tint="0.5999938962981048"/>
        <bgColor indexed="64"/>
      </patternFill>
    </fill>
    <fill>
      <patternFill patternType="solid">
        <fgColor theme="4"/>
        <bgColor indexed="64"/>
      </patternFill>
    </fill>
    <fill>
      <patternFill patternType="solid">
        <fgColor rgb="FF548DD4"/>
        <bgColor rgb="FF548DD4"/>
      </patternFill>
    </fill>
    <fill>
      <patternFill patternType="solid">
        <fgColor rgb="FFE36C09"/>
        <bgColor rgb="FFE36C09"/>
      </patternFill>
    </fill>
    <fill>
      <patternFill patternType="solid">
        <fgColor rgb="FFFFB9B9"/>
        <bgColor rgb="FFFABF8F"/>
      </patternFill>
    </fill>
    <fill>
      <patternFill patternType="solid">
        <fgColor rgb="FFFFC000"/>
        <bgColor rgb="FF548DD4"/>
      </patternFill>
    </fill>
  </fills>
  <borders count="51">
    <border>
      <left/>
      <right/>
      <top/>
      <bottom/>
      <diagonal/>
    </border>
    <border>
      <left style="thin">
        <color indexed="64"/>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hair">
        <color indexed="8"/>
      </top>
      <bottom/>
      <diagonal/>
    </border>
    <border>
      <left/>
      <right style="hair">
        <color indexed="8"/>
      </right>
      <top style="hair">
        <color indexed="8"/>
      </top>
      <bottom/>
      <diagonal/>
    </border>
    <border>
      <left style="hair">
        <color indexed="8"/>
      </left>
      <right/>
      <top/>
      <bottom/>
      <diagonal/>
    </border>
    <border>
      <left/>
      <right style="hair">
        <color indexed="8"/>
      </right>
      <top/>
      <bottom/>
      <diagonal/>
    </border>
    <border>
      <left style="hair">
        <color indexed="8"/>
      </left>
      <right/>
      <top/>
      <bottom style="hair">
        <color indexed="8"/>
      </bottom>
      <diagonal/>
    </border>
    <border>
      <left/>
      <right/>
      <top/>
      <bottom style="hair">
        <color indexed="8"/>
      </bottom>
      <diagonal/>
    </border>
    <border>
      <left/>
      <right style="hair">
        <color indexed="8"/>
      </right>
      <top/>
      <bottom style="hair">
        <color indexed="8"/>
      </bottom>
      <diagonal/>
    </border>
    <border>
      <left/>
      <right style="medium">
        <color indexed="64"/>
      </right>
      <top style="medium">
        <color indexed="64"/>
      </top>
      <bottom style="medium">
        <color indexed="64"/>
      </bottom>
      <diagonal/>
    </border>
    <border>
      <left style="thick">
        <color rgb="FF000000"/>
      </left>
      <right style="hair">
        <color indexed="64"/>
      </right>
      <top style="hair">
        <color indexed="64"/>
      </top>
      <bottom style="hair">
        <color indexed="64"/>
      </bottom>
      <diagonal/>
    </border>
    <border>
      <left style="thick">
        <color rgb="FF000000"/>
      </left>
      <right style="hair">
        <color indexed="64"/>
      </right>
      <top style="hair">
        <color indexed="64"/>
      </top>
      <bottom/>
      <diagonal/>
    </border>
    <border>
      <left style="thin">
        <color rgb="FF000000"/>
      </left>
      <right style="thin">
        <color rgb="FF000000"/>
      </right>
      <top style="thin">
        <color rgb="FF000000"/>
      </top>
      <bottom/>
      <diagonal/>
    </border>
    <border>
      <left style="thick">
        <color rgb="FFC00000"/>
      </left>
      <right/>
      <top/>
      <bottom/>
      <diagonal/>
    </border>
    <border>
      <left/>
      <right style="thin">
        <color rgb="FF000000"/>
      </right>
      <top style="thin">
        <color rgb="FF000000"/>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hair">
        <color indexed="8"/>
      </left>
      <right style="hair">
        <color indexed="8"/>
      </right>
      <top style="hair">
        <color indexed="8"/>
      </top>
      <bottom style="hair">
        <color indexed="8"/>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right style="thin">
        <color rgb="FF000000"/>
      </right>
      <top style="thin">
        <color rgb="FF000000"/>
      </top>
      <bottom/>
      <diagonal/>
    </border>
  </borders>
  <cellStyleXfs count="5">
    <xf numFmtId="0" fontId="0" fillId="0" borderId="0"/>
    <xf numFmtId="0" fontId="14" fillId="0" borderId="0"/>
    <xf numFmtId="165" fontId="18" fillId="0" borderId="0"/>
    <xf numFmtId="0" fontId="19" fillId="0" borderId="0"/>
    <xf numFmtId="9" fontId="18" fillId="0" borderId="0"/>
  </cellStyleXfs>
  <cellXfs count="314">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2" fontId="3" fillId="0" borderId="1" pivotButton="0" quotePrefix="1" xfId="0"/>
    <xf numFmtId="0" fontId="3" fillId="2" borderId="0" applyAlignment="1" pivotButton="0" quotePrefix="0" xfId="0">
      <alignment horizontal="center"/>
    </xf>
    <xf numFmtId="0" fontId="3" fillId="2" borderId="0" applyAlignment="1" pivotButton="0" quotePrefix="0" xfId="0">
      <alignment horizontal="center" wrapText="1"/>
    </xf>
    <xf numFmtId="2" fontId="0" fillId="0" borderId="0" pivotButton="0" quotePrefix="0" xfId="0"/>
    <xf numFmtId="16" fontId="0" fillId="0" borderId="0" pivotButton="0" quotePrefix="0" xfId="0"/>
    <xf numFmtId="14" fontId="0" fillId="0" borderId="0" pivotButton="0" quotePrefix="0" xfId="0"/>
    <xf numFmtId="14" fontId="3" fillId="0" borderId="0" pivotButton="0" quotePrefix="0" xfId="0"/>
    <xf numFmtId="14" fontId="0" fillId="0" borderId="0" applyAlignment="1" pivotButton="0" quotePrefix="0" xfId="0">
      <alignment horizontal="right"/>
    </xf>
    <xf numFmtId="2" fontId="3" fillId="0" borderId="0" pivotButton="0" quotePrefix="0" xfId="0"/>
    <xf numFmtId="14" fontId="0" fillId="3" borderId="0" pivotButton="0" quotePrefix="0" xfId="0"/>
    <xf numFmtId="0" fontId="0" fillId="3" borderId="0" pivotButton="0" quotePrefix="0" xfId="0"/>
    <xf numFmtId="14" fontId="3" fillId="0" borderId="0" applyAlignment="1" pivotButton="0" quotePrefix="0" xfId="0">
      <alignment horizontal="right"/>
    </xf>
    <xf numFmtId="0" fontId="5"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3" applyAlignment="1" pivotButton="0" quotePrefix="0" xfId="0">
      <alignment horizontal="center" vertical="top" wrapText="1"/>
    </xf>
    <xf numFmtId="0" fontId="0" fillId="0" borderId="4" applyAlignment="1" pivotButton="0" quotePrefix="0" xfId="0">
      <alignment horizontal="center" vertical="top" wrapText="1"/>
    </xf>
    <xf numFmtId="0" fontId="7" fillId="2" borderId="0" applyAlignment="1" pivotButton="0" quotePrefix="0" xfId="0">
      <alignment vertical="center"/>
    </xf>
    <xf numFmtId="0" fontId="0" fillId="2" borderId="0" pivotButton="0" quotePrefix="0" xfId="0"/>
    <xf numFmtId="0" fontId="3" fillId="2" borderId="0" pivotButton="0" quotePrefix="0" xfId="0"/>
    <xf numFmtId="2" fontId="3" fillId="2" borderId="0" pivotButton="0" quotePrefix="0" xfId="0"/>
    <xf numFmtId="0" fontId="4" fillId="4" borderId="0" applyAlignment="1" pivotButton="0" quotePrefix="0" xfId="0">
      <alignment horizontal="center" vertical="center" wrapText="1"/>
    </xf>
    <xf numFmtId="0" fontId="1" fillId="0" borderId="0" pivotButton="0" quotePrefix="0" xfId="0"/>
    <xf numFmtId="0" fontId="5"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2"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2" borderId="0" applyAlignment="1" pivotButton="0" quotePrefix="0" xfId="0">
      <alignment horizontal="center" vertical="center"/>
    </xf>
    <xf numFmtId="0" fontId="7" fillId="0" borderId="5" applyAlignment="1" pivotButton="0" quotePrefix="0" xfId="0">
      <alignment horizontal="center" vertical="center"/>
    </xf>
    <xf numFmtId="0" fontId="8"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5" fillId="2" borderId="0" applyAlignment="1" pivotButton="0" quotePrefix="0" xfId="0">
      <alignment horizontal="center" wrapText="1"/>
    </xf>
    <xf numFmtId="164" fontId="0" fillId="0" borderId="0" pivotButton="0" quotePrefix="0" xfId="4"/>
    <xf numFmtId="164" fontId="5" fillId="0" borderId="0" applyAlignment="1" pivotButton="0" quotePrefix="0" xfId="4">
      <alignment horizontal="center" vertical="center"/>
    </xf>
    <xf numFmtId="164" fontId="8" fillId="0" borderId="0" applyAlignment="1" pivotButton="0" quotePrefix="0" xfId="4">
      <alignment horizontal="center" vertical="center"/>
    </xf>
    <xf numFmtId="164" fontId="1" fillId="0" borderId="0" applyAlignment="1" pivotButton="0" quotePrefix="0" xfId="4">
      <alignment horizontal="center" vertical="center"/>
    </xf>
    <xf numFmtId="164" fontId="0" fillId="0" borderId="0" pivotButton="0" quotePrefix="0" xfId="0"/>
    <xf numFmtId="164" fontId="8" fillId="2" borderId="0" applyAlignment="1" pivotButton="0" quotePrefix="0" xfId="4">
      <alignment horizontal="center" vertical="center" wrapText="1"/>
    </xf>
    <xf numFmtId="164" fontId="8" fillId="6" borderId="0" applyAlignment="1" pivotButton="0" quotePrefix="0" xfId="4">
      <alignment horizontal="center" vertical="center" wrapText="1"/>
    </xf>
    <xf numFmtId="164" fontId="8" fillId="5" borderId="0" applyAlignment="1" pivotButton="0" quotePrefix="0" xfId="4">
      <alignment horizontal="center" vertical="center" wrapText="1"/>
    </xf>
    <xf numFmtId="164" fontId="5" fillId="4" borderId="0" applyAlignment="1" pivotButton="0" quotePrefix="0" xfId="4">
      <alignment horizontal="center" vertical="center" wrapText="1"/>
    </xf>
    <xf numFmtId="164" fontId="5" fillId="6" borderId="0" applyAlignment="1" pivotButton="0" quotePrefix="0" xfId="4">
      <alignment horizontal="center" vertical="center" wrapText="1"/>
    </xf>
    <xf numFmtId="164" fontId="4" fillId="4" borderId="0" applyAlignment="1" pivotButton="0" quotePrefix="0" xfId="4">
      <alignment horizontal="center" vertical="center" wrapText="1"/>
    </xf>
    <xf numFmtId="164" fontId="4" fillId="6" borderId="0" applyAlignment="1" pivotButton="0" quotePrefix="0" xfId="4">
      <alignment horizontal="center" vertical="center" wrapText="1"/>
    </xf>
    <xf numFmtId="164" fontId="8" fillId="4" borderId="0" applyAlignment="1" pivotButton="0" quotePrefix="0" xfId="4">
      <alignment horizontal="center" vertical="center" wrapText="1"/>
    </xf>
    <xf numFmtId="164" fontId="5" fillId="5" borderId="0" applyAlignment="1" pivotButton="0" quotePrefix="0" xfId="4">
      <alignment horizontal="center" vertical="center" wrapText="1"/>
    </xf>
    <xf numFmtId="164" fontId="5" fillId="2" borderId="0" applyAlignment="1" pivotButton="0" quotePrefix="0" xfId="4">
      <alignment horizontal="center" vertical="center" wrapText="1"/>
    </xf>
    <xf numFmtId="0" fontId="8" fillId="5" borderId="0" applyAlignment="1" pivotButton="0" quotePrefix="0" xfId="0">
      <alignment horizontal="center" vertical="center"/>
    </xf>
    <xf numFmtId="164" fontId="8" fillId="5" borderId="0" applyAlignment="1" pivotButton="0" quotePrefix="0" xfId="4">
      <alignment horizontal="center" vertical="center"/>
    </xf>
    <xf numFmtId="0" fontId="8" fillId="7" borderId="0" applyAlignment="1" pivotButton="0" quotePrefix="0" xfId="0">
      <alignment horizontal="center" vertical="center" wrapText="1"/>
    </xf>
    <xf numFmtId="2" fontId="3" fillId="0" borderId="0" pivotButton="0" quotePrefix="1" xfId="0"/>
    <xf numFmtId="9" fontId="0" fillId="0" borderId="0" pivotButton="0" quotePrefix="0" xfId="4"/>
    <xf numFmtId="14" fontId="1" fillId="0" borderId="0" pivotButton="0" quotePrefix="0" xfId="0"/>
    <xf numFmtId="164" fontId="3" fillId="0" borderId="1" pivotButton="0" quotePrefix="1" xfId="4"/>
    <xf numFmtId="164" fontId="3" fillId="0" borderId="0" pivotButton="0" quotePrefix="0" xfId="4"/>
    <xf numFmtId="14" fontId="2" fillId="0" borderId="0" pivotButton="0" quotePrefix="0" xfId="0"/>
    <xf numFmtId="0" fontId="2" fillId="0" borderId="0" pivotButton="0" quotePrefix="0" xfId="0"/>
    <xf numFmtId="14" fontId="10" fillId="0" borderId="0" pivotButton="0" quotePrefix="0" xfId="0"/>
    <xf numFmtId="0" fontId="7" fillId="2" borderId="0" applyAlignment="1" pivotButton="0" quotePrefix="0" xfId="0">
      <alignment horizontal="center" vertical="center"/>
    </xf>
    <xf numFmtId="164" fontId="7" fillId="0" borderId="0" applyAlignment="1" pivotButton="0" quotePrefix="0" xfId="0">
      <alignment horizontal="center" vertical="center"/>
    </xf>
    <xf numFmtId="10" fontId="3" fillId="0" borderId="1" pivotButton="0" quotePrefix="1" xfId="4"/>
    <xf numFmtId="9" fontId="5" fillId="5" borderId="0" applyAlignment="1" pivotButton="0" quotePrefix="0" xfId="4">
      <alignment horizontal="center" vertical="center" wrapText="1"/>
    </xf>
    <xf numFmtId="9" fontId="5" fillId="6" borderId="0" applyAlignment="1" pivotButton="0" quotePrefix="0" xfId="4">
      <alignment horizontal="center" vertical="center" wrapText="1"/>
    </xf>
    <xf numFmtId="9" fontId="5" fillId="2" borderId="0" applyAlignment="1" pivotButton="0" quotePrefix="0" xfId="4">
      <alignment horizontal="center" vertical="center" wrapText="1"/>
    </xf>
    <xf numFmtId="9" fontId="5" fillId="4" borderId="0" applyAlignment="1" pivotButton="0" quotePrefix="0" xfId="4">
      <alignment horizontal="center" vertical="center" wrapText="1"/>
    </xf>
    <xf numFmtId="164" fontId="4" fillId="0" borderId="0" applyAlignment="1" pivotButton="0" quotePrefix="0" xfId="4">
      <alignment horizontal="center"/>
    </xf>
    <xf numFmtId="10" fontId="3" fillId="0" borderId="0" pivotButton="0" quotePrefix="0" xfId="4"/>
    <xf numFmtId="164" fontId="1" fillId="0" borderId="1" applyAlignment="1" pivotButton="0" quotePrefix="1" xfId="4">
      <alignment horizontal="center" vertical="center"/>
    </xf>
    <xf numFmtId="164" fontId="3" fillId="0" borderId="1" applyAlignment="1" pivotButton="0" quotePrefix="1" xfId="4">
      <alignment horizontal="center"/>
    </xf>
    <xf numFmtId="164" fontId="3" fillId="0" borderId="0" pivotButton="0" quotePrefix="1" xfId="4"/>
    <xf numFmtId="10" fontId="1" fillId="0" borderId="1" applyAlignment="1" pivotButton="0" quotePrefix="1" xfId="4">
      <alignment horizontal="center" vertical="center"/>
    </xf>
    <xf numFmtId="10" fontId="8" fillId="0" borderId="0" applyAlignment="1" pivotButton="0" quotePrefix="0" xfId="4">
      <alignment horizontal="center" vertical="center"/>
    </xf>
    <xf numFmtId="10" fontId="1" fillId="0" borderId="0" applyAlignment="1" pivotButton="0" quotePrefix="0" xfId="4">
      <alignment horizontal="center" vertical="center"/>
    </xf>
    <xf numFmtId="10" fontId="3" fillId="0" borderId="1" applyAlignment="1" pivotButton="0" quotePrefix="1" xfId="4">
      <alignment horizontal="center"/>
    </xf>
    <xf numFmtId="10" fontId="3" fillId="0" borderId="0" pivotButton="0" quotePrefix="1" xfId="4"/>
    <xf numFmtId="0" fontId="4" fillId="2" borderId="0" applyAlignment="1" pivotButton="0" quotePrefix="0" xfId="0">
      <alignment horizontal="center"/>
    </xf>
    <xf numFmtId="0" fontId="8" fillId="2" borderId="0" applyAlignment="1" pivotButton="0" quotePrefix="0" xfId="0">
      <alignment horizontal="center"/>
    </xf>
    <xf numFmtId="164" fontId="8" fillId="0" borderId="0" applyAlignment="1" pivotButton="0" quotePrefix="0" xfId="4">
      <alignment horizontal="center"/>
    </xf>
    <xf numFmtId="164" fontId="4" fillId="0" borderId="0" applyAlignment="1" pivotButton="0" quotePrefix="0" xfId="0">
      <alignment horizontal="center"/>
    </xf>
    <xf numFmtId="164" fontId="3" fillId="0" borderId="0" pivotButton="0" quotePrefix="0" xfId="0"/>
    <xf numFmtId="164" fontId="11" fillId="0" borderId="0" applyAlignment="1" pivotButton="0" quotePrefix="0" xfId="0">
      <alignment horizontal="center"/>
    </xf>
    <xf numFmtId="0" fontId="4" fillId="2" borderId="0" applyAlignment="1" pivotButton="0" quotePrefix="0" xfId="0">
      <alignment horizontal="center" vertical="center" wrapText="1"/>
    </xf>
    <xf numFmtId="164" fontId="8" fillId="0" borderId="0" applyAlignment="1" pivotButton="0" quotePrefix="0" xfId="0">
      <alignment horizontal="center" vertical="center"/>
    </xf>
    <xf numFmtId="0" fontId="11" fillId="2" borderId="0" applyAlignment="1" pivotButton="0" quotePrefix="0" xfId="0">
      <alignment horizontal="center" vertical="center" wrapText="1"/>
    </xf>
    <xf numFmtId="0" fontId="8" fillId="2" borderId="0" applyAlignment="1" pivotButton="0" quotePrefix="0" xfId="0">
      <alignment horizontal="center" vertical="center"/>
    </xf>
    <xf numFmtId="0" fontId="2" fillId="0" borderId="0" applyAlignment="1" pivotButton="0" quotePrefix="0" xfId="0">
      <alignment horizontal="center"/>
    </xf>
    <xf numFmtId="164" fontId="11" fillId="0" borderId="0" applyAlignment="1" pivotButton="0" quotePrefix="0" xfId="0">
      <alignment horizontal="center" vertical="center"/>
    </xf>
    <xf numFmtId="164" fontId="8" fillId="0" borderId="0" applyAlignment="1" pivotButton="0" quotePrefix="0" xfId="0">
      <alignment horizontal="center"/>
    </xf>
    <xf numFmtId="0" fontId="3" fillId="0" borderId="0" applyAlignment="1" pivotButton="0" quotePrefix="0" xfId="0">
      <alignment horizontal="center"/>
    </xf>
    <xf numFmtId="0" fontId="6" fillId="0" borderId="0" applyAlignment="1" pivotButton="0" quotePrefix="0" xfId="0">
      <alignment horizontal="center"/>
    </xf>
    <xf numFmtId="165" fontId="3" fillId="0" borderId="0" pivotButton="0" quotePrefix="0" xfId="2"/>
    <xf numFmtId="164" fontId="8" fillId="7" borderId="0" applyAlignment="1" pivotButton="0" quotePrefix="0" xfId="4">
      <alignment horizontal="center" vertical="center" wrapText="1"/>
    </xf>
    <xf numFmtId="2" fontId="8" fillId="7" borderId="0" applyAlignment="1" pivotButton="0" quotePrefix="0" xfId="4">
      <alignment horizontal="center" vertical="center" wrapText="1"/>
    </xf>
    <xf numFmtId="2" fontId="8" fillId="6" borderId="0" applyAlignment="1" pivotButton="0" quotePrefix="0" xfId="4">
      <alignment horizontal="center" vertical="center" wrapText="1"/>
    </xf>
    <xf numFmtId="2" fontId="5" fillId="4" borderId="0" applyAlignment="1" pivotButton="0" quotePrefix="0" xfId="4">
      <alignment horizontal="center" vertical="center" wrapText="1"/>
    </xf>
    <xf numFmtId="2" fontId="3" fillId="2" borderId="0" applyAlignment="1" pivotButton="0" quotePrefix="0" xfId="4">
      <alignment horizontal="center" wrapText="1"/>
    </xf>
    <xf numFmtId="0" fontId="5" fillId="0" borderId="0" applyAlignment="1" pivotButton="0" quotePrefix="0" xfId="0">
      <alignment horizontal="center"/>
    </xf>
    <xf numFmtId="0" fontId="4" fillId="0" borderId="0" applyAlignment="1" pivotButton="0" quotePrefix="0" xfId="0">
      <alignment horizontal="center"/>
    </xf>
    <xf numFmtId="0" fontId="10" fillId="0" borderId="0" pivotButton="0" quotePrefix="0" xfId="0"/>
    <xf numFmtId="164" fontId="6" fillId="0" borderId="0" applyAlignment="1" pivotButton="0" quotePrefix="0" xfId="0">
      <alignment horizontal="center" vertical="center"/>
    </xf>
    <xf numFmtId="0" fontId="6" fillId="0" borderId="0" applyAlignment="1" pivotButton="0" quotePrefix="0" xfId="0">
      <alignment horizontal="center" vertical="center"/>
    </xf>
    <xf numFmtId="10" fontId="8" fillId="0" borderId="0" applyAlignment="1" pivotButton="0" quotePrefix="0" xfId="0">
      <alignment horizontal="center" vertical="center"/>
    </xf>
    <xf numFmtId="9" fontId="0" fillId="0" borderId="0" applyAlignment="1" pivotButton="0" quotePrefix="0" xfId="4">
      <alignment horizontal="center"/>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165" fontId="0" fillId="0" borderId="0" pivotButton="0" quotePrefix="0" xfId="2"/>
    <xf numFmtId="0" fontId="21" fillId="0" borderId="6" applyAlignment="1" pivotButton="0" quotePrefix="0" xfId="0">
      <alignment horizontal="center"/>
    </xf>
    <xf numFmtId="0" fontId="22" fillId="0" borderId="0" applyAlignment="1" pivotButton="0" quotePrefix="0" xfId="0">
      <alignment horizontal="center"/>
    </xf>
    <xf numFmtId="0" fontId="21" fillId="0" borderId="7" applyAlignment="1" pivotButton="0" quotePrefix="0" xfId="0">
      <alignment horizontal="center"/>
    </xf>
    <xf numFmtId="0" fontId="22" fillId="0" borderId="7" applyAlignment="1" pivotButton="0" quotePrefix="0" xfId="0">
      <alignment horizontal="center"/>
    </xf>
    <xf numFmtId="14" fontId="22" fillId="0" borderId="7" applyAlignment="1" pivotButton="0" quotePrefix="0" xfId="0">
      <alignment horizontal="center"/>
    </xf>
    <xf numFmtId="0" fontId="22" fillId="0" borderId="40" applyAlignment="1" pivotButton="0" quotePrefix="0" xfId="0">
      <alignment horizontal="center"/>
    </xf>
    <xf numFmtId="9" fontId="22" fillId="0" borderId="0" applyAlignment="1" pivotButton="0" quotePrefix="0" xfId="0">
      <alignment horizontal="center"/>
    </xf>
    <xf numFmtId="164" fontId="22" fillId="0" borderId="0" applyAlignment="1" pivotButton="0" quotePrefix="0" xfId="0">
      <alignment horizontal="center"/>
    </xf>
    <xf numFmtId="14" fontId="22" fillId="0" borderId="6" applyAlignment="1" pivotButton="0" quotePrefix="0" xfId="0">
      <alignment horizontal="center"/>
    </xf>
    <xf numFmtId="0" fontId="22" fillId="0" borderId="6" applyAlignment="1" pivotButton="0" quotePrefix="0" xfId="0">
      <alignment horizontal="center"/>
    </xf>
    <xf numFmtId="0" fontId="22" fillId="0" borderId="41" applyAlignment="1" pivotButton="0" quotePrefix="0" xfId="0">
      <alignment horizontal="center"/>
    </xf>
    <xf numFmtId="0" fontId="0" fillId="0" borderId="0" applyAlignment="1" pivotButton="0" quotePrefix="0" xfId="0">
      <alignment horizontal="center"/>
    </xf>
    <xf numFmtId="0" fontId="3" fillId="0" borderId="8" pivotButton="0" quotePrefix="0" xfId="0"/>
    <xf numFmtId="0" fontId="21" fillId="0" borderId="42" applyAlignment="1" pivotButton="0" quotePrefix="0" xfId="0">
      <alignment horizontal="center" vertical="center" wrapText="1"/>
    </xf>
    <xf numFmtId="10" fontId="12" fillId="8" borderId="9" applyAlignment="1" pivotButton="0" quotePrefix="0" xfId="4">
      <alignment horizontal="center" vertical="center"/>
    </xf>
    <xf numFmtId="10" fontId="12" fillId="9" borderId="9" applyAlignment="1" pivotButton="0" quotePrefix="0" xfId="4">
      <alignment horizontal="center" vertical="center"/>
    </xf>
    <xf numFmtId="2" fontId="13" fillId="8" borderId="9" applyAlignment="1" pivotButton="0" quotePrefix="0" xfId="0">
      <alignment horizontal="center" vertical="center"/>
    </xf>
    <xf numFmtId="2" fontId="13" fillId="9" borderId="9" applyAlignment="1" pivotButton="0" quotePrefix="0" xfId="0">
      <alignment horizontal="center" vertical="center"/>
    </xf>
    <xf numFmtId="10" fontId="12" fillId="10" borderId="9" applyAlignment="1" pivotButton="0" quotePrefix="0" xfId="4">
      <alignment horizontal="center" vertical="center"/>
    </xf>
    <xf numFmtId="0" fontId="12" fillId="0" borderId="0" applyAlignment="1" pivotButton="0" quotePrefix="0" xfId="0">
      <alignment horizontal="center" vertical="center"/>
    </xf>
    <xf numFmtId="0" fontId="23" fillId="0" borderId="0" applyAlignment="1" pivotButton="0" quotePrefix="0" xfId="0">
      <alignment horizontal="center" vertical="center"/>
    </xf>
    <xf numFmtId="2" fontId="0" fillId="0" borderId="0" applyAlignment="1" pivotButton="0" quotePrefix="0" xfId="0">
      <alignment horizontal="center"/>
    </xf>
    <xf numFmtId="10" fontId="6" fillId="0" borderId="0" applyAlignment="1" pivotButton="0" quotePrefix="0" xfId="4">
      <alignment horizontal="center"/>
    </xf>
    <xf numFmtId="0" fontId="0" fillId="0" borderId="10" pivotButton="0" quotePrefix="0" xfId="0"/>
    <xf numFmtId="0" fontId="0" fillId="0" borderId="11" pivotButton="0" quotePrefix="0" xfId="0"/>
    <xf numFmtId="0" fontId="0" fillId="0" borderId="12" pivotButton="0" quotePrefix="0" xfId="0"/>
    <xf numFmtId="0" fontId="0" fillId="0" borderId="1" pivotButton="0" quotePrefix="0" xfId="0"/>
    <xf numFmtId="0" fontId="0" fillId="0" borderId="13" pivotButton="0" quotePrefix="0" xfId="0"/>
    <xf numFmtId="0" fontId="16" fillId="0" borderId="0" applyAlignment="1" pivotButton="0" quotePrefix="0" xfId="0">
      <alignment horizontal="right" vertical="center"/>
    </xf>
    <xf numFmtId="0" fontId="23" fillId="0" borderId="0" applyAlignment="1" pivotButton="0" quotePrefix="0" xfId="0">
      <alignment vertical="center"/>
    </xf>
    <xf numFmtId="0" fontId="0" fillId="0" borderId="0" applyAlignment="1" pivotButton="0" quotePrefix="0" xfId="0">
      <alignment vertical="center"/>
    </xf>
    <xf numFmtId="0" fontId="0" fillId="0" borderId="14" pivotButton="0" quotePrefix="0" xfId="0"/>
    <xf numFmtId="0" fontId="0" fillId="0" borderId="8" pivotButton="0" quotePrefix="0" xfId="0"/>
    <xf numFmtId="0" fontId="0" fillId="0" borderId="15" pivotButton="0" quotePrefix="0" xfId="0"/>
    <xf numFmtId="2" fontId="13" fillId="10" borderId="9" applyAlignment="1" pivotButton="0" quotePrefix="0" xfId="0">
      <alignment horizontal="center" vertical="center"/>
    </xf>
    <xf numFmtId="0" fontId="12" fillId="11" borderId="9" applyAlignment="1" pivotButton="0" quotePrefix="0" xfId="0">
      <alignment horizontal="center" vertical="center"/>
    </xf>
    <xf numFmtId="0" fontId="0" fillId="0" borderId="0" applyAlignment="1" pivotButton="0" quotePrefix="0" xfId="0">
      <alignment horizontal="left"/>
    </xf>
    <xf numFmtId="2" fontId="2" fillId="12" borderId="9" applyAlignment="1" pivotButton="0" quotePrefix="0" xfId="0">
      <alignment horizontal="center" vertical="center"/>
    </xf>
    <xf numFmtId="2" fontId="2" fillId="13" borderId="9" applyAlignment="1" pivotButton="0" quotePrefix="0" xfId="0">
      <alignment horizontal="center" vertical="center"/>
    </xf>
    <xf numFmtId="0" fontId="24" fillId="0" borderId="0" pivotButton="0" quotePrefix="0" xfId="0"/>
    <xf numFmtId="10" fontId="12" fillId="12" borderId="9" applyAlignment="1" pivotButton="0" quotePrefix="0" xfId="4">
      <alignment horizontal="center" vertical="center"/>
    </xf>
    <xf numFmtId="10" fontId="12" fillId="13" borderId="9" applyAlignment="1" pivotButton="0" quotePrefix="0" xfId="4">
      <alignment horizontal="center" vertical="center"/>
    </xf>
    <xf numFmtId="2" fontId="25" fillId="5" borderId="16" applyAlignment="1" pivotButton="0" quotePrefix="0" xfId="0">
      <alignment horizontal="center" vertical="center"/>
    </xf>
    <xf numFmtId="9" fontId="25" fillId="5" borderId="16" applyAlignment="1" pivotButton="0" quotePrefix="0" xfId="4">
      <alignment horizontal="center" vertical="center"/>
    </xf>
    <xf numFmtId="10" fontId="21" fillId="0" borderId="0" applyAlignment="1" pivotButton="0" quotePrefix="0" xfId="0">
      <alignment horizontal="center"/>
    </xf>
    <xf numFmtId="0" fontId="17" fillId="0" borderId="0" pivotButton="0" quotePrefix="0" xfId="0"/>
    <xf numFmtId="2" fontId="25" fillId="0" borderId="0" applyAlignment="1" pivotButton="0" quotePrefix="0" xfId="0">
      <alignment horizontal="center" vertical="center"/>
    </xf>
    <xf numFmtId="14" fontId="4" fillId="14" borderId="16" applyAlignment="1" pivotButton="0" quotePrefix="0" xfId="0">
      <alignment horizontal="center" vertical="center"/>
    </xf>
    <xf numFmtId="0" fontId="21" fillId="0" borderId="43" applyAlignment="1" pivotButton="0" quotePrefix="0" xfId="0">
      <alignment horizontal="center"/>
    </xf>
    <xf numFmtId="0" fontId="0" fillId="0" borderId="43" pivotButton="0" quotePrefix="0" xfId="0"/>
    <xf numFmtId="0" fontId="19" fillId="0" borderId="0" pivotButton="0" quotePrefix="0" xfId="3"/>
    <xf numFmtId="0" fontId="19" fillId="0" borderId="0" applyAlignment="1" pivotButton="0" quotePrefix="0" xfId="3">
      <alignment horizontal="center" vertical="center"/>
    </xf>
    <xf numFmtId="0" fontId="20" fillId="15" borderId="9" applyAlignment="1" pivotButton="0" quotePrefix="0" xfId="3">
      <alignment horizontal="center"/>
    </xf>
    <xf numFmtId="0" fontId="19" fillId="15" borderId="9" applyAlignment="1" pivotButton="0" quotePrefix="0" xfId="3">
      <alignment horizontal="center"/>
    </xf>
    <xf numFmtId="0" fontId="26" fillId="0" borderId="0" applyAlignment="1" pivotButton="0" quotePrefix="0" xfId="3">
      <alignment horizontal="center" vertical="center"/>
    </xf>
    <xf numFmtId="0" fontId="19" fillId="5" borderId="0" pivotButton="0" quotePrefix="0" xfId="3"/>
    <xf numFmtId="0" fontId="21" fillId="0" borderId="0" applyAlignment="1" pivotButton="0" quotePrefix="0" xfId="0">
      <alignment horizontal="center" vertical="center"/>
    </xf>
    <xf numFmtId="0" fontId="21" fillId="0" borderId="43" applyAlignment="1" pivotButton="0" quotePrefix="0" xfId="0">
      <alignment horizontal="center" vertical="center"/>
    </xf>
    <xf numFmtId="0" fontId="19" fillId="0" borderId="9" applyAlignment="1" pivotButton="0" quotePrefix="0" xfId="3">
      <alignment horizontal="center" vertical="center"/>
    </xf>
    <xf numFmtId="0" fontId="22" fillId="3" borderId="0" applyAlignment="1" pivotButton="0" quotePrefix="0" xfId="0">
      <alignment horizontal="center"/>
    </xf>
    <xf numFmtId="0" fontId="27" fillId="0" borderId="0" pivotButton="0" quotePrefix="0" xfId="0"/>
    <xf numFmtId="0" fontId="0" fillId="5" borderId="0" pivotButton="0" quotePrefix="0" xfId="0"/>
    <xf numFmtId="0" fontId="2" fillId="5" borderId="0" pivotButton="0" quotePrefix="0" xfId="0"/>
    <xf numFmtId="14" fontId="19" fillId="0" borderId="9" applyAlignment="1" pivotButton="0" quotePrefix="0" xfId="3">
      <alignment horizontal="center" vertical="center"/>
    </xf>
    <xf numFmtId="0" fontId="19" fillId="3" borderId="0" pivotButton="0" quotePrefix="0" xfId="3"/>
    <xf numFmtId="0" fontId="28" fillId="0" borderId="0" pivotButton="0" quotePrefix="0" xfId="3"/>
    <xf numFmtId="0" fontId="19" fillId="0" borderId="0" applyAlignment="1" pivotButton="0" quotePrefix="0" xfId="3">
      <alignment horizontal="center"/>
    </xf>
    <xf numFmtId="0" fontId="0" fillId="4" borderId="0" pivotButton="0" quotePrefix="0" xfId="0"/>
    <xf numFmtId="0" fontId="22" fillId="4" borderId="0" applyAlignment="1" pivotButton="0" quotePrefix="0" xfId="0">
      <alignment horizontal="center"/>
    </xf>
    <xf numFmtId="164" fontId="5" fillId="0" borderId="0" applyAlignment="1" pivotButton="0" quotePrefix="0" xfId="4">
      <alignment horizontal="center"/>
    </xf>
    <xf numFmtId="164" fontId="2" fillId="0" borderId="0" pivotButton="0" quotePrefix="0" xfId="4"/>
    <xf numFmtId="9" fontId="5" fillId="0" borderId="0" applyAlignment="1" pivotButton="0" quotePrefix="0" xfId="4">
      <alignment horizontal="center"/>
    </xf>
    <xf numFmtId="166" fontId="0" fillId="0" borderId="0" pivotButton="0" quotePrefix="0" xfId="2"/>
    <xf numFmtId="9" fontId="2" fillId="0" borderId="0" pivotButton="0" quotePrefix="0" xfId="4"/>
    <xf numFmtId="10" fontId="21" fillId="3" borderId="0" applyAlignment="1" pivotButton="0" quotePrefix="0" xfId="0">
      <alignment horizontal="center"/>
    </xf>
    <xf numFmtId="10" fontId="21" fillId="0" borderId="7" applyAlignment="1" pivotButton="0" quotePrefix="0" xfId="0">
      <alignment horizontal="center"/>
    </xf>
    <xf numFmtId="10" fontId="21" fillId="0" borderId="6" applyAlignment="1" pivotButton="0" quotePrefix="0" xfId="0">
      <alignment horizontal="center"/>
    </xf>
    <xf numFmtId="9" fontId="18" fillId="0" borderId="0" applyAlignment="1" pivotButton="0" quotePrefix="0" xfId="4">
      <alignment horizontal="center"/>
    </xf>
    <xf numFmtId="9" fontId="18" fillId="0" borderId="0" pivotButton="0" quotePrefix="0" xfId="4"/>
    <xf numFmtId="164" fontId="18" fillId="0" borderId="0" pivotButton="0" quotePrefix="0" xfId="4"/>
    <xf numFmtId="0" fontId="29" fillId="0" borderId="6" applyAlignment="1" pivotButton="0" quotePrefix="0" xfId="0">
      <alignment horizontal="center" vertical="center"/>
    </xf>
    <xf numFmtId="0" fontId="29" fillId="16" borderId="41" applyAlignment="1" pivotButton="0" quotePrefix="0" xfId="0">
      <alignment horizontal="center" vertical="center"/>
    </xf>
    <xf numFmtId="0" fontId="29" fillId="16" borderId="17" applyAlignment="1" pivotButton="0" quotePrefix="0" xfId="0">
      <alignment horizontal="center" vertical="center"/>
    </xf>
    <xf numFmtId="0" fontId="29" fillId="16" borderId="6" applyAlignment="1" pivotButton="0" quotePrefix="0" xfId="0">
      <alignment horizontal="center" vertical="center"/>
    </xf>
    <xf numFmtId="0" fontId="29" fillId="0" borderId="9" applyAlignment="1" pivotButton="0" quotePrefix="0" xfId="0">
      <alignment horizontal="center"/>
    </xf>
    <xf numFmtId="14" fontId="30" fillId="0" borderId="9" applyAlignment="1" pivotButton="0" quotePrefix="0" xfId="0">
      <alignment horizontal="center"/>
    </xf>
    <xf numFmtId="0" fontId="30" fillId="0" borderId="9" applyAlignment="1" pivotButton="0" quotePrefix="0" xfId="0">
      <alignment horizontal="center"/>
    </xf>
    <xf numFmtId="10" fontId="29" fillId="0" borderId="9" applyAlignment="1" pivotButton="0" quotePrefix="0" xfId="0">
      <alignment horizontal="center"/>
    </xf>
    <xf numFmtId="0" fontId="31" fillId="0" borderId="9" applyAlignment="1" pivotButton="0" quotePrefix="0" xfId="0">
      <alignment horizontal="center"/>
    </xf>
    <xf numFmtId="0" fontId="21" fillId="0" borderId="9" applyAlignment="1" pivotButton="0" quotePrefix="0" xfId="0">
      <alignment horizontal="center"/>
    </xf>
    <xf numFmtId="14" fontId="22" fillId="0" borderId="9" applyAlignment="1" pivotButton="0" quotePrefix="0" xfId="0">
      <alignment horizontal="center"/>
    </xf>
    <xf numFmtId="0" fontId="22" fillId="0" borderId="9" applyAlignment="1" pivotButton="0" quotePrefix="0" xfId="0">
      <alignment horizontal="center"/>
    </xf>
    <xf numFmtId="10" fontId="21" fillId="0" borderId="9" applyAlignment="1" pivotButton="0" quotePrefix="0" xfId="0">
      <alignment horizontal="center"/>
    </xf>
    <xf numFmtId="0" fontId="29" fillId="6" borderId="6" applyAlignment="1" pivotButton="0" quotePrefix="0" xfId="0">
      <alignment horizontal="center" vertical="center"/>
    </xf>
    <xf numFmtId="0" fontId="29" fillId="17" borderId="6" applyAlignment="1" pivotButton="0" quotePrefix="0" xfId="0">
      <alignment horizontal="center" vertical="center"/>
    </xf>
    <xf numFmtId="0" fontId="29" fillId="18" borderId="6" applyAlignment="1" pivotButton="0" quotePrefix="0" xfId="0">
      <alignment horizontal="center" vertical="center"/>
    </xf>
    <xf numFmtId="0" fontId="29" fillId="4" borderId="6" applyAlignment="1" pivotButton="0" quotePrefix="0" xfId="0">
      <alignment horizontal="center" vertical="center"/>
    </xf>
    <xf numFmtId="0" fontId="29" fillId="19" borderId="6" applyAlignment="1" pivotButton="0" quotePrefix="0" xfId="0">
      <alignment horizontal="center" vertical="center"/>
    </xf>
    <xf numFmtId="0" fontId="5" fillId="6" borderId="18" applyAlignment="1" pivotButton="0" quotePrefix="0" xfId="0">
      <alignment horizontal="center"/>
    </xf>
    <xf numFmtId="0" fontId="5" fillId="6" borderId="19" applyAlignment="1" pivotButton="0" quotePrefix="0" xfId="0">
      <alignment horizontal="center"/>
    </xf>
    <xf numFmtId="0" fontId="19" fillId="5" borderId="0" applyAlignment="1" pivotButton="0" quotePrefix="0" xfId="3">
      <alignment horizontal="center"/>
    </xf>
    <xf numFmtId="0" fontId="21" fillId="16" borderId="6" applyAlignment="1" pivotButton="0" quotePrefix="0" xfId="0">
      <alignment horizontal="center" vertical="center"/>
    </xf>
    <xf numFmtId="0" fontId="21" fillId="17" borderId="6" applyAlignment="1" pivotButton="0" quotePrefix="0" xfId="0">
      <alignment horizontal="center" vertical="center"/>
    </xf>
    <xf numFmtId="0" fontId="21" fillId="6" borderId="6" applyAlignment="1" pivotButton="0" quotePrefix="0" xfId="0">
      <alignment horizontal="center" vertical="center"/>
    </xf>
    <xf numFmtId="0" fontId="21" fillId="18" borderId="6" applyAlignment="1" pivotButton="0" quotePrefix="0" xfId="0">
      <alignment horizontal="center" vertical="center"/>
    </xf>
    <xf numFmtId="0" fontId="0" fillId="0" borderId="20" applyAlignment="1" pivotButton="0" quotePrefix="0" xfId="0">
      <alignment horizontal="center"/>
    </xf>
    <xf numFmtId="0" fontId="0" fillId="0" borderId="19" applyAlignment="1" pivotButton="0" quotePrefix="0" xfId="0">
      <alignment horizontal="center"/>
    </xf>
    <xf numFmtId="164" fontId="0" fillId="0" borderId="0" applyAlignment="1" pivotButton="0" quotePrefix="0" xfId="4">
      <alignment horizontal="center"/>
    </xf>
    <xf numFmtId="9" fontId="0" fillId="0" borderId="19" applyAlignment="1" pivotButton="0" quotePrefix="0" xfId="4">
      <alignment horizontal="center"/>
    </xf>
    <xf numFmtId="0" fontId="2" fillId="0" borderId="20" applyAlignment="1" pivotButton="0" quotePrefix="0" xfId="0">
      <alignment horizontal="center"/>
    </xf>
    <xf numFmtId="9" fontId="18" fillId="0" borderId="19" applyAlignment="1" pivotButton="0" quotePrefix="0" xfId="4">
      <alignment horizontal="center"/>
    </xf>
    <xf numFmtId="0" fontId="0" fillId="0" borderId="21" applyAlignment="1" pivotButton="0" quotePrefix="0" xfId="0">
      <alignment horizontal="center"/>
    </xf>
    <xf numFmtId="164" fontId="0" fillId="0" borderId="22" applyAlignment="1" pivotButton="0" quotePrefix="0" xfId="4">
      <alignment horizontal="center"/>
    </xf>
    <xf numFmtId="9" fontId="0" fillId="0" borderId="23" applyAlignment="1" pivotButton="0" quotePrefix="0" xfId="4">
      <alignment horizontal="center"/>
    </xf>
    <xf numFmtId="0" fontId="2" fillId="0" borderId="19" applyAlignment="1" pivotButton="0" quotePrefix="0" xfId="0">
      <alignment horizontal="center"/>
    </xf>
    <xf numFmtId="9" fontId="0" fillId="0" borderId="20" applyAlignment="1" pivotButton="0" quotePrefix="0" xfId="4">
      <alignment horizontal="center"/>
    </xf>
    <xf numFmtId="9" fontId="2" fillId="0" borderId="19" applyAlignment="1" pivotButton="0" quotePrefix="0" xfId="4">
      <alignment horizontal="center"/>
    </xf>
    <xf numFmtId="166" fontId="0" fillId="0" borderId="20" applyAlignment="1" pivotButton="0" quotePrefix="0" xfId="2">
      <alignment horizontal="center"/>
    </xf>
    <xf numFmtId="164" fontId="2" fillId="0" borderId="20" applyAlignment="1" pivotButton="0" quotePrefix="0" xfId="4">
      <alignment horizontal="center"/>
    </xf>
    <xf numFmtId="164" fontId="2" fillId="0" borderId="19" applyAlignment="1" pivotButton="0" quotePrefix="0" xfId="4">
      <alignment horizontal="center"/>
    </xf>
    <xf numFmtId="1" fontId="0" fillId="0" borderId="20" applyAlignment="1" pivotButton="0" quotePrefix="0" xfId="4">
      <alignment horizontal="center"/>
    </xf>
    <xf numFmtId="1" fontId="18" fillId="0" borderId="20" applyAlignment="1" pivotButton="0" quotePrefix="0" xfId="4">
      <alignment horizontal="center"/>
    </xf>
    <xf numFmtId="1" fontId="0" fillId="0" borderId="21" applyAlignment="1" pivotButton="0" quotePrefix="0" xfId="4">
      <alignment horizontal="center"/>
    </xf>
    <xf numFmtId="9" fontId="0" fillId="0" borderId="22" applyAlignment="1" pivotButton="0" quotePrefix="0" xfId="4">
      <alignment horizontal="center"/>
    </xf>
    <xf numFmtId="0" fontId="29" fillId="0" borderId="9" applyAlignment="1" pivotButton="0" quotePrefix="0" xfId="0">
      <alignment horizontal="center" vertical="center"/>
    </xf>
    <xf numFmtId="14" fontId="30" fillId="0" borderId="9" applyAlignment="1" pivotButton="0" quotePrefix="0" xfId="0">
      <alignment horizontal="center" vertical="center"/>
    </xf>
    <xf numFmtId="0" fontId="30" fillId="0" borderId="9" applyAlignment="1" pivotButton="0" quotePrefix="0" xfId="0">
      <alignment horizontal="center" vertical="center"/>
    </xf>
    <xf numFmtId="10" fontId="21" fillId="3" borderId="0" applyAlignment="1" pivotButton="0" quotePrefix="0" xfId="0">
      <alignment horizontal="center" vertical="center"/>
    </xf>
    <xf numFmtId="0" fontId="22" fillId="0" borderId="0" applyAlignment="1" pivotButton="0" quotePrefix="0" xfId="0">
      <alignment horizontal="center" vertical="center"/>
    </xf>
    <xf numFmtId="0" fontId="21" fillId="0" borderId="9" applyAlignment="1" pivotButton="0" quotePrefix="0" xfId="0">
      <alignment horizontal="center" vertical="center"/>
    </xf>
    <xf numFmtId="14" fontId="22" fillId="0" borderId="9" applyAlignment="1" pivotButton="0" quotePrefix="0" xfId="0">
      <alignment horizontal="center" vertical="center"/>
    </xf>
    <xf numFmtId="0" fontId="22" fillId="0" borderId="9" applyAlignment="1" pivotButton="0" quotePrefix="0" xfId="0">
      <alignment horizontal="center" vertical="center"/>
    </xf>
    <xf numFmtId="14" fontId="32" fillId="20" borderId="9" applyAlignment="1" pivotButton="0" quotePrefix="0" xfId="3">
      <alignment horizontal="center" vertical="center"/>
    </xf>
    <xf numFmtId="0" fontId="0" fillId="0" borderId="25" pivotButton="0" quotePrefix="0" xfId="0"/>
    <xf numFmtId="0" fontId="0" fillId="0" borderId="26" pivotButton="0" quotePrefix="0" xfId="0"/>
    <xf numFmtId="14" fontId="19" fillId="0" borderId="9" applyAlignment="1" pivotButton="0" quotePrefix="0" xfId="3">
      <alignment horizontal="center" vertical="center"/>
    </xf>
    <xf numFmtId="0" fontId="28" fillId="0" borderId="0" applyAlignment="1" pivotButton="0" quotePrefix="0" xfId="3">
      <alignment horizontal="center"/>
    </xf>
    <xf numFmtId="0" fontId="19" fillId="0" borderId="0" pivotButton="0" quotePrefix="0" xfId="3"/>
    <xf numFmtId="0" fontId="20" fillId="21" borderId="24" applyAlignment="1" pivotButton="0" quotePrefix="0" xfId="3">
      <alignment horizontal="center"/>
    </xf>
    <xf numFmtId="0" fontId="20" fillId="21" borderId="9" applyAlignment="1" pivotButton="0" quotePrefix="0" xfId="3">
      <alignment horizontal="center"/>
    </xf>
    <xf numFmtId="0" fontId="19" fillId="0" borderId="9" applyAlignment="1" pivotButton="0" quotePrefix="0" xfId="3">
      <alignment horizontal="center" vertical="center"/>
    </xf>
    <xf numFmtId="0" fontId="5" fillId="6" borderId="27" applyAlignment="1" pivotButton="0" quotePrefix="0" xfId="0">
      <alignment horizontal="center"/>
    </xf>
    <xf numFmtId="0" fontId="0" fillId="0" borderId="28" pivotButton="0" quotePrefix="0" xfId="0"/>
    <xf numFmtId="0" fontId="5" fillId="22" borderId="46" applyAlignment="1" pivotButton="0" quotePrefix="0" xfId="0">
      <alignment horizontal="center"/>
    </xf>
    <xf numFmtId="0" fontId="0" fillId="0" borderId="0" pivotButton="0" quotePrefix="0" xfId="0"/>
    <xf numFmtId="0" fontId="0" fillId="0" borderId="19" pivotButton="0" quotePrefix="0" xfId="0"/>
    <xf numFmtId="0" fontId="5" fillId="6" borderId="45" applyAlignment="1" pivotButton="0" quotePrefix="0" xfId="0">
      <alignment horizontal="center"/>
    </xf>
    <xf numFmtId="0" fontId="0" fillId="0" borderId="18" pivotButton="0" quotePrefix="0" xfId="0"/>
    <xf numFmtId="0" fontId="5" fillId="22" borderId="45" applyAlignment="1" pivotButton="0" quotePrefix="0" xfId="0">
      <alignment horizontal="center"/>
    </xf>
    <xf numFmtId="0" fontId="5" fillId="17" borderId="46" applyAlignment="1" pivotButton="0" quotePrefix="0" xfId="0">
      <alignment horizontal="center"/>
    </xf>
    <xf numFmtId="0" fontId="5" fillId="17" borderId="45" applyAlignment="1" pivotButton="0" quotePrefix="0" xfId="0">
      <alignment horizontal="center"/>
    </xf>
    <xf numFmtId="0" fontId="5" fillId="6" borderId="46" applyAlignment="1" pivotButton="0" quotePrefix="0" xfId="0">
      <alignment horizontal="center"/>
    </xf>
    <xf numFmtId="164" fontId="5" fillId="17" borderId="46" applyAlignment="1" pivotButton="0" quotePrefix="0" xfId="4">
      <alignment horizontal="center"/>
    </xf>
    <xf numFmtId="9" fontId="5" fillId="17" borderId="45" applyAlignment="1" pivotButton="0" quotePrefix="0" xfId="4">
      <alignment horizontal="center"/>
    </xf>
    <xf numFmtId="0" fontId="5" fillId="18" borderId="46" applyAlignment="1" pivotButton="0" quotePrefix="0" xfId="0">
      <alignment horizontal="center"/>
    </xf>
    <xf numFmtId="0" fontId="5" fillId="16" borderId="45" applyAlignment="1" pivotButton="0" quotePrefix="0" xfId="0">
      <alignment horizontal="center"/>
    </xf>
    <xf numFmtId="0" fontId="8" fillId="22" borderId="46" applyAlignment="1" pivotButton="0" quotePrefix="0" xfId="0">
      <alignment horizontal="center"/>
    </xf>
    <xf numFmtId="0" fontId="5" fillId="6" borderId="20" applyAlignment="1" pivotButton="0" quotePrefix="0" xfId="0">
      <alignment horizontal="center"/>
    </xf>
    <xf numFmtId="0" fontId="5" fillId="18" borderId="45" applyAlignment="1" pivotButton="0" quotePrefix="0" xfId="0">
      <alignment horizontal="center"/>
    </xf>
    <xf numFmtId="0" fontId="12" fillId="10" borderId="9" applyAlignment="1" pivotButton="0" quotePrefix="0" xfId="0">
      <alignment horizontal="left" vertical="center"/>
    </xf>
    <xf numFmtId="0" fontId="20" fillId="10" borderId="9" applyAlignment="1" pivotButton="0" quotePrefix="0" xfId="0">
      <alignment horizontal="left" vertical="center"/>
    </xf>
    <xf numFmtId="0" fontId="0" fillId="14" borderId="16" applyAlignment="1" pivotButton="0" quotePrefix="0" xfId="0">
      <alignment horizontal="center" vertical="center"/>
    </xf>
    <xf numFmtId="0" fontId="0" fillId="0" borderId="39" pivotButton="0" quotePrefix="0" xfId="0"/>
    <xf numFmtId="0" fontId="20" fillId="12" borderId="9" applyAlignment="1" pivotButton="0" quotePrefix="0" xfId="0">
      <alignment horizontal="left" vertical="center"/>
    </xf>
    <xf numFmtId="0" fontId="12" fillId="8" borderId="9" applyAlignment="1" pivotButton="0" quotePrefix="0" xfId="0">
      <alignment horizontal="left" vertical="center"/>
    </xf>
    <xf numFmtId="0" fontId="21" fillId="0" borderId="48" applyAlignment="1" pivotButton="0" quotePrefix="0" xfId="0">
      <alignment horizontal="center" vertical="center" wrapText="1"/>
    </xf>
    <xf numFmtId="0" fontId="0" fillId="0" borderId="44" pivotButton="0" quotePrefix="0" xfId="0"/>
    <xf numFmtId="0" fontId="12" fillId="23" borderId="9" applyAlignment="1" pivotButton="0" quotePrefix="0" xfId="0">
      <alignment horizontal="center" vertical="center"/>
    </xf>
    <xf numFmtId="0" fontId="0" fillId="0" borderId="30" pivotButton="0" quotePrefix="0" xfId="0"/>
    <xf numFmtId="0" fontId="0" fillId="0" borderId="31" pivotButton="0" quotePrefix="0" xfId="0"/>
    <xf numFmtId="0" fontId="12" fillId="26" borderId="31" applyAlignment="1" pivotButton="0" quotePrefix="0" xfId="0">
      <alignment horizontal="center" vertical="center"/>
    </xf>
    <xf numFmtId="0" fontId="0" fillId="14" borderId="16" applyAlignment="1" pivotButton="0" quotePrefix="0" xfId="0">
      <alignment horizontal="center"/>
    </xf>
    <xf numFmtId="0" fontId="0" fillId="0" borderId="0" applyAlignment="1" pivotButton="0" quotePrefix="0" xfId="0">
      <alignment horizontal="center"/>
    </xf>
    <xf numFmtId="0" fontId="15" fillId="0" borderId="47" applyAlignment="1" pivotButton="0" quotePrefix="0" xfId="1">
      <alignment horizontal="center" vertical="center"/>
    </xf>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33" fillId="0" borderId="11" applyAlignment="1" pivotButton="0" quotePrefix="0" xfId="0">
      <alignment horizontal="center"/>
    </xf>
    <xf numFmtId="0" fontId="0" fillId="0" borderId="11" pivotButton="0" quotePrefix="0" xfId="0"/>
    <xf numFmtId="0" fontId="23" fillId="25" borderId="9" applyAlignment="1" pivotButton="0" quotePrefix="0" xfId="0">
      <alignment horizontal="left" vertical="center"/>
    </xf>
    <xf numFmtId="0" fontId="8" fillId="14" borderId="16" applyAlignment="1" pivotButton="0" quotePrefix="0" xfId="0">
      <alignment horizontal="center" vertical="center"/>
    </xf>
    <xf numFmtId="0" fontId="0" fillId="0" borderId="5" pivotButton="0" quotePrefix="0" xfId="0"/>
    <xf numFmtId="0" fontId="12" fillId="24" borderId="29" applyAlignment="1" pivotButton="0" quotePrefix="0" xfId="0">
      <alignment horizontal="center" vertical="center"/>
    </xf>
    <xf numFmtId="0" fontId="12" fillId="23" borderId="9" applyAlignment="1" pivotButton="0" quotePrefix="0" xfId="0">
      <alignment horizontal="left" vertical="center"/>
    </xf>
    <xf numFmtId="2" fontId="13" fillId="10" borderId="9" applyAlignment="1" pivotButton="0" quotePrefix="0" xfId="0">
      <alignment horizontal="center" vertical="center"/>
    </xf>
    <xf numFmtId="2" fontId="2" fillId="13" borderId="9" applyAlignment="1" pivotButton="0" quotePrefix="0" xfId="0">
      <alignment horizontal="center" vertical="center"/>
    </xf>
    <xf numFmtId="2" fontId="13" fillId="8" borderId="9" applyAlignment="1" pivotButton="0" quotePrefix="0" xfId="0">
      <alignment horizontal="center" vertical="center"/>
    </xf>
    <xf numFmtId="2" fontId="2" fillId="12" borderId="9" applyAlignment="1" pivotButton="0" quotePrefix="0" xfId="0">
      <alignment horizontal="center" vertical="center"/>
    </xf>
    <xf numFmtId="2" fontId="25" fillId="5" borderId="16" applyAlignment="1" pivotButton="0" quotePrefix="0" xfId="0">
      <alignment horizontal="center" vertical="center"/>
    </xf>
    <xf numFmtId="0" fontId="19" fillId="3" borderId="0" applyAlignment="1" pivotButton="0" quotePrefix="0" xfId="3">
      <alignment horizontal="center"/>
    </xf>
    <xf numFmtId="0" fontId="19" fillId="5" borderId="0" applyAlignment="1" pivotButton="0" quotePrefix="0" xfId="3">
      <alignment horizontal="center"/>
    </xf>
    <xf numFmtId="0" fontId="0" fillId="4" borderId="0" applyAlignment="1" pivotButton="0" quotePrefix="0" xfId="0">
      <alignment horizontal="center"/>
    </xf>
    <xf numFmtId="0" fontId="7" fillId="0" borderId="16" applyAlignment="1" pivotButton="0" quotePrefix="0" xfId="0">
      <alignment horizontal="center" vertical="center"/>
    </xf>
    <xf numFmtId="0" fontId="9" fillId="0" borderId="16" applyAlignment="1" pivotButton="0" quotePrefix="0" xfId="0">
      <alignment horizontal="center" vertical="center"/>
    </xf>
    <xf numFmtId="0" fontId="1" fillId="0" borderId="0" applyAlignment="1" pivotButton="0" quotePrefix="0" xfId="0">
      <alignment horizontal="center" vertical="center"/>
    </xf>
  </cellXfs>
  <cellStyles count="5">
    <cellStyle name="Normal" xfId="0" builtinId="0"/>
    <cellStyle name="Excel Built-in Normal" xfId="1"/>
    <cellStyle name="Milliers" xfId="2" builtinId="3"/>
    <cellStyle name="Normal 2" xfId="3"/>
    <cellStyle name="Pourcentage" xfId="4" builtinId="5"/>
  </cellStyles>
  <dxfs count="51">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3" formatCode="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164" formatCode="0.0%"/>
      <alignment horizontal="center" vertical="bottom"/>
    </dxf>
    <dxf>
      <font>
        <name val="Calibri"/>
        <family val="2"/>
        <strike val="0"/>
        <outline val="0"/>
        <shadow val="0"/>
        <condense val="0"/>
        <color rgb="FF000000"/>
        <extend val="0"/>
        <sz val="10"/>
        <vertAlign val="baseline"/>
      </font>
      <numFmt numFmtId="0" formatCode="General"/>
      <alignment horizontal="center" vertical="bottom"/>
    </dxf>
    <dxf>
      <font>
        <name val="Calibri"/>
        <family val="2"/>
        <strike val="0"/>
        <outline val="0"/>
        <shadow val="0"/>
        <condense val="0"/>
        <color rgb="FF000000"/>
        <extend val="0"/>
        <sz val="10"/>
        <vertAlign val="baseline"/>
      </font>
      <alignment horizontal="center" vertical="bottom"/>
    </dxf>
    <dxf>
      <font>
        <name val="Calibri"/>
        <family val="2"/>
        <b val="1"/>
        <strike val="0"/>
        <outline val="0"/>
        <shadow val="0"/>
        <condense val="0"/>
        <color rgb="FF000000"/>
        <extend val="0"/>
        <sz val="10"/>
        <vertAlign val="baseline"/>
      </font>
      <alignment horizontal="center" vertical="bottom"/>
      <border>
        <left style="thick">
          <color rgb="FFC00000"/>
        </left>
        <right/>
        <top/>
        <bottom/>
      </border>
    </dxf>
    <dxf>
      <font>
        <name val="Calibri"/>
        <family val="2"/>
        <b val="1"/>
        <strike val="0"/>
        <outline val="0"/>
        <shadow val="0"/>
        <condense val="0"/>
        <color rgb="FF000000"/>
        <extend val="0"/>
        <sz val="10"/>
        <vertAlign val="baseline"/>
      </font>
      <numFmt numFmtId="14" formatCode="0.00%"/>
      <alignment horizontal="center" vertical="bottom"/>
    </dxf>
    <dxf>
      <font>
        <name val="Calibri"/>
        <family val="2"/>
        <b val="1"/>
        <strike val="0"/>
        <outline val="0"/>
        <shadow val="0"/>
        <condense val="0"/>
        <color rgb="FF000000"/>
        <extend val="0"/>
        <sz val="10"/>
        <vertAlign val="baseline"/>
      </font>
      <numFmt numFmtId="14" formatCode="0.00%"/>
      <alignment horizontal="center" vertical="bottom"/>
      <border>
        <left style="hair">
          <color indexed="64"/>
        </left>
        <right style="hair">
          <color indexed="64"/>
        </right>
        <top style="hair">
          <color indexed="64"/>
        </top>
        <bottom style="hair">
          <color indexed="64"/>
        </bottom>
      </border>
    </dxf>
    <dxf>
      <font>
        <name val="Calibri"/>
        <family val="2"/>
        <b val="1"/>
        <strike val="0"/>
        <outline val="0"/>
        <shadow val="0"/>
        <condense val="0"/>
        <color rgb="FF000000"/>
        <extend val="0"/>
        <sz val="10"/>
        <vertAlign val="baseline"/>
      </font>
      <numFmt numFmtId="0" formatCode="General"/>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thick">
          <color rgb="FF000000"/>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b val="1"/>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numFmt numFmtId="19" formatCode="dd/mm/yyyy"/>
      <alignment horizontal="center" vertical="bottom"/>
      <border>
        <left style="hair">
          <color indexed="64"/>
        </left>
        <right style="hair">
          <color indexed="64"/>
        </right>
        <top style="hair">
          <color indexed="64"/>
        </top>
        <bottom style="hair">
          <color indexed="64"/>
        </bottom>
      </border>
    </dxf>
    <dxf>
      <font>
        <name val="Calibri"/>
        <family val="2"/>
        <b val="1"/>
        <strike val="0"/>
        <outline val="0"/>
        <shadow val="0"/>
        <condense val="0"/>
        <color rgb="FF000000"/>
        <extend val="0"/>
        <sz val="10"/>
        <vertAlign val="baseline"/>
      </font>
      <alignment horizontal="center" vertical="bottom"/>
      <border>
        <left style="hair">
          <color indexed="64"/>
        </left>
        <right style="hair">
          <color indexed="64"/>
        </right>
        <top style="hair">
          <color indexed="64"/>
        </top>
        <bottom style="hair">
          <color indexed="64"/>
        </bottom>
      </border>
    </dxf>
    <dxf>
      <font>
        <name val="Calibri"/>
        <family val="2"/>
        <strike val="0"/>
        <outline val="0"/>
        <shadow val="0"/>
        <condense val="0"/>
        <color rgb="FF000000"/>
        <extend val="0"/>
        <sz val="10"/>
        <vertAlign val="baseline"/>
      </font>
      <alignment horizontal="center" vertical="bottom"/>
    </dxf>
    <dxf>
      <font>
        <name val="Calibri"/>
        <family val="2"/>
        <strike val="0"/>
        <outline val="0"/>
        <shadow val="0"/>
        <condense val="0"/>
        <color rgb="FF000000"/>
        <extend val="0"/>
        <sz val="10"/>
        <vertAlign val="baseline"/>
      </font>
      <alignment horizontal="center" vertical="bottom"/>
    </dxf>
    <dxf>
      <font>
        <name val="Calibri"/>
        <family val="2"/>
        <b val="1"/>
        <strike val="0"/>
        <outline val="0"/>
        <shadow val="0"/>
        <condense val="0"/>
        <color rgb="FF000000"/>
        <extend val="0"/>
        <sz val="10"/>
        <vertAlign val="baseline"/>
      </font>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JRM</a:t>
            </a:r>
          </a:p>
        </rich>
      </tx>
      <overlay val="0"/>
      <spPr>
        <a:noFill/>
        <a:ln w="25400">
          <a:noFill/>
          <a:prstDash val="solid"/>
        </a:ln>
      </spPr>
    </title>
    <plotArea>
      <layout/>
      <barChart>
        <barDir val="col"/>
        <grouping val="clustered"/>
        <varyColors val="0"/>
        <ser>
          <idx val="0"/>
          <order val="0"/>
          <tx>
            <strRef>
              <f>BILAN!$C$3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BILAN!$C$4:$C$8</f>
              <numCache>
                <formatCode>0%</formatCode>
                <ptCount val="5"/>
                <pt idx="0">
                  <formatCode>0.0%</formatCode>
                  <v>0</v>
                </pt>
                <pt idx="1">
                  <v>0</v>
                </pt>
                <pt idx="2">
                  <formatCode>0.0%</formatCode>
                  <v>0</v>
                </pt>
                <pt idx="3">
                  <formatCode>0.0%</formatCode>
                  <v>0</v>
                </pt>
                <pt idx="4">
                  <formatCode>0.0%</formatCode>
                  <v>0</v>
                </pt>
              </numCache>
            </numRef>
          </val>
        </ser>
        <ser>
          <idx val="1"/>
          <order val="1"/>
          <tx>
            <strRef>
              <f>BILAN!$D$3</f>
              <strCache>
                <ptCount val="1"/>
                <pt idx="0">
                  <v>Contaminant A</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BILAN!$D$4:$D$8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088559"/>
        <axId val="1"/>
      </barChart>
      <lineChart>
        <grouping val="standard"/>
        <varyColors val="0"/>
        <ser>
          <idx val="2"/>
          <order val="2"/>
          <tx>
            <strRef>
              <f>BILAN!$E$3</f>
              <strCache>
                <ptCount val="1"/>
                <pt idx="0">
                  <v>Objectif JRM</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BILAN!$E$4:$E$8</f>
              <numCache>
                <formatCode>0%</formatCode>
                <ptCount val="5"/>
                <pt idx="0">
                  <v>0.97</v>
                </pt>
                <pt idx="1">
                  <v>0.97</v>
                </pt>
                <pt idx="2">
                  <v>0.97</v>
                </pt>
                <pt idx="3">
                  <v>0.97</v>
                </pt>
                <pt idx="4">
                  <v>0.97</v>
                </pt>
              </numCache>
            </numRef>
          </val>
          <smooth val="0"/>
        </ser>
        <dLbls>
          <showLegendKey val="0"/>
          <showVal val="0"/>
          <showCatName val="0"/>
          <showSerName val="0"/>
          <showPercent val="0"/>
          <showBubbleSize val="0"/>
        </dLbls>
        <marker val="1"/>
        <smooth val="0"/>
        <axId val="1584088559"/>
        <axId val="1"/>
      </lineChart>
      <catAx>
        <axId val="158408855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max val="1"/>
        </scaling>
        <delete val="0"/>
        <axPos val="l"/>
        <majorGridlines>
          <spPr>
            <a:ln w="9525" cap="flat" cmpd="sng" algn="ctr">
              <a:solidFill>
                <a:schemeClr val="tx1">
                  <a:lumMod val="15000"/>
                  <a:lumOff val="85000"/>
                </a:schemeClr>
              </a:solidFill>
              <a:prstDash val="solid"/>
              <a:round/>
            </a:ln>
          </spPr>
        </majorGridlines>
        <numFmt formatCode="0.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08855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EMR</a:t>
            </a:r>
          </a:p>
        </rich>
      </tx>
      <overlay val="0"/>
      <spPr>
        <a:noFill/>
        <a:ln w="25400">
          <a:noFill/>
          <a:prstDash val="solid"/>
        </a:ln>
      </spPr>
    </title>
    <plotArea>
      <layout/>
      <barChart>
        <barDir val="col"/>
        <grouping val="clustered"/>
        <varyColors val="0"/>
        <ser>
          <idx val="0"/>
          <order val="0"/>
          <tx>
            <strRef>
              <f>BILAN!$H$3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BILAN!$H$4:$H$8</f>
              <numCache>
                <formatCode>0%</formatCode>
                <ptCount val="5"/>
                <pt idx="0">
                  <v>0</v>
                </pt>
                <pt idx="1">
                  <v>0</v>
                </pt>
                <pt idx="2">
                  <v>0</v>
                </pt>
                <pt idx="3">
                  <v>0</v>
                </pt>
                <pt idx="4">
                  <v>0</v>
                </pt>
              </numCache>
            </numRef>
          </val>
        </ser>
        <ser>
          <idx val="1"/>
          <order val="1"/>
          <tx>
            <strRef>
              <f>BILAN!$I$3</f>
              <strCache>
                <ptCount val="1"/>
                <pt idx="0">
                  <v xml:space="preserve">CC + REFUS </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BILAN!$I$4:$I$8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091439"/>
        <axId val="1"/>
      </barChart>
      <lineChart>
        <grouping val="standard"/>
        <varyColors val="0"/>
        <ser>
          <idx val="2"/>
          <order val="2"/>
          <tx>
            <strRef>
              <f>BILAN!$J$3</f>
              <strCache>
                <ptCount val="1"/>
                <pt idx="0">
                  <v>Objectif EMR</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BILAN!$J$4:$J$8</f>
              <numCache>
                <formatCode>0%</formatCode>
                <ptCount val="5"/>
                <pt idx="0">
                  <v>0.95</v>
                </pt>
                <pt idx="1">
                  <v>0.95</v>
                </pt>
                <pt idx="2">
                  <v>0.95</v>
                </pt>
                <pt idx="3">
                  <v>0.95</v>
                </pt>
                <pt idx="4">
                  <v>0.95</v>
                </pt>
              </numCache>
            </numRef>
          </val>
          <smooth val="0"/>
        </ser>
        <dLbls>
          <showLegendKey val="0"/>
          <showVal val="0"/>
          <showCatName val="0"/>
          <showSerName val="0"/>
          <showPercent val="0"/>
          <showBubbleSize val="0"/>
        </dLbls>
        <marker val="1"/>
        <smooth val="0"/>
        <axId val="1584091439"/>
        <axId val="1"/>
      </lineChart>
      <catAx>
        <axId val="158409143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09143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CARTON</a:t>
            </a:r>
          </a:p>
        </rich>
      </tx>
      <overlay val="0"/>
      <spPr>
        <a:noFill/>
        <a:ln w="25400">
          <a:noFill/>
          <a:prstDash val="solid"/>
        </a:ln>
      </spPr>
    </title>
    <plotArea>
      <layout/>
      <barChart>
        <barDir val="col"/>
        <grouping val="clustered"/>
        <varyColors val="0"/>
        <ser>
          <idx val="0"/>
          <order val="0"/>
          <tx>
            <strRef>
              <f>BILAN!$M$3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BILAN!$M$4:$M$8</f>
              <numCache>
                <formatCode>0%</formatCode>
                <ptCount val="5"/>
                <pt idx="0">
                  <v>0</v>
                </pt>
                <pt idx="1">
                  <v>0</v>
                </pt>
                <pt idx="2">
                  <v>0</v>
                </pt>
                <pt idx="3">
                  <v>0</v>
                </pt>
                <pt idx="4">
                  <v>0</v>
                </pt>
              </numCache>
            </numRef>
          </val>
        </ser>
        <ser>
          <idx val="1"/>
          <order val="1"/>
          <tx>
            <strRef>
              <f>BILAN!$N$3</f>
              <strCache>
                <ptCount val="1"/>
                <pt idx="0">
                  <v xml:space="preserve">CC + REFUS </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BILAN!$N$4:$N$8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084719"/>
        <axId val="1"/>
      </barChart>
      <lineChart>
        <grouping val="standard"/>
        <varyColors val="0"/>
        <ser>
          <idx val="2"/>
          <order val="2"/>
          <tx>
            <strRef>
              <f>BILAN!$O$3</f>
              <strCache>
                <ptCount val="1"/>
                <pt idx="0">
                  <v>Objectif CARTON</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BILAN!$O$4:$O$8</f>
              <numCache>
                <formatCode>0%</formatCode>
                <ptCount val="5"/>
                <pt idx="0">
                  <v>0.95</v>
                </pt>
                <pt idx="1">
                  <v>0.95</v>
                </pt>
                <pt idx="2">
                  <v>0.95</v>
                </pt>
                <pt idx="3">
                  <v>0.95</v>
                </pt>
                <pt idx="4">
                  <v>0.95</v>
                </pt>
              </numCache>
            </numRef>
          </val>
          <smooth val="0"/>
        </ser>
        <dLbls>
          <showLegendKey val="0"/>
          <showVal val="0"/>
          <showCatName val="0"/>
          <showSerName val="0"/>
          <showPercent val="0"/>
          <showBubbleSize val="0"/>
        </dLbls>
        <marker val="1"/>
        <smooth val="0"/>
        <axId val="1584084719"/>
        <axId val="1"/>
      </lineChart>
      <catAx>
        <axId val="158408471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08471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GM</a:t>
            </a:r>
          </a:p>
        </rich>
      </tx>
      <overlay val="0"/>
      <spPr>
        <a:noFill/>
        <a:ln w="25400">
          <a:noFill/>
          <a:prstDash val="solid"/>
        </a:ln>
      </spPr>
    </title>
    <plotArea>
      <layout/>
      <barChart>
        <barDir val="col"/>
        <grouping val="clustered"/>
        <varyColors val="0"/>
        <ser>
          <idx val="0"/>
          <order val="0"/>
          <tx>
            <strRef>
              <f>BILAN!$R$3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BILAN!$R$4:$R$8</f>
              <numCache>
                <formatCode>0%</formatCode>
                <ptCount val="5"/>
                <pt idx="0">
                  <v>0</v>
                </pt>
                <pt idx="1">
                  <v>0</v>
                </pt>
                <pt idx="2">
                  <v>0</v>
                </pt>
                <pt idx="3">
                  <v>0</v>
                </pt>
                <pt idx="4">
                  <v>0</v>
                </pt>
              </numCache>
            </numRef>
          </val>
        </ser>
        <ser>
          <idx val="1"/>
          <order val="1"/>
          <tx>
            <strRef>
              <f>BILAN!$S$3</f>
              <strCache>
                <ptCount val="1"/>
                <pt idx="0">
                  <v xml:space="preserve">CC + REFUS </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BILAN!$S$4:$S$8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112559"/>
        <axId val="1"/>
      </barChart>
      <lineChart>
        <grouping val="standard"/>
        <varyColors val="0"/>
        <ser>
          <idx val="2"/>
          <order val="2"/>
          <tx>
            <strRef>
              <f>BILAN!$T$3</f>
              <strCache>
                <ptCount val="1"/>
                <pt idx="0">
                  <v>Objectif GM</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BILAN!$T$4:$T$8</f>
              <numCache>
                <formatCode>0%</formatCode>
                <ptCount val="5"/>
                <pt idx="0">
                  <v>0.98</v>
                </pt>
                <pt idx="1">
                  <v>0.98</v>
                </pt>
                <pt idx="2">
                  <v>0.98</v>
                </pt>
                <pt idx="3">
                  <v>0.98</v>
                </pt>
                <pt idx="4">
                  <v>0.98</v>
                </pt>
              </numCache>
            </numRef>
          </val>
          <smooth val="0"/>
        </ser>
        <dLbls>
          <showLegendKey val="0"/>
          <showVal val="0"/>
          <showCatName val="0"/>
          <showSerName val="0"/>
          <showPercent val="0"/>
          <showBubbleSize val="0"/>
        </dLbls>
        <marker val="1"/>
        <smooth val="0"/>
        <axId val="1584112559"/>
        <axId val="1"/>
      </lineChart>
      <catAx>
        <axId val="158411255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max val="1"/>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11255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Q9</a:t>
            </a:r>
          </a:p>
        </rich>
      </tx>
      <overlay val="0"/>
      <spPr>
        <a:noFill/>
        <a:ln w="25400">
          <a:noFill/>
          <a:prstDash val="solid"/>
        </a:ln>
      </spPr>
    </title>
    <plotArea>
      <layout/>
      <barChart>
        <barDir val="col"/>
        <grouping val="clustered"/>
        <varyColors val="0"/>
        <ser>
          <idx val="0"/>
          <order val="0"/>
          <tx>
            <strRef>
              <f>BILAN!$W$3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BILAN!$W$4:$W$8</f>
              <numCache>
                <formatCode>0%</formatCode>
                <ptCount val="5"/>
                <pt idx="0">
                  <v>0</v>
                </pt>
                <pt idx="1">
                  <v>0</v>
                </pt>
                <pt idx="2">
                  <v>0</v>
                </pt>
                <pt idx="3">
                  <v>0</v>
                </pt>
                <pt idx="4">
                  <v>0</v>
                </pt>
              </numCache>
            </numRef>
          </val>
        </ser>
        <ser>
          <idx val="1"/>
          <order val="1"/>
          <tx>
            <strRef>
              <f>BILAN!$X$3</f>
              <strCache>
                <ptCount val="1"/>
                <pt idx="0">
                  <v>PET B</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BILAN!$X$4:$X$8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113039"/>
        <axId val="1"/>
      </barChart>
      <lineChart>
        <grouping val="standard"/>
        <varyColors val="0"/>
        <ser>
          <idx val="2"/>
          <order val="2"/>
          <tx>
            <strRef>
              <f>BILAN!$Y$3</f>
              <strCache>
                <ptCount val="1"/>
                <pt idx="0">
                  <v>Objectif Q9</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BILAN!$Y$4:$Y$8</f>
              <numCache>
                <formatCode>0%</formatCode>
                <ptCount val="5"/>
                <pt idx="0">
                  <v>0.98</v>
                </pt>
                <pt idx="1">
                  <v>0.98</v>
                </pt>
                <pt idx="2">
                  <v>0.98</v>
                </pt>
                <pt idx="3">
                  <v>0.98</v>
                </pt>
                <pt idx="4">
                  <v>0.98</v>
                </pt>
              </numCache>
            </numRef>
          </val>
          <smooth val="0"/>
        </ser>
        <dLbls>
          <showLegendKey val="0"/>
          <showVal val="0"/>
          <showCatName val="0"/>
          <showSerName val="0"/>
          <showPercent val="0"/>
          <showBubbleSize val="0"/>
        </dLbls>
        <marker val="1"/>
        <smooth val="0"/>
        <axId val="1584113039"/>
        <axId val="1"/>
      </lineChart>
      <catAx>
        <axId val="158411303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max val="1"/>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11303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FLUX</a:t>
            </a:r>
            <a:r>
              <a:rPr lang="fr-FR" baseline="0"/>
              <a:t xml:space="preserve"> DEV</a:t>
            </a:r>
            <a:endParaRPr lang="fr-FR"/>
          </a:p>
        </rich>
      </tx>
      <overlay val="0"/>
      <spPr>
        <a:noFill/>
        <a:ln w="25400">
          <a:noFill/>
          <a:prstDash val="solid"/>
        </a:ln>
      </spPr>
    </title>
    <plotArea>
      <layout/>
      <barChart>
        <barDir val="col"/>
        <grouping val="clustered"/>
        <varyColors val="0"/>
        <ser>
          <idx val="0"/>
          <order val="0"/>
          <tx>
            <strRef>
              <f>BILAN!$AB$3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BILAN!$AB$4:$AB$8</f>
              <numCache>
                <formatCode>0%</formatCode>
                <ptCount val="5"/>
                <pt idx="0">
                  <v>0</v>
                </pt>
                <pt idx="1">
                  <v>0</v>
                </pt>
                <pt idx="2">
                  <v>0</v>
                </pt>
                <pt idx="3">
                  <v>0</v>
                </pt>
                <pt idx="4">
                  <v>0</v>
                </pt>
              </numCache>
            </numRef>
          </val>
        </ser>
        <ser>
          <idx val="1"/>
          <order val="1"/>
          <tx>
            <strRef>
              <f>BILAN!$AC$3</f>
              <strCache>
                <ptCount val="1"/>
                <pt idx="0">
                  <v>PET Q9</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BILAN!$AC$4:$AC$8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098159"/>
        <axId val="1"/>
      </barChart>
      <lineChart>
        <grouping val="standard"/>
        <varyColors val="0"/>
        <ser>
          <idx val="2"/>
          <order val="2"/>
          <tx>
            <strRef>
              <f>BILAN!$AD$3</f>
              <strCache>
                <ptCount val="1"/>
                <pt idx="0">
                  <v>Objectif FLUX DEV</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BILAN!$AD$4:$AD$8</f>
              <numCache>
                <formatCode>0%</formatCode>
                <ptCount val="5"/>
                <pt idx="0">
                  <v>0.98</v>
                </pt>
                <pt idx="1">
                  <v>0.98</v>
                </pt>
                <pt idx="2">
                  <v>0.98</v>
                </pt>
                <pt idx="3">
                  <v>0.98</v>
                </pt>
                <pt idx="4">
                  <v>0.98</v>
                </pt>
              </numCache>
            </numRef>
          </val>
          <smooth val="0"/>
        </ser>
        <dLbls>
          <showLegendKey val="0"/>
          <showVal val="0"/>
          <showCatName val="0"/>
          <showSerName val="0"/>
          <showPercent val="0"/>
          <showBubbleSize val="0"/>
        </dLbls>
        <marker val="1"/>
        <smooth val="0"/>
        <axId val="1584098159"/>
        <axId val="1"/>
      </lineChart>
      <catAx>
        <axId val="158409815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max val="1"/>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09815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PEPP</a:t>
            </a:r>
          </a:p>
        </rich>
      </tx>
      <overlay val="0"/>
      <spPr>
        <a:noFill/>
        <a:ln w="25400">
          <a:noFill/>
          <a:prstDash val="solid"/>
        </a:ln>
      </spPr>
    </title>
    <plotArea>
      <layout/>
      <barChart>
        <barDir val="col"/>
        <grouping val="clustered"/>
        <varyColors val="0"/>
        <ser>
          <idx val="0"/>
          <order val="0"/>
          <tx>
            <strRef>
              <f>BILAN!$AL$3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BILAN!$AL$4:$AL$8</f>
              <numCache>
                <formatCode>0%</formatCode>
                <ptCount val="5"/>
                <pt idx="0">
                  <v>0</v>
                </pt>
                <pt idx="1">
                  <v>0</v>
                </pt>
                <pt idx="2">
                  <v>0</v>
                </pt>
                <pt idx="3">
                  <v>0</v>
                </pt>
                <pt idx="4">
                  <v>0</v>
                </pt>
              </numCache>
            </numRef>
          </val>
        </ser>
        <ser>
          <idx val="1"/>
          <order val="1"/>
          <tx>
            <strRef>
              <f>BILAN!$AM$3</f>
              <strCache>
                <ptCount val="1"/>
                <pt idx="0">
                  <v>FIBREUX + ELA</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BILAN!$AM$4:$AM$8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109199"/>
        <axId val="1"/>
      </barChart>
      <lineChart>
        <grouping val="standard"/>
        <varyColors val="0"/>
        <ser>
          <idx val="2"/>
          <order val="2"/>
          <tx>
            <strRef>
              <f>BILAN!$AN$3</f>
              <strCache>
                <ptCount val="1"/>
                <pt idx="0">
                  <v>Objectif PEPP</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BILAN!$AN$4:$AN$8</f>
              <numCache>
                <formatCode>0%</formatCode>
                <ptCount val="5"/>
                <pt idx="0">
                  <v>0.95</v>
                </pt>
                <pt idx="1">
                  <v>0.95</v>
                </pt>
                <pt idx="2">
                  <v>0.95</v>
                </pt>
                <pt idx="3">
                  <v>0.95</v>
                </pt>
                <pt idx="4">
                  <v>0.95</v>
                </pt>
              </numCache>
            </numRef>
          </val>
          <smooth val="0"/>
        </ser>
        <dLbls>
          <showLegendKey val="0"/>
          <showVal val="0"/>
          <showCatName val="0"/>
          <showSerName val="0"/>
          <showPercent val="0"/>
          <showBubbleSize val="0"/>
        </dLbls>
        <marker val="1"/>
        <smooth val="0"/>
        <axId val="1584109199"/>
        <axId val="1"/>
      </lineChart>
      <catAx>
        <axId val="158410919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10919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8.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ELA</a:t>
            </a:r>
          </a:p>
        </rich>
      </tx>
      <overlay val="0"/>
      <spPr>
        <a:noFill/>
        <a:ln w="25400">
          <a:noFill/>
          <a:prstDash val="solid"/>
        </a:ln>
      </spPr>
    </title>
    <plotArea>
      <layout/>
      <barChart>
        <barDir val="col"/>
        <grouping val="clustered"/>
        <varyColors val="0"/>
        <ser>
          <idx val="0"/>
          <order val="0"/>
          <tx>
            <strRef>
              <f>BILAN!$AQ$3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BILAN!$AQ$4:$AQ$8</f>
              <numCache>
                <formatCode>0%</formatCode>
                <ptCount val="5"/>
                <pt idx="0">
                  <v>0</v>
                </pt>
                <pt idx="1">
                  <v>0</v>
                </pt>
                <pt idx="2">
                  <v>0</v>
                </pt>
                <pt idx="3">
                  <v>0</v>
                </pt>
                <pt idx="4">
                  <v>0</v>
                </pt>
              </numCache>
            </numRef>
          </val>
        </ser>
        <ser>
          <idx val="1"/>
          <order val="1"/>
          <tx>
            <strRef>
              <f>BILAN!$AR$3</f>
              <strCache>
                <ptCount val="1"/>
                <pt idx="0">
                  <v>FIBREUX</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BILAN!$AR$4:$AR$8</f>
              <numCache>
                <formatCode>0%</formatCode>
                <ptCount val="5"/>
                <pt idx="0">
                  <v>0</v>
                </pt>
                <pt idx="1">
                  <v>0</v>
                </pt>
                <pt idx="2">
                  <v>0</v>
                </pt>
                <pt idx="3">
                  <v>0</v>
                </pt>
                <pt idx="4">
                  <v>0</v>
                </pt>
              </numCache>
            </numRef>
          </val>
        </ser>
        <ser>
          <idx val="2"/>
          <order val="2"/>
          <tx>
            <strRef>
              <f>BILAN!$AT$3</f>
              <strCache>
                <ptCount val="1"/>
                <pt idx="0">
                  <v>CC</v>
                </pt>
              </strCache>
            </strRef>
          </tx>
          <spPr>
            <a:ln>
              <a:solidFill>
                <a:schemeClr val="accent4"/>
              </a:solidFill>
              <a:prstDash val="solid"/>
            </a:ln>
          </spPr>
          <invertIfNegative val="0"/>
          <dLbls>
            <spPr>
              <a:noFill/>
              <a:ln w="25400">
                <a:noFill/>
                <a:prstDash val="solid"/>
              </a:ln>
            </spPr>
            <showLegendKey val="0"/>
            <showVal val="1"/>
            <showCatName val="0"/>
            <showSerName val="0"/>
            <showPercent val="0"/>
            <showBubbleSize val="0"/>
            <showLeaderLines val="0"/>
          </dLbls>
          <val>
            <numRef>
              <f>BILAN!$AT$4:$AT$8</f>
              <numCache>
                <formatCode>0%</formatCode>
                <ptCount val="5"/>
                <pt idx="0">
                  <v>0</v>
                </pt>
                <pt idx="1">
                  <v>0</v>
                </pt>
                <pt idx="2">
                  <v>0</v>
                </pt>
                <pt idx="3">
                  <v>0</v>
                </pt>
                <pt idx="4">
                  <v>0</v>
                </pt>
              </numCache>
            </numRef>
          </val>
        </ser>
        <dLbls>
          <showLegendKey val="0"/>
          <showVal val="0"/>
          <showCatName val="0"/>
          <showSerName val="0"/>
          <showPercent val="0"/>
          <showBubbleSize val="0"/>
        </dLbls>
        <gapWidth val="150"/>
        <axId val="1584085679"/>
        <axId val="1"/>
      </barChart>
      <lineChart>
        <grouping val="standard"/>
        <varyColors val="0"/>
        <ser>
          <idx val="3"/>
          <order val="3"/>
          <tx>
            <strRef>
              <f>BILAN!$AS$3</f>
              <strCache>
                <ptCount val="1"/>
                <pt idx="0">
                  <v>Objectif ELA</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BILAN!$AS$4:$AS$8</f>
              <numCache>
                <formatCode>0%</formatCode>
                <ptCount val="5"/>
                <pt idx="0">
                  <v>0.95</v>
                </pt>
                <pt idx="1">
                  <v>0.95</v>
                </pt>
                <pt idx="2">
                  <v>0.95</v>
                </pt>
                <pt idx="3">
                  <v>0.95</v>
                </pt>
                <pt idx="4">
                  <v>0.95</v>
                </pt>
              </numCache>
            </numRef>
          </val>
          <smooth val="0"/>
        </ser>
        <dLbls>
          <showLegendKey val="0"/>
          <showVal val="0"/>
          <showCatName val="0"/>
          <showSerName val="0"/>
          <showPercent val="0"/>
          <showBubbleSize val="0"/>
        </dLbls>
        <marker val="1"/>
        <smooth val="0"/>
        <axId val="1584085679"/>
        <axId val="1"/>
      </lineChart>
      <catAx>
        <axId val="158408567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085679"/>
        <crossesAt val="1"/>
        <crossBetween val="between"/>
      </valAx>
    </plotArea>
    <legend>
      <legendPos val="t"/>
      <overlay val="0"/>
      <spPr>
        <a:noFill/>
        <a:ln w="25400">
          <a:solidFill>
            <a:schemeClr val="accent1"/>
          </a:solid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9.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FILM</a:t>
            </a:r>
          </a:p>
        </rich>
      </tx>
      <overlay val="0"/>
      <spPr>
        <a:noFill/>
        <a:ln w="25400">
          <a:noFill/>
          <a:prstDash val="solid"/>
        </a:ln>
      </spPr>
    </title>
    <plotArea>
      <layout/>
      <barChart>
        <barDir val="col"/>
        <grouping val="clustered"/>
        <varyColors val="0"/>
        <ser>
          <idx val="0"/>
          <order val="0"/>
          <tx>
            <strRef>
              <f>BILAN!$AW$3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BILAN!$AW$4:$AW$8</f>
              <numCache>
                <formatCode>0%</formatCode>
                <ptCount val="5"/>
                <pt idx="0">
                  <v>0</v>
                </pt>
                <pt idx="1">
                  <v>0</v>
                </pt>
                <pt idx="2">
                  <v>0</v>
                </pt>
                <pt idx="3">
                  <v>0</v>
                </pt>
                <pt idx="4">
                  <v>0</v>
                </pt>
              </numCache>
            </numRef>
          </val>
        </ser>
        <ser>
          <idx val="1"/>
          <order val="1"/>
          <tx>
            <strRef>
              <f>BILAN!$AX$3</f>
              <strCache>
                <ptCount val="1"/>
                <pt idx="0">
                  <v xml:space="preserve">FIBREUX + CC </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BILAN!$AX$4:$AX$8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115439"/>
        <axId val="1"/>
      </barChart>
      <lineChart>
        <grouping val="standard"/>
        <varyColors val="0"/>
        <ser>
          <idx val="2"/>
          <order val="2"/>
          <tx>
            <strRef>
              <f>BILAN!$AY$3</f>
              <strCache>
                <ptCount val="1"/>
                <pt idx="0">
                  <v>Objectif FILM</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BILAN!$AY$4:$AY$8</f>
              <numCache>
                <formatCode>0%</formatCode>
                <ptCount val="5"/>
                <pt idx="0">
                  <v>0.95</v>
                </pt>
                <pt idx="1">
                  <v>0.95</v>
                </pt>
                <pt idx="2">
                  <v>0.95</v>
                </pt>
                <pt idx="3">
                  <v>0.95</v>
                </pt>
                <pt idx="4">
                  <v>0.95</v>
                </pt>
              </numCache>
            </numRef>
          </val>
          <smooth val="0"/>
        </ser>
        <dLbls>
          <showLegendKey val="0"/>
          <showVal val="0"/>
          <showCatName val="0"/>
          <showSerName val="0"/>
          <showPercent val="0"/>
          <showBubbleSize val="0"/>
        </dLbls>
        <marker val="1"/>
        <smooth val="0"/>
        <axId val="1584115439"/>
        <axId val="1"/>
      </lineChart>
      <catAx>
        <axId val="158411543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max val="1"/>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11543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0.xml><?xml version="1.0" encoding="utf-8"?>
<chartSpace xmlns:a="http://schemas.openxmlformats.org/drawingml/2006/main" xmlns="http://schemas.openxmlformats.org/drawingml/2006/chart">
  <chart>
    <title>
      <tx>
        <rich>
          <a:bodyPr/>
          <a:lstStyle/>
          <a:p>
            <a:pPr>
              <a:defRPr sz="1680" b="1" i="0" strike="noStrike" baseline="0">
                <a:solidFill>
                  <a:srgbClr val="333333"/>
                </a:solidFill>
                <a:latin typeface="Calibri"/>
                <a:ea typeface="Calibri"/>
                <a:cs typeface="Calibri"/>
              </a:defRPr>
            </a:pPr>
            <a:r>
              <a:rPr lang="fr-FR"/>
              <a:t>REFUS</a:t>
            </a:r>
          </a:p>
        </rich>
      </tx>
      <overlay val="0"/>
      <spPr>
        <a:noFill/>
        <a:ln w="25400">
          <a:noFill/>
          <a:prstDash val="solid"/>
        </a:ln>
      </spPr>
    </title>
    <plotArea>
      <layout/>
      <barChart>
        <barDir val="col"/>
        <grouping val="clustered"/>
        <varyColors val="0"/>
        <ser>
          <idx val="0"/>
          <order val="0"/>
          <tx>
            <strRef>
              <f>BILAN!$BQ$3</f>
              <strCache>
                <ptCount val="1"/>
                <pt idx="0">
                  <v>Taux de pureté</v>
                </pt>
              </strCache>
            </strRef>
          </tx>
          <spPr>
            <a:solidFill>
              <a:schemeClr val="accent1"/>
            </a:solidFill>
            <a:ln>
              <a:solidFill>
                <a:schemeClr val="accent1"/>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BILAN!$BQ$4:$BQ$8</f>
              <numCache>
                <formatCode>0%</formatCode>
                <ptCount val="5"/>
                <pt idx="0">
                  <v>0</v>
                </pt>
                <pt idx="1">
                  <v>0</v>
                </pt>
                <pt idx="2">
                  <v>0</v>
                </pt>
                <pt idx="3">
                  <v>0</v>
                </pt>
                <pt idx="4">
                  <v>0</v>
                </pt>
              </numCache>
            </numRef>
          </val>
        </ser>
        <ser>
          <idx val="1"/>
          <order val="1"/>
          <tx>
            <strRef>
              <f>BILAN!$BR$3</f>
              <strCache>
                <ptCount val="1"/>
                <pt idx="0">
                  <v xml:space="preserve">FIBREUX + CC </v>
                </pt>
              </strCache>
            </strRef>
          </tx>
          <spPr>
            <a:solidFill>
              <a:schemeClr val="accent2"/>
            </a:solidFill>
            <a:ln>
              <a:solidFill>
                <a:schemeClr val="accent2"/>
              </a:solidFill>
              <a:prstDash val="solid"/>
            </a:ln>
          </spPr>
          <invertIfNegative val="0"/>
          <dLbls>
            <spPr>
              <a:noFill/>
              <a:ln w="25400">
                <a:noFill/>
                <a:prstDash val="solid"/>
              </a:ln>
            </spPr>
            <txPr>
              <a:bodyPr wrap="square" lIns="38100" tIns="19050" rIns="38100" bIns="19050" anchor="ctr">
                <a:spAutoFit/>
              </a:bodyPr>
              <a:lstStyle/>
              <a:p>
                <a:pPr>
                  <a:defRPr sz="1400" b="1" i="0" strike="noStrike" baseline="0">
                    <a:solidFill>
                      <a:srgbClr val="333333"/>
                    </a:solidFill>
                    <a:latin typeface="Calibri"/>
                    <a:ea typeface="Calibri"/>
                    <a:cs typeface="Calibri"/>
                  </a:defRPr>
                </a:pPr>
                <a:r>
                  <a:t>None</a:t>
                </a:r>
                <a:endParaRPr lang="fr-FR"/>
              </a:p>
            </txPr>
            <showLegendKey val="0"/>
            <showVal val="1"/>
            <showCatName val="0"/>
            <showSerName val="0"/>
            <showPercent val="0"/>
            <showBubbleSize val="0"/>
            <showLeaderLines val="0"/>
          </dLbls>
          <cat>
            <numRef>
              <f>BILAN!$A$4:$A$8</f>
              <numCache>
                <formatCode>General</formatCode>
                <ptCount val="5"/>
                <pt idx="0">
                  <v>4</v>
                </pt>
                <pt idx="1">
                  <v>5</v>
                </pt>
                <pt idx="2">
                  <v>6</v>
                </pt>
                <pt idx="3">
                  <v>7</v>
                </pt>
                <pt idx="4">
                  <v>8</v>
                </pt>
              </numCache>
            </numRef>
          </cat>
          <val>
            <numRef>
              <f>BILAN!$BR$4:$BR$8</f>
              <numCache>
                <formatCode>0%</formatCode>
                <ptCount val="5"/>
                <pt idx="0">
                  <v>0</v>
                </pt>
                <pt idx="1">
                  <v>0</v>
                </pt>
                <pt idx="2">
                  <v>0</v>
                </pt>
                <pt idx="3">
                  <v>0</v>
                </pt>
                <pt idx="4">
                  <v>0</v>
                </pt>
              </numCache>
            </numRef>
          </val>
        </ser>
        <dLbls>
          <showLegendKey val="0"/>
          <showVal val="0"/>
          <showCatName val="0"/>
          <showSerName val="0"/>
          <showPercent val="0"/>
          <showBubbleSize val="0"/>
        </dLbls>
        <gapWidth val="50"/>
        <axId val="1584116879"/>
        <axId val="1"/>
      </barChart>
      <lineChart>
        <grouping val="standard"/>
        <varyColors val="0"/>
        <ser>
          <idx val="2"/>
          <order val="2"/>
          <tx>
            <strRef>
              <f>BILAN!$BS$3</f>
              <strCache>
                <ptCount val="1"/>
                <pt idx="0">
                  <v>Objectif REFUS</v>
                </pt>
              </strCache>
            </strRef>
          </tx>
          <spPr>
            <a:ln w="28575" cap="rnd">
              <a:solidFill>
                <a:schemeClr val="accent3"/>
              </a:solidFill>
              <a:prstDash val="solid"/>
              <a:round/>
            </a:ln>
          </spPr>
          <marker>
            <symbol val="none"/>
            <spPr>
              <a:ln>
                <a:prstDash val="solid"/>
              </a:ln>
            </spPr>
          </marker>
          <cat>
            <numRef>
              <f>BILAN!$A$4:$A$8</f>
              <numCache>
                <formatCode>General</formatCode>
                <ptCount val="5"/>
                <pt idx="0">
                  <v>4</v>
                </pt>
                <pt idx="1">
                  <v>5</v>
                </pt>
                <pt idx="2">
                  <v>6</v>
                </pt>
                <pt idx="3">
                  <v>7</v>
                </pt>
                <pt idx="4">
                  <v>8</v>
                </pt>
              </numCache>
            </numRef>
          </cat>
          <val>
            <numRef>
              <f>BILAN!$BS$4:$BS$8</f>
              <numCache>
                <formatCode>0%</formatCode>
                <ptCount val="5"/>
                <pt idx="0">
                  <v>0.95</v>
                </pt>
                <pt idx="1">
                  <v>0.95</v>
                </pt>
                <pt idx="2">
                  <v>0.95</v>
                </pt>
                <pt idx="3">
                  <v>0.95</v>
                </pt>
                <pt idx="4">
                  <v>0.95</v>
                </pt>
              </numCache>
            </numRef>
          </val>
          <smooth val="0"/>
        </ser>
        <dLbls>
          <showLegendKey val="0"/>
          <showVal val="0"/>
          <showCatName val="0"/>
          <showSerName val="0"/>
          <showPercent val="0"/>
          <showBubbleSize val="0"/>
        </dLbls>
        <marker val="1"/>
        <smooth val="0"/>
        <axId val="1584116879"/>
        <axId val="1"/>
      </lineChart>
      <catAx>
        <axId val="158411687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0" vert="horz"/>
          <a:lstStyle/>
          <a:p>
            <a:pPr>
              <a:defRPr sz="1100" b="1" i="0" strike="noStrike" baseline="0">
                <a:solidFill>
                  <a:srgbClr val="333333"/>
                </a:solidFill>
                <a:latin typeface="Calibri"/>
                <a:ea typeface="Calibri"/>
                <a:cs typeface="Calibri"/>
              </a:defRPr>
            </a:pPr>
            <a:r>
              <a:t>None</a:t>
            </a:r>
            <a:endParaRPr lang="fr-FR"/>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ln w="9525">
            <a:noFill/>
            <a:prstDash val="solid"/>
          </a:ln>
        </spPr>
        <txPr>
          <a:bodyPr rot="0" vert="horz"/>
          <a:lstStyle/>
          <a:p>
            <a:pPr>
              <a:defRPr sz="1100" b="1" i="0" strike="noStrike" baseline="0">
                <a:solidFill>
                  <a:srgbClr val="333333"/>
                </a:solidFill>
                <a:latin typeface="Calibri"/>
                <a:ea typeface="Calibri"/>
                <a:cs typeface="Calibri"/>
              </a:defRPr>
            </a:pPr>
            <a:r>
              <a:t>None</a:t>
            </a:r>
            <a:endParaRPr lang="fr-FR"/>
          </a:p>
        </txPr>
        <crossAx val="1584116879"/>
        <crossesAt val="1"/>
        <crossBetween val="between"/>
      </valAx>
    </plotArea>
    <legend>
      <legendPos val="t"/>
      <overlay val="0"/>
      <spPr>
        <a:noFill/>
        <a:ln w="25400">
          <a:noFill/>
          <a:prstDash val="solid"/>
        </a:ln>
      </spPr>
      <txPr>
        <a:bodyPr/>
        <a:lstStyle/>
        <a:p>
          <a:pPr>
            <a:defRPr sz="1285" b="1" i="0" strike="noStrike" baseline="0">
              <a:solidFill>
                <a:srgbClr val="333333"/>
              </a:solidFill>
              <a:latin typeface="Calibri"/>
              <a:ea typeface="Calibri"/>
              <a:cs typeface="Calibri"/>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Utilisateur Windows</author>
  </authors>
  <commentList>
    <comment ref="F1" authorId="0" shapeId="0">
      <text>
        <t>JRM + Enveloppe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495300</colOff>
      <row>67</row>
      <rowOff>133350</rowOff>
    </from>
    <to>
      <col>13</col>
      <colOff>228600</colOff>
      <row>111</row>
      <rowOff>114300</rowOff>
    </to>
    <graphicFrame>
      <nvGraphicFramePr>
        <cNvPr id="1" name="Chart 1"/>
        <cNvGraphicFramePr/>
      </nvGraphicFramePr>
      <xfrm/>
      <a:graphic>
        <a:graphicData uri="http://schemas.openxmlformats.org/drawingml/2006/chart">
          <c:chart r:id="rId1"/>
        </a:graphicData>
      </a:graphic>
    </graphicFrame>
    <clientData/>
  </twoCellAnchor>
  <twoCellAnchor>
    <from>
      <col>14</col>
      <colOff>933450</colOff>
      <row>68</row>
      <rowOff>38100</rowOff>
    </from>
    <to>
      <col>28</col>
      <colOff>609600</colOff>
      <row>110</row>
      <rowOff>114300</rowOff>
    </to>
    <graphicFrame>
      <nvGraphicFramePr>
        <cNvPr id="2" name="Chart 2"/>
        <cNvGraphicFramePr/>
      </nvGraphicFramePr>
      <xfrm/>
      <a:graphic>
        <a:graphicData uri="http://schemas.openxmlformats.org/drawingml/2006/chart">
          <c:chart r:id="rId2"/>
        </a:graphicData>
      </a:graphic>
    </graphicFrame>
    <clientData/>
  </twoCellAnchor>
  <twoCellAnchor>
    <from>
      <col>1</col>
      <colOff>0</colOff>
      <row>151</row>
      <rowOff>9525</rowOff>
    </from>
    <to>
      <col>13</col>
      <colOff>190500</colOff>
      <row>186</row>
      <rowOff>38100</rowOff>
    </to>
    <graphicFrame>
      <nvGraphicFramePr>
        <cNvPr id="3" name="Chart 3"/>
        <cNvGraphicFramePr/>
      </nvGraphicFramePr>
      <xfrm/>
      <a:graphic>
        <a:graphicData uri="http://schemas.openxmlformats.org/drawingml/2006/chart">
          <c:chart r:id="rId3"/>
        </a:graphicData>
      </a:graphic>
    </graphicFrame>
    <clientData/>
  </twoCellAnchor>
  <twoCellAnchor>
    <from>
      <col>17</col>
      <colOff>152400</colOff>
      <row>150</row>
      <rowOff>76200</rowOff>
    </from>
    <to>
      <col>29</col>
      <colOff>733425</colOff>
      <row>186</row>
      <rowOff>9525</rowOff>
    </to>
    <graphicFrame>
      <nvGraphicFramePr>
        <cNvPr id="4" name="Chart 4"/>
        <cNvGraphicFramePr/>
      </nvGraphicFramePr>
      <xfrm/>
      <a:graphic>
        <a:graphicData uri="http://schemas.openxmlformats.org/drawingml/2006/chart">
          <c:chart r:id="rId4"/>
        </a:graphicData>
      </a:graphic>
    </graphicFrame>
    <clientData/>
  </twoCellAnchor>
  <twoCellAnchor>
    <from>
      <col>8</col>
      <colOff>228600</colOff>
      <row>113</row>
      <rowOff>0</rowOff>
    </from>
    <to>
      <col>21</col>
      <colOff>647700</colOff>
      <row>148</row>
      <rowOff>76200</rowOff>
    </to>
    <graphicFrame>
      <nvGraphicFramePr>
        <cNvPr id="5" name="Chart 5"/>
        <cNvGraphicFramePr/>
      </nvGraphicFramePr>
      <xfrm/>
      <a:graphic>
        <a:graphicData uri="http://schemas.openxmlformats.org/drawingml/2006/chart">
          <c:chart r:id="rId5"/>
        </a:graphicData>
      </a:graphic>
    </graphicFrame>
    <clientData/>
  </twoCellAnchor>
  <twoCellAnchor>
    <from>
      <col>31</col>
      <colOff>571500</colOff>
      <row>68</row>
      <rowOff>0</rowOff>
    </from>
    <to>
      <col>43</col>
      <colOff>419100</colOff>
      <row>111</row>
      <rowOff>38100</rowOff>
    </to>
    <graphicFrame>
      <nvGraphicFramePr>
        <cNvPr id="6" name="Chart 6"/>
        <cNvGraphicFramePr/>
      </nvGraphicFramePr>
      <xfrm/>
      <a:graphic>
        <a:graphicData uri="http://schemas.openxmlformats.org/drawingml/2006/chart">
          <c:chart r:id="rId6"/>
        </a:graphicData>
      </a:graphic>
    </graphicFrame>
    <clientData/>
  </twoCellAnchor>
  <twoCellAnchor>
    <from>
      <col>45</col>
      <colOff>228600</colOff>
      <row>67</row>
      <rowOff>28575</rowOff>
    </from>
    <to>
      <col>58</col>
      <colOff>228600</colOff>
      <row>110</row>
      <rowOff>38100</rowOff>
    </to>
    <graphicFrame>
      <nvGraphicFramePr>
        <cNvPr id="7" name="Chart 7"/>
        <cNvGraphicFramePr/>
      </nvGraphicFramePr>
      <xfrm/>
      <a:graphic>
        <a:graphicData uri="http://schemas.openxmlformats.org/drawingml/2006/chart">
          <c:chart r:id="rId7"/>
        </a:graphicData>
      </a:graphic>
    </graphicFrame>
    <clientData/>
  </twoCellAnchor>
  <twoCellAnchor>
    <from>
      <col>32</col>
      <colOff>161925</colOff>
      <row>149</row>
      <rowOff>142875</rowOff>
    </from>
    <to>
      <col>44</col>
      <colOff>0</colOff>
      <row>185</row>
      <rowOff>76200</rowOff>
    </to>
    <graphicFrame>
      <nvGraphicFramePr>
        <cNvPr id="8" name="Chart 8"/>
        <cNvGraphicFramePr/>
      </nvGraphicFramePr>
      <xfrm/>
      <a:graphic>
        <a:graphicData uri="http://schemas.openxmlformats.org/drawingml/2006/chart">
          <c:chart r:id="rId8"/>
        </a:graphicData>
      </a:graphic>
    </graphicFrame>
    <clientData/>
  </twoCellAnchor>
  <twoCellAnchor>
    <from>
      <col>47</col>
      <colOff>266700</colOff>
      <row>150</row>
      <rowOff>28575</rowOff>
    </from>
    <to>
      <col>59</col>
      <colOff>419100</colOff>
      <row>186</row>
      <rowOff>38100</rowOff>
    </to>
    <graphicFrame>
      <nvGraphicFramePr>
        <cNvPr id="9" name="Chart 9"/>
        <cNvGraphicFramePr/>
      </nvGraphicFramePr>
      <xfrm/>
      <a:graphic>
        <a:graphicData uri="http://schemas.openxmlformats.org/drawingml/2006/chart">
          <c:chart r:id="rId9"/>
        </a:graphicData>
      </a:graphic>
    </graphicFrame>
    <clientData/>
  </twoCellAnchor>
  <twoCellAnchor>
    <from>
      <col>39</col>
      <colOff>428625</colOff>
      <row>112</row>
      <rowOff>133350</rowOff>
    </from>
    <to>
      <col>52</col>
      <colOff>381000</colOff>
      <row>148</row>
      <rowOff>76200</rowOff>
    </to>
    <graphicFrame>
      <nvGraphicFramePr>
        <cNvPr id="10" name="Chart 10"/>
        <cNvGraphicFramePr/>
      </nvGraphicFramePr>
      <xfrm/>
      <a:graphic>
        <a:graphicData uri="http://schemas.openxmlformats.org/drawingml/2006/chart">
          <c:chart r:id="rId10"/>
        </a:graphicData>
      </a:graphic>
    </graphicFrame>
    <clientData/>
  </twoCellAnchor>
</wsDr>
</file>

<file path=xl/tables/table1.xml><?xml version="1.0" encoding="utf-8"?>
<table xmlns="http://schemas.openxmlformats.org/spreadsheetml/2006/main" id="1" name="Tableau2" displayName="Tableau2" ref="A1:AW410" headerRowCount="1" totalsRowShown="0" headerRowDxfId="50" dataDxfId="49">
  <autoFilter ref="A1:AW410"/>
  <tableColumns count="49">
    <tableColumn id="1" name="1" dataDxfId="48"/>
    <tableColumn id="2" name="Flux caractérisé" dataDxfId="47"/>
    <tableColumn id="3" name="Date" dataDxfId="46"/>
    <tableColumn id="4" name="Equipe" dataDxfId="45"/>
    <tableColumn id="5" name="Provenance" dataDxfId="44"/>
    <tableColumn id="6" name="JRM" dataDxfId="43"/>
    <tableColumn id="7" name="EMR" dataDxfId="42"/>
    <tableColumn id="8" name="CARTON" dataDxfId="41"/>
    <tableColumn id="9" name="GM" dataDxfId="40"/>
    <tableColumn id="10" name="PETQ9" dataDxfId="39"/>
    <tableColumn id="57" name="FLUX DEV" dataDxfId="38"/>
    <tableColumn id="78" name="PET B" dataDxfId="37"/>
    <tableColumn id="12" name="PEPP" dataDxfId="36"/>
    <tableColumn id="15" name="ELA" dataDxfId="35"/>
    <tableColumn id="16" name="FILM" dataDxfId="34"/>
    <tableColumn id="17" name="ACIER" dataDxfId="33"/>
    <tableColumn id="18" name="ALU" dataDxfId="32"/>
    <tableColumn id="19" name="PETIT ALU" dataDxfId="31"/>
    <tableColumn id="22" name="REFUS" dataDxfId="30"/>
    <tableColumn id="23" name="Total (kg)" dataDxfId="29">
      <calculatedColumnFormula>SUM(F2:S2)</calculatedColumnFormula>
    </tableColumn>
    <tableColumn id="24" name="Taux de pureté " dataDxfId="28">
      <calculatedColumnFormula>(HLOOKUP(B2,F:T,A2,FALSE)/T2)</calculatedColumnFormula>
    </tableColumn>
    <tableColumn id="55" name="Remarques" dataDxfId="27"/>
    <tableColumn id="25" name="Année" dataDxfId="26">
      <calculatedColumnFormula>YEAR(C2)</calculatedColumnFormula>
    </tableColumn>
    <tableColumn id="26" name="Mois" dataDxfId="25">
      <calculatedColumnFormula>MONTH(C2)</calculatedColumnFormula>
    </tableColumn>
    <tableColumn id="27" name="Semaine" dataDxfId="24">
      <calculatedColumnFormula>WEEKNUM(C2,21)</calculatedColumnFormula>
    </tableColumn>
    <tableColumn id="29" name="JRM*" dataDxfId="23"/>
    <tableColumn id="30" name="EMR*" dataDxfId="22"/>
    <tableColumn id="31" name="CARTON*" dataDxfId="21"/>
    <tableColumn id="32" name="GM*" dataDxfId="20"/>
    <tableColumn id="33" name="PET Q9*" dataDxfId="19"/>
    <tableColumn id="34" name="FLUX DEV*" dataDxfId="18">
      <calculatedColumnFormula>IFERROR(K2/$T2,0)</calculatedColumnFormula>
    </tableColumn>
    <tableColumn id="63" name="PET B*" dataDxfId="17">
      <calculatedColumnFormula>IFERROR(L2/$T2,0)</calculatedColumnFormula>
    </tableColumn>
    <tableColumn id="35" name="PEPP*" dataDxfId="16"/>
    <tableColumn id="36" name="ELA*" dataDxfId="15"/>
    <tableColumn id="37" name="FILM*" dataDxfId="14"/>
    <tableColumn id="38" name="ACIER*" dataDxfId="13"/>
    <tableColumn id="39" name="ALU*" dataDxfId="12"/>
    <tableColumn id="40" name="PETIT ALU*" dataDxfId="11"/>
    <tableColumn id="41" name="REFUS*" dataDxfId="10"/>
    <tableColumn id="42" name="Fibreux" dataDxfId="9">
      <calculatedColumnFormula>SUM(Z2:AC2)</calculatedColumnFormula>
    </tableColumn>
    <tableColumn id="43" name="CC" dataDxfId="8">
      <calculatedColumnFormula>SUM(AD2:AL2)</calculatedColumnFormula>
    </tableColumn>
    <tableColumn id="44" name="Contaminant A" dataDxfId="7">
      <calculatedColumnFormula>SUM(AM2,AB2)</calculatedColumnFormula>
    </tableColumn>
    <tableColumn id="45" name="Contaminant B" dataDxfId="6">
      <calculatedColumnFormula>SUM(AA2)</calculatedColumnFormula>
    </tableColumn>
    <tableColumn id="46" name="Global indésirable" dataDxfId="5">
      <calculatedColumnFormula>(AP2+AQ2)-3%</calculatedColumnFormula>
    </tableColumn>
    <tableColumn id="72" name="CC + REFUS" dataDxfId="4">
      <calculatedColumnFormula>SUM(AO2+AM2)</calculatedColumnFormula>
    </tableColumn>
    <tableColumn id="73" name="Fibreux + ELA" dataDxfId="3">
      <calculatedColumnFormula>SUM(AH2+AN2)</calculatedColumnFormula>
    </tableColumn>
    <tableColumn id="74" name="Fibreux + CC" dataDxfId="2">
      <calculatedColumnFormula>SUM(AN2+AO2)</calculatedColumnFormula>
    </tableColumn>
    <tableColumn id="76" name="Fibreux + CC - FILM" dataDxfId="1">
      <calculatedColumnFormula>SUM(AN2+AD2+AE2+AF2+AG2+AH2+AJ2+AK2+AL2)</calculatedColumnFormula>
    </tableColumn>
    <tableColumn id="77" name="CC - ELA" dataDxfId="0">
      <calculatedColumnFormula>SUM(AD2+AE2+AF2+AG2+AI2+AJ2+AK2+AL2)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Feuil3">
    <tabColor rgb="FF92D050"/>
    <outlinePr summaryBelow="1" summaryRight="1"/>
    <pageSetUpPr/>
  </sheetPr>
  <dimension ref="A1:AW410"/>
  <sheetViews>
    <sheetView tabSelected="1" zoomScale="90" zoomScaleNormal="90" workbookViewId="0">
      <pane ySplit="1" topLeftCell="A2" activePane="bottomLeft" state="frozen"/>
      <selection pane="bottomLeft" activeCell="Q22" sqref="Q22"/>
    </sheetView>
  </sheetViews>
  <sheetFormatPr baseColWidth="10" defaultRowHeight="12.75"/>
  <cols>
    <col width="14.42578125" customWidth="1" style="259" min="2" max="2"/>
    <col width="11.7109375" customWidth="1" style="259" min="5" max="5"/>
    <col width="13.140625" customWidth="1" style="259" min="7" max="7"/>
    <col width="17" customWidth="1" style="259" min="18" max="18"/>
    <col width="61.7109375" customWidth="1" style="259" min="22" max="22"/>
    <col width="47.85546875" customWidth="1" style="259" min="23" max="23"/>
    <col width="10.85546875" customWidth="1" style="164" min="24" max="24"/>
    <col width="13.85546875" customWidth="1" style="259" min="25" max="25"/>
    <col width="14.42578125" customWidth="1" style="259" min="28" max="28"/>
    <col width="14.140625" customWidth="1" style="259" min="30" max="30"/>
    <col width="16" customWidth="1" style="259" min="31" max="31"/>
    <col width="15.42578125" customWidth="1" style="259" min="35" max="35"/>
    <col width="13" customWidth="1" style="259" min="36" max="36"/>
    <col width="12.7109375" customWidth="1" style="259" min="37" max="37"/>
    <col width="17.42578125" customWidth="1" style="259" min="38" max="38"/>
    <col width="16.42578125" customWidth="1" style="259" min="39" max="39"/>
    <col width="14" customWidth="1" style="259" min="40" max="40"/>
    <col width="14.140625" customWidth="1" style="259" min="41" max="41"/>
    <col width="19" customWidth="1" style="259" min="42" max="42"/>
    <col width="18" customWidth="1" style="259" min="43" max="43"/>
    <col width="21.85546875" customWidth="1" style="259" min="44" max="44"/>
    <col width="19.28515625" customWidth="1" style="259" min="45" max="45"/>
    <col width="18.140625" customWidth="1" style="259" min="46" max="46"/>
    <col width="19.85546875" customWidth="1" style="259" min="47" max="47"/>
    <col width="21.42578125" customWidth="1" style="259" min="48" max="48"/>
    <col width="14.42578125" customWidth="1" style="259" min="49" max="49"/>
  </cols>
  <sheetData>
    <row r="1" ht="19.35" customFormat="1" customHeight="1" s="145">
      <c r="A1" s="171" t="inlineStr">
        <is>
          <t>1</t>
        </is>
      </c>
      <c r="B1" s="211" t="inlineStr">
        <is>
          <t>Flux caractérisé</t>
        </is>
      </c>
      <c r="C1" s="208" t="inlineStr">
        <is>
          <t>Date</t>
        </is>
      </c>
      <c r="D1" s="208" t="inlineStr">
        <is>
          <t>Equipe</t>
        </is>
      </c>
      <c r="E1" s="212" t="inlineStr">
        <is>
          <t>Provenance</t>
        </is>
      </c>
      <c r="F1" s="196" t="inlineStr">
        <is>
          <t>JRM</t>
        </is>
      </c>
      <c r="G1" s="197" t="inlineStr">
        <is>
          <t>EMR</t>
        </is>
      </c>
      <c r="H1" s="197" t="inlineStr">
        <is>
          <t>CARTON</t>
        </is>
      </c>
      <c r="I1" s="198" t="inlineStr">
        <is>
          <t>GM</t>
        </is>
      </c>
      <c r="J1" s="208" t="inlineStr">
        <is>
          <t>PETQ9</t>
        </is>
      </c>
      <c r="K1" s="208" t="inlineStr">
        <is>
          <t>FLUX DEV</t>
        </is>
      </c>
      <c r="L1" s="208" t="inlineStr">
        <is>
          <t>PET B</t>
        </is>
      </c>
      <c r="M1" s="208" t="inlineStr">
        <is>
          <t>PEPP</t>
        </is>
      </c>
      <c r="N1" s="208" t="inlineStr">
        <is>
          <t>ELA</t>
        </is>
      </c>
      <c r="O1" s="208" t="inlineStr">
        <is>
          <t>FILM</t>
        </is>
      </c>
      <c r="P1" s="209" t="inlineStr">
        <is>
          <t>ACIER</t>
        </is>
      </c>
      <c r="Q1" s="209" t="inlineStr">
        <is>
          <t>ALU</t>
        </is>
      </c>
      <c r="R1" s="209" t="inlineStr">
        <is>
          <t>PETIT ALU</t>
        </is>
      </c>
      <c r="S1" s="210" t="inlineStr">
        <is>
          <t>REFUS</t>
        </is>
      </c>
      <c r="T1" s="195" t="inlineStr">
        <is>
          <t>Total (kg)</t>
        </is>
      </c>
      <c r="U1" s="195" t="inlineStr">
        <is>
          <t xml:space="preserve">Taux de pureté </t>
        </is>
      </c>
      <c r="V1" s="171" t="inlineStr">
        <is>
          <t>Remarques</t>
        </is>
      </c>
      <c r="W1" s="172" t="inlineStr">
        <is>
          <t>Année</t>
        </is>
      </c>
      <c r="X1" s="171" t="inlineStr">
        <is>
          <t>Mois</t>
        </is>
      </c>
      <c r="Y1" s="171" t="inlineStr">
        <is>
          <t>Semaine</t>
        </is>
      </c>
      <c r="Z1" s="216" t="inlineStr">
        <is>
          <t>JRM*</t>
        </is>
      </c>
      <c r="AA1" s="216" t="inlineStr">
        <is>
          <t>EMR*</t>
        </is>
      </c>
      <c r="AB1" s="216" t="inlineStr">
        <is>
          <t>CARTON*</t>
        </is>
      </c>
      <c r="AC1" s="216" t="inlineStr">
        <is>
          <t>GM*</t>
        </is>
      </c>
      <c r="AD1" s="218" t="inlineStr">
        <is>
          <t>PET Q9*</t>
        </is>
      </c>
      <c r="AE1" s="218" t="inlineStr">
        <is>
          <t>FLUX DEV*</t>
        </is>
      </c>
      <c r="AF1" s="218" t="inlineStr">
        <is>
          <t>PET B*</t>
        </is>
      </c>
      <c r="AG1" s="218" t="inlineStr">
        <is>
          <t>PEPP*</t>
        </is>
      </c>
      <c r="AH1" s="218" t="inlineStr">
        <is>
          <t>ELA*</t>
        </is>
      </c>
      <c r="AI1" s="218" t="inlineStr">
        <is>
          <t>FILM*</t>
        </is>
      </c>
      <c r="AJ1" s="217" t="inlineStr">
        <is>
          <t>ACIER*</t>
        </is>
      </c>
      <c r="AK1" s="217" t="inlineStr">
        <is>
          <t>ALU*</t>
        </is>
      </c>
      <c r="AL1" s="217" t="inlineStr">
        <is>
          <t>PETIT ALU*</t>
        </is>
      </c>
      <c r="AM1" s="219" t="inlineStr">
        <is>
          <t>REFUS*</t>
        </is>
      </c>
      <c r="AN1" s="171" t="inlineStr">
        <is>
          <t>Fibreux</t>
        </is>
      </c>
      <c r="AO1" s="171" t="inlineStr">
        <is>
          <t>CC</t>
        </is>
      </c>
      <c r="AP1" s="171" t="inlineStr">
        <is>
          <t>Contaminant A</t>
        </is>
      </c>
      <c r="AQ1" s="171" t="inlineStr">
        <is>
          <t>Contaminant B</t>
        </is>
      </c>
      <c r="AR1" s="171" t="inlineStr">
        <is>
          <t>Global indésirable</t>
        </is>
      </c>
      <c r="AS1" s="171" t="inlineStr">
        <is>
          <t>CC + REFUS</t>
        </is>
      </c>
      <c r="AT1" s="171" t="inlineStr">
        <is>
          <t>Fibreux + ELA</t>
        </is>
      </c>
      <c r="AU1" s="171" t="inlineStr">
        <is>
          <t>Fibreux + CC</t>
        </is>
      </c>
      <c r="AV1" s="171" t="inlineStr">
        <is>
          <t>Fibreux + CC - FILM</t>
        </is>
      </c>
      <c r="AW1" s="171" t="inlineStr">
        <is>
          <t>CC - ELA</t>
        </is>
      </c>
    </row>
    <row r="2" ht="14.1" customHeight="1" s="259">
      <c r="A2" s="174">
        <f>A1+1</f>
        <v/>
      </c>
      <c r="B2" s="199" t="inlineStr">
        <is>
          <t>EMR</t>
        </is>
      </c>
      <c r="C2" s="200" t="inlineStr">
        <is>
          <t>24/02/26</t>
        </is>
      </c>
      <c r="D2" s="199" t="inlineStr">
        <is>
          <t>MATIN</t>
        </is>
      </c>
      <c r="E2" s="201" t="inlineStr">
        <is>
          <t>COLLECTE</t>
        </is>
      </c>
      <c r="F2" s="201" t="n">
        <v>1.6</v>
      </c>
      <c r="G2" s="201" t="n">
        <v>15.6</v>
      </c>
      <c r="H2" s="201" t="n">
        <v>0.6</v>
      </c>
      <c r="I2" s="201" t="n">
        <v>1.3</v>
      </c>
      <c r="J2" s="201" t="n">
        <v>0.2</v>
      </c>
      <c r="K2" s="201" t="n">
        <v>0.1</v>
      </c>
      <c r="L2" s="201" t="n">
        <v>0.3</v>
      </c>
      <c r="M2" s="201" t="n">
        <v>0.1</v>
      </c>
      <c r="N2" s="201" t="n">
        <v>0.1</v>
      </c>
      <c r="O2" s="201" t="n">
        <v>0.1</v>
      </c>
      <c r="P2" s="201" t="n">
        <v>0</v>
      </c>
      <c r="Q2" s="201" t="n">
        <v>0</v>
      </c>
      <c r="R2" s="201" t="n">
        <v>0</v>
      </c>
      <c r="S2" s="201" t="n">
        <v>1.2</v>
      </c>
      <c r="T2" s="204">
        <f>SUM(F2:S2)</f>
        <v/>
      </c>
      <c r="U2" s="207">
        <f>(HLOOKUP(B2,F:T,A2,FALSE)/T2)</f>
        <v/>
      </c>
      <c r="V2" s="242" t="n"/>
      <c r="W2" s="163" t="n">
        <v>2026</v>
      </c>
      <c r="X2" s="116" t="n">
        <v>2</v>
      </c>
      <c r="Y2" s="116" t="n">
        <v>8</v>
      </c>
      <c r="Z2" s="122">
        <f>IFERROR(F2/$T2,0)</f>
        <v/>
      </c>
      <c r="AA2" s="122">
        <f>IFERROR(G2/$T2,0)</f>
        <v/>
      </c>
      <c r="AB2" s="122">
        <f>IFERROR(H2/$T2,0)</f>
        <v/>
      </c>
      <c r="AC2" s="122">
        <f>IFERROR(I2/$T2,0)</f>
        <v/>
      </c>
      <c r="AD2" s="122">
        <f>IFERROR(J2/$T2,0)</f>
        <v/>
      </c>
      <c r="AE2" s="122">
        <f>IFERROR(K2/$T2,0)</f>
        <v/>
      </c>
      <c r="AF2" s="122">
        <f>IFERROR(L2/$T2,0)</f>
        <v/>
      </c>
      <c r="AG2" s="122">
        <f>IFERROR(M2/$T2,0)</f>
        <v/>
      </c>
      <c r="AH2" s="122">
        <f>IFERROR(N2/$T2,0)</f>
        <v/>
      </c>
      <c r="AI2" s="122">
        <f>IFERROR(O2/$T2,0)</f>
        <v/>
      </c>
      <c r="AJ2" s="122">
        <f>IFERROR(P2/$T2,0)</f>
        <v/>
      </c>
      <c r="AK2" s="122">
        <f>IFERROR(Q2/$T2,0)</f>
        <v/>
      </c>
      <c r="AL2" s="122">
        <f>IFERROR(R2/$T2,0)</f>
        <v/>
      </c>
      <c r="AM2" s="122">
        <f>IFERROR(S2/$T2,0)</f>
        <v/>
      </c>
      <c r="AN2" s="122">
        <f>SUM(Z2:AC2)</f>
        <v/>
      </c>
      <c r="AO2" s="122">
        <f>SUM(AD2:AL2)</f>
        <v/>
      </c>
      <c r="AP2" s="122">
        <f>SUM(AM2,AB2)</f>
        <v/>
      </c>
      <c r="AQ2" s="122">
        <f>SUM(AA2)</f>
        <v/>
      </c>
      <c r="AR2" s="121">
        <f>(AP2+AQ2)-3%</f>
        <v/>
      </c>
      <c r="AS2" s="122">
        <f>SUM(AO2+AM2)</f>
        <v/>
      </c>
      <c r="AT2" s="122">
        <f>SUM(AH2+AN2)</f>
        <v/>
      </c>
      <c r="AU2" s="122">
        <f>SUM(AN2+AO2)</f>
        <v/>
      </c>
      <c r="AV2" s="122">
        <f>SUM(AN2+AD2+AE2+AF2+AG2+AH2+AJ2+AK2+AL2)</f>
        <v/>
      </c>
      <c r="AW2" s="122">
        <f>SUM(AD2+AE2+AF2+AG2+AI2+AJ2+AK2+AL2)</f>
        <v/>
      </c>
    </row>
    <row r="3" ht="14.1" customHeight="1" s="259">
      <c r="A3" s="174">
        <f>A2+1</f>
        <v/>
      </c>
      <c r="B3" s="199" t="inlineStr">
        <is>
          <t>JRM</t>
        </is>
      </c>
      <c r="C3" s="200" t="inlineStr">
        <is>
          <t>24/02/26</t>
        </is>
      </c>
      <c r="D3" s="199" t="inlineStr">
        <is>
          <t>MATIN</t>
        </is>
      </c>
      <c r="E3" s="201" t="inlineStr">
        <is>
          <t>SILO</t>
        </is>
      </c>
      <c r="F3" s="201" t="n">
        <v>1.2</v>
      </c>
      <c r="G3" s="201" t="n">
        <v>0.1</v>
      </c>
      <c r="H3" s="201" t="n">
        <v>0.1</v>
      </c>
      <c r="I3" s="201" t="n">
        <v>0.1</v>
      </c>
      <c r="J3" s="201" t="n">
        <v>0</v>
      </c>
      <c r="K3" s="201" t="n">
        <v>0</v>
      </c>
      <c r="L3" s="201" t="n">
        <v>0</v>
      </c>
      <c r="M3" s="201" t="n">
        <v>0</v>
      </c>
      <c r="N3" s="201" t="n">
        <v>0</v>
      </c>
      <c r="O3" s="201" t="n">
        <v>0</v>
      </c>
      <c r="P3" s="201" t="n">
        <v>0</v>
      </c>
      <c r="Q3" s="201" t="n">
        <v>0</v>
      </c>
      <c r="R3" s="201" t="n">
        <v>0</v>
      </c>
      <c r="S3" s="201" t="n">
        <v>0.5</v>
      </c>
      <c r="T3" s="204">
        <f>SUM(F3:S3)</f>
        <v/>
      </c>
      <c r="U3" s="207">
        <f>(HLOOKUP(B3,F:T,A3,FALSE)/T3)</f>
        <v/>
      </c>
      <c r="V3" s="242" t="n"/>
      <c r="W3" s="163" t="n">
        <v>2026</v>
      </c>
      <c r="X3" s="116" t="n">
        <v>2</v>
      </c>
      <c r="Y3" s="116" t="n">
        <v>8</v>
      </c>
      <c r="Z3" s="122">
        <f>IFERROR(F3/$T3,0)</f>
        <v/>
      </c>
      <c r="AA3" s="122">
        <f>IFERROR(G3/$T3,0)</f>
        <v/>
      </c>
      <c r="AB3" s="122">
        <f>IFERROR(H3/$T3,0)</f>
        <v/>
      </c>
      <c r="AC3" s="122">
        <f>IFERROR(I3/$T3,0)</f>
        <v/>
      </c>
      <c r="AD3" s="122">
        <f>IFERROR(J3/$T3,0)</f>
        <v/>
      </c>
      <c r="AE3" s="122">
        <f>IFERROR(K3/$T3,0)</f>
        <v/>
      </c>
      <c r="AF3" s="122">
        <f>IFERROR(L3/$T3,0)</f>
        <v/>
      </c>
      <c r="AG3" s="122">
        <f>IFERROR(M3/$T3,0)</f>
        <v/>
      </c>
      <c r="AH3" s="122">
        <f>IFERROR(N3/$T3,0)</f>
        <v/>
      </c>
      <c r="AI3" s="122">
        <f>IFERROR(O3/$T3,0)</f>
        <v/>
      </c>
      <c r="AJ3" s="122">
        <f>IFERROR(P3/$T3,0)</f>
        <v/>
      </c>
      <c r="AK3" s="122">
        <f>IFERROR(Q3/$T3,0)</f>
        <v/>
      </c>
      <c r="AL3" s="122">
        <f>IFERROR(R3/$T3,0)</f>
        <v/>
      </c>
      <c r="AM3" s="122">
        <f>IFERROR(S3/$T3,0)</f>
        <v/>
      </c>
      <c r="AN3" s="122">
        <f>SUM(Z3:AC3)</f>
        <v/>
      </c>
      <c r="AO3" s="122">
        <f>SUM(AD3:AL3)</f>
        <v/>
      </c>
      <c r="AP3" s="122">
        <f>SUM(AM3,AB3)</f>
        <v/>
      </c>
      <c r="AQ3" s="122">
        <f>SUM(AA3)</f>
        <v/>
      </c>
      <c r="AR3" s="121">
        <f>(AP3+AQ3)-3%</f>
        <v/>
      </c>
      <c r="AS3" s="122">
        <f>SUM(AO3+AM3)</f>
        <v/>
      </c>
      <c r="AT3" s="122">
        <f>SUM(AH3+AN3)</f>
        <v/>
      </c>
      <c r="AU3" s="122">
        <f>SUM(AN3+AO3)</f>
        <v/>
      </c>
      <c r="AV3" s="122">
        <f>SUM(AN3+AD3+AE3+AF3+AG3+AH3+AJ3+AK3+AL3)</f>
        <v/>
      </c>
      <c r="AW3" s="122">
        <f>SUM(AD3+AE3+AF3+AG3+AI3+AJ3+AK3+AL3)</f>
        <v/>
      </c>
    </row>
    <row r="4" ht="14.1" customHeight="1" s="259">
      <c r="A4" s="174">
        <f>A3+1</f>
        <v/>
      </c>
      <c r="B4" s="199" t="inlineStr">
        <is>
          <t>EMR</t>
        </is>
      </c>
      <c r="C4" s="200" t="inlineStr">
        <is>
          <t>24/02/26</t>
        </is>
      </c>
      <c r="D4" s="199" t="inlineStr">
        <is>
          <t>MATIN</t>
        </is>
      </c>
      <c r="E4" s="201" t="inlineStr">
        <is>
          <t>SILO</t>
        </is>
      </c>
      <c r="F4" s="201" t="n">
        <v>1.2</v>
      </c>
      <c r="G4" s="201" t="n">
        <v>3</v>
      </c>
      <c r="H4" s="201" t="n">
        <v>0.1</v>
      </c>
      <c r="I4" s="201" t="n">
        <v>0.1</v>
      </c>
      <c r="J4" s="201" t="n">
        <v>0</v>
      </c>
      <c r="K4" s="201" t="n">
        <v>0</v>
      </c>
      <c r="L4" s="201" t="n">
        <v>0</v>
      </c>
      <c r="M4" s="201" t="n">
        <v>0</v>
      </c>
      <c r="N4" s="201" t="n">
        <v>0</v>
      </c>
      <c r="O4" s="201" t="n">
        <v>0</v>
      </c>
      <c r="P4" s="201" t="n">
        <v>0</v>
      </c>
      <c r="Q4" s="201" t="n">
        <v>0</v>
      </c>
      <c r="R4" s="201" t="n">
        <v>0</v>
      </c>
      <c r="S4" s="201" t="n">
        <v>0.5</v>
      </c>
      <c r="T4" s="204">
        <f>SUM(F4:S4)</f>
        <v/>
      </c>
      <c r="U4" s="207">
        <f>(HLOOKUP(B4,F:T,A4,FALSE)/T4)</f>
        <v/>
      </c>
      <c r="V4" s="189" t="n"/>
      <c r="W4" s="163" t="n">
        <v>2026</v>
      </c>
      <c r="X4" s="116" t="n">
        <v>2</v>
      </c>
      <c r="Y4" s="116" t="n">
        <v>8</v>
      </c>
      <c r="Z4" s="122">
        <f>IFERROR(F4/$T4,0)</f>
        <v/>
      </c>
      <c r="AA4" s="122">
        <f>IFERROR(G4/$T4,0)</f>
        <v/>
      </c>
      <c r="AB4" s="122">
        <f>IFERROR(H4/$T4,0)</f>
        <v/>
      </c>
      <c r="AC4" s="122">
        <f>IFERROR(I4/$T4,0)</f>
        <v/>
      </c>
      <c r="AD4" s="122">
        <f>IFERROR(J4/$T4,0)</f>
        <v/>
      </c>
      <c r="AE4" s="122">
        <f>IFERROR(K4/$T4,0)</f>
        <v/>
      </c>
      <c r="AF4" s="122">
        <f>IFERROR(L4/$T4,0)</f>
        <v/>
      </c>
      <c r="AG4" s="122">
        <f>IFERROR(M4/$T4,0)</f>
        <v/>
      </c>
      <c r="AH4" s="122">
        <f>IFERROR(N4/$T4,0)</f>
        <v/>
      </c>
      <c r="AI4" s="122">
        <f>IFERROR(O4/$T4,0)</f>
        <v/>
      </c>
      <c r="AJ4" s="122">
        <f>IFERROR(P4/$T4,0)</f>
        <v/>
      </c>
      <c r="AK4" s="122">
        <f>IFERROR(Q4/$T4,0)</f>
        <v/>
      </c>
      <c r="AL4" s="122">
        <f>IFERROR(R4/$T4,0)</f>
        <v/>
      </c>
      <c r="AM4" s="122">
        <f>IFERROR(S4/$T4,0)</f>
        <v/>
      </c>
      <c r="AN4" s="122">
        <f>SUM(Z4:AC4)</f>
        <v/>
      </c>
      <c r="AO4" s="122">
        <f>SUM(AD4:AL4)</f>
        <v/>
      </c>
      <c r="AP4" s="122">
        <f>SUM(AM4,AB4)</f>
        <v/>
      </c>
      <c r="AQ4" s="122">
        <f>SUM(AA4)</f>
        <v/>
      </c>
      <c r="AR4" s="121">
        <f>(AP4+AQ4)-3%</f>
        <v/>
      </c>
      <c r="AS4" s="122">
        <f>SUM(AO4+AM4)</f>
        <v/>
      </c>
      <c r="AT4" s="122">
        <f>SUM(AH4+AN4)</f>
        <v/>
      </c>
      <c r="AU4" s="122">
        <f>SUM(AN4+AO4)</f>
        <v/>
      </c>
      <c r="AV4" s="122">
        <f>SUM(AN4+AD4+AE4+AF4+AG4+AH4+AJ4+AK4+AL4)</f>
        <v/>
      </c>
      <c r="AW4" s="122">
        <f>SUM(AD4+AE4+AF4+AG4+AI4+AJ4+AK4+AL4)</f>
        <v/>
      </c>
    </row>
    <row r="5" ht="14.1" customHeight="1" s="259">
      <c r="A5" s="174">
        <f>A4+1</f>
        <v/>
      </c>
      <c r="B5" s="199" t="inlineStr">
        <is>
          <t>JRM</t>
        </is>
      </c>
      <c r="C5" s="200" t="inlineStr">
        <is>
          <t>24-02-2026</t>
        </is>
      </c>
      <c r="D5" s="199" t="inlineStr">
        <is>
          <t>MATIN</t>
        </is>
      </c>
      <c r="E5" s="201" t="inlineStr">
        <is>
          <t>SILO</t>
        </is>
      </c>
      <c r="F5" s="201" t="n">
        <v>4.8</v>
      </c>
      <c r="G5" s="201" t="n">
        <v>0.2</v>
      </c>
      <c r="H5" s="201" t="n">
        <v>0.2</v>
      </c>
      <c r="I5" s="201" t="n">
        <v>0.1</v>
      </c>
      <c r="J5" s="201" t="n">
        <v>0</v>
      </c>
      <c r="K5" s="201" t="n">
        <v>0</v>
      </c>
      <c r="L5" s="201" t="n">
        <v>0</v>
      </c>
      <c r="M5" s="201" t="n">
        <v>0</v>
      </c>
      <c r="N5" s="201" t="n">
        <v>0</v>
      </c>
      <c r="O5" s="201" t="n">
        <v>0</v>
      </c>
      <c r="P5" s="201" t="n">
        <v>0.1</v>
      </c>
      <c r="Q5" s="201" t="n">
        <v>0.1</v>
      </c>
      <c r="R5" s="201" t="n">
        <v>0.1</v>
      </c>
      <c r="S5" s="201" t="n">
        <v>0.1</v>
      </c>
      <c r="T5" s="204">
        <f>SUM(F5:S5)</f>
        <v/>
      </c>
      <c r="U5" s="207">
        <f>(HLOOKUP(B5,F:T,A5,FALSE)/T5)</f>
        <v/>
      </c>
      <c r="V5" s="189" t="n"/>
      <c r="W5" s="163" t="n">
        <v>2026</v>
      </c>
      <c r="X5" s="116" t="n">
        <v>2</v>
      </c>
      <c r="Y5" s="116" t="n">
        <v>8</v>
      </c>
      <c r="Z5" s="122">
        <f>IFERROR(F5/$T5,0)</f>
        <v/>
      </c>
      <c r="AA5" s="122">
        <f>IFERROR(G5/$T5,0)</f>
        <v/>
      </c>
      <c r="AB5" s="122">
        <f>IFERROR(H5/$T5,0)</f>
        <v/>
      </c>
      <c r="AC5" s="122">
        <f>IFERROR(I5/$T5,0)</f>
        <v/>
      </c>
      <c r="AD5" s="122">
        <f>IFERROR(J5/$T5,0)</f>
        <v/>
      </c>
      <c r="AE5" s="122">
        <f>IFERROR(K5/$T5,0)</f>
        <v/>
      </c>
      <c r="AF5" s="122">
        <f>IFERROR(L5/$T5,0)</f>
        <v/>
      </c>
      <c r="AG5" s="122">
        <f>IFERROR(M5/$T5,0)</f>
        <v/>
      </c>
      <c r="AH5" s="122">
        <f>IFERROR(N5/$T5,0)</f>
        <v/>
      </c>
      <c r="AI5" s="122">
        <f>IFERROR(O5/$T5,0)</f>
        <v/>
      </c>
      <c r="AJ5" s="122">
        <f>IFERROR(P5/$T5,0)</f>
        <v/>
      </c>
      <c r="AK5" s="122">
        <f>IFERROR(Q5/$T5,0)</f>
        <v/>
      </c>
      <c r="AL5" s="122">
        <f>IFERROR(R5/$T5,0)</f>
        <v/>
      </c>
      <c r="AM5" s="122">
        <f>IFERROR(S5/$T5,0)</f>
        <v/>
      </c>
      <c r="AN5" s="122">
        <f>SUM(Z5:AC5)</f>
        <v/>
      </c>
      <c r="AO5" s="122">
        <f>SUM(AD5:AL5)</f>
        <v/>
      </c>
      <c r="AP5" s="122">
        <f>SUM(AM5,AB5)</f>
        <v/>
      </c>
      <c r="AQ5" s="122">
        <f>SUM(AA5)</f>
        <v/>
      </c>
      <c r="AR5" s="121">
        <f>(AP5+AQ5)-3%</f>
        <v/>
      </c>
      <c r="AS5" s="122">
        <f>SUM(AO5+AM5)</f>
        <v/>
      </c>
      <c r="AT5" s="122">
        <f>SUM(AH5+AN5)</f>
        <v/>
      </c>
      <c r="AU5" s="122">
        <f>SUM(AN5+AO5)</f>
        <v/>
      </c>
      <c r="AV5" s="122">
        <f>SUM(AN5+AD5+AE5+AF5+AG5+AH5+AJ5+AK5+AL5)</f>
        <v/>
      </c>
      <c r="AW5" s="122">
        <f>SUM(AD5+AE5+AF5+AG5+AI5+AJ5+AK5+AL5)</f>
        <v/>
      </c>
    </row>
    <row r="6" ht="14.1" customHeight="1" s="259">
      <c r="A6" s="174">
        <f>A5+1</f>
        <v/>
      </c>
      <c r="B6" s="199" t="n"/>
      <c r="C6" s="200" t="n"/>
      <c r="D6" s="199" t="n"/>
      <c r="E6" s="201" t="n"/>
      <c r="F6" s="201" t="n"/>
      <c r="G6" s="201" t="n"/>
      <c r="H6" s="201" t="n"/>
      <c r="I6" s="201" t="n"/>
      <c r="J6" s="201" t="n"/>
      <c r="K6" s="201" t="n"/>
      <c r="L6" s="201" t="n"/>
      <c r="M6" s="201" t="n"/>
      <c r="N6" s="201" t="n"/>
      <c r="O6" s="201" t="n"/>
      <c r="P6" s="201" t="n"/>
      <c r="Q6" s="201" t="n"/>
      <c r="R6" s="201" t="n"/>
      <c r="S6" s="201" t="n"/>
      <c r="T6" s="204">
        <f>SUM(F6:S6)</f>
        <v/>
      </c>
      <c r="U6" s="207">
        <f>(HLOOKUP(B6,F:T,A6,FALSE)/T6)</f>
        <v/>
      </c>
      <c r="V6" s="189" t="n"/>
      <c r="W6" s="163">
        <f>YEAR(C6)</f>
        <v/>
      </c>
      <c r="X6" s="116">
        <f>MONTH(C6)</f>
        <v/>
      </c>
      <c r="Y6" s="116">
        <f>WEEKNUM(C6,21)</f>
        <v/>
      </c>
      <c r="Z6" s="122">
        <f>IFERROR(F6/$T6,0)</f>
        <v/>
      </c>
      <c r="AA6" s="122">
        <f>IFERROR(G6/$T6,0)</f>
        <v/>
      </c>
      <c r="AB6" s="122">
        <f>IFERROR(H6/$T6,0)</f>
        <v/>
      </c>
      <c r="AC6" s="122">
        <f>IFERROR(I6/$T6,0)</f>
        <v/>
      </c>
      <c r="AD6" s="122">
        <f>IFERROR(J6/$T6,0)</f>
        <v/>
      </c>
      <c r="AE6" s="122">
        <f>IFERROR(K6/$T6,0)</f>
        <v/>
      </c>
      <c r="AF6" s="122">
        <f>IFERROR(L6/$T6,0)</f>
        <v/>
      </c>
      <c r="AG6" s="122">
        <f>IFERROR(M6/$T6,0)</f>
        <v/>
      </c>
      <c r="AH6" s="122">
        <f>IFERROR(N6/$T6,0)</f>
        <v/>
      </c>
      <c r="AI6" s="122">
        <f>IFERROR(O6/$T6,0)</f>
        <v/>
      </c>
      <c r="AJ6" s="122">
        <f>IFERROR(P6/$T6,0)</f>
        <v/>
      </c>
      <c r="AK6" s="122">
        <f>IFERROR(Q6/$T6,0)</f>
        <v/>
      </c>
      <c r="AL6" s="122">
        <f>IFERROR(R6/$T6,0)</f>
        <v/>
      </c>
      <c r="AM6" s="122">
        <f>IFERROR(S6/$T6,0)</f>
        <v/>
      </c>
      <c r="AN6" s="122">
        <f>SUM(Z6:AC6)</f>
        <v/>
      </c>
      <c r="AO6" s="122">
        <f>SUM(AD6:AL6)</f>
        <v/>
      </c>
      <c r="AP6" s="122">
        <f>SUM(AM6,AB6)</f>
        <v/>
      </c>
      <c r="AQ6" s="122">
        <f>SUM(AA6)</f>
        <v/>
      </c>
      <c r="AR6" s="121">
        <f>(AP6+AQ6)-3%</f>
        <v/>
      </c>
      <c r="AS6" s="122">
        <f>SUM(AO6+AM6)</f>
        <v/>
      </c>
      <c r="AT6" s="122">
        <f>SUM(AH6+AN6)</f>
        <v/>
      </c>
      <c r="AU6" s="122">
        <f>SUM(AN6+AO6)</f>
        <v/>
      </c>
      <c r="AV6" s="122">
        <f>SUM(AN6+AD6+AE6+AF6+AG6+AH6+AJ6+AK6+AL6)</f>
        <v/>
      </c>
      <c r="AW6" s="122">
        <f>SUM(AD6+AE6+AF6+AG6+AI6+AJ6+AK6+AL6)</f>
        <v/>
      </c>
    </row>
    <row r="7" ht="14.1" customHeight="1" s="259">
      <c r="A7" s="174">
        <f>A6+1</f>
        <v/>
      </c>
      <c r="B7" s="199" t="n"/>
      <c r="C7" s="200" t="n"/>
      <c r="D7" s="199" t="n"/>
      <c r="E7" s="201" t="n"/>
      <c r="F7" s="201" t="n"/>
      <c r="G7" s="201" t="n"/>
      <c r="H7" s="201" t="n"/>
      <c r="I7" s="201" t="n"/>
      <c r="J7" s="201" t="n"/>
      <c r="K7" s="201" t="n"/>
      <c r="L7" s="201" t="n"/>
      <c r="M7" s="201" t="n"/>
      <c r="N7" s="201" t="n"/>
      <c r="O7" s="201" t="n"/>
      <c r="P7" s="201" t="n"/>
      <c r="Q7" s="201" t="n"/>
      <c r="R7" s="201" t="n"/>
      <c r="S7" s="201" t="n"/>
      <c r="T7" s="204">
        <f>SUM(F7:S7)</f>
        <v/>
      </c>
      <c r="U7" s="207">
        <f>(HLOOKUP(B7,F:T,A7,FALSE)/T7)</f>
        <v/>
      </c>
      <c r="V7" s="189" t="n"/>
      <c r="W7" s="163">
        <f>YEAR(C7)</f>
        <v/>
      </c>
      <c r="X7" s="116">
        <f>MONTH(C7)</f>
        <v/>
      </c>
      <c r="Y7" s="116">
        <f>WEEKNUM(C7,21)</f>
        <v/>
      </c>
      <c r="Z7" s="122">
        <f>IFERROR(F7/$T7,0)</f>
        <v/>
      </c>
      <c r="AA7" s="122">
        <f>IFERROR(G7/$T7,0)</f>
        <v/>
      </c>
      <c r="AB7" s="122">
        <f>IFERROR(H7/$T7,0)</f>
        <v/>
      </c>
      <c r="AC7" s="122">
        <f>IFERROR(I7/$T7,0)</f>
        <v/>
      </c>
      <c r="AD7" s="122">
        <f>IFERROR(J7/$T7,0)</f>
        <v/>
      </c>
      <c r="AE7" s="122">
        <f>IFERROR(K7/$T7,0)</f>
        <v/>
      </c>
      <c r="AF7" s="122">
        <f>IFERROR(L7/$T7,0)</f>
        <v/>
      </c>
      <c r="AG7" s="122">
        <f>IFERROR(M7/$T7,0)</f>
        <v/>
      </c>
      <c r="AH7" s="122">
        <f>IFERROR(N7/$T7,0)</f>
        <v/>
      </c>
      <c r="AI7" s="122">
        <f>IFERROR(O7/$T7,0)</f>
        <v/>
      </c>
      <c r="AJ7" s="122">
        <f>IFERROR(P7/$T7,0)</f>
        <v/>
      </c>
      <c r="AK7" s="122">
        <f>IFERROR(Q7/$T7,0)</f>
        <v/>
      </c>
      <c r="AL7" s="122">
        <f>IFERROR(R7/$T7,0)</f>
        <v/>
      </c>
      <c r="AM7" s="122">
        <f>IFERROR(S7/$T7,0)</f>
        <v/>
      </c>
      <c r="AN7" s="122">
        <f>SUM(Z7:AC7)</f>
        <v/>
      </c>
      <c r="AO7" s="122">
        <f>SUM(AD7:AL7)</f>
        <v/>
      </c>
      <c r="AP7" s="122">
        <f>SUM(AM7,AB7)</f>
        <v/>
      </c>
      <c r="AQ7" s="122">
        <f>SUM(AA7)</f>
        <v/>
      </c>
      <c r="AR7" s="121">
        <f>(AP7+AQ7)-3%</f>
        <v/>
      </c>
      <c r="AS7" s="122">
        <f>SUM(AO7+AM7)</f>
        <v/>
      </c>
      <c r="AT7" s="122">
        <f>SUM(AH7+AN7)</f>
        <v/>
      </c>
      <c r="AU7" s="122">
        <f>SUM(AN7+AO7)</f>
        <v/>
      </c>
      <c r="AV7" s="122">
        <f>SUM(AN7+AD7+AE7+AF7+AG7+AH7+AJ7+AK7+AL7)</f>
        <v/>
      </c>
      <c r="AW7" s="122">
        <f>SUM(AD7+AE7+AF7+AG7+AI7+AJ7+AK7+AL7)</f>
        <v/>
      </c>
    </row>
    <row r="8" ht="14.1" customHeight="1" s="259">
      <c r="A8" s="174">
        <f>A7+1</f>
        <v/>
      </c>
      <c r="B8" s="199" t="n"/>
      <c r="C8" s="200" t="n"/>
      <c r="D8" s="199" t="n"/>
      <c r="E8" s="203" t="n"/>
      <c r="F8" s="201" t="n"/>
      <c r="G8" s="203" t="n"/>
      <c r="H8" s="203" t="n"/>
      <c r="I8" s="203" t="n"/>
      <c r="J8" s="203" t="n"/>
      <c r="K8" s="203" t="n"/>
      <c r="L8" s="203" t="n"/>
      <c r="M8" s="203" t="n"/>
      <c r="N8" s="203" t="n"/>
      <c r="O8" s="203" t="n"/>
      <c r="P8" s="203" t="n"/>
      <c r="Q8" s="203" t="n"/>
      <c r="R8" s="203" t="n"/>
      <c r="S8" s="203" t="n"/>
      <c r="T8" s="204">
        <f>SUM(F8:S8)</f>
        <v/>
      </c>
      <c r="U8" s="207">
        <f>(HLOOKUP(B8,F:T,A8,FALSE)/T8)</f>
        <v/>
      </c>
      <c r="V8" s="189" t="n"/>
      <c r="W8" s="163">
        <f>YEAR(C8)</f>
        <v/>
      </c>
      <c r="X8" s="116">
        <f>MONTH(C8)</f>
        <v/>
      </c>
      <c r="Y8" s="116">
        <f>WEEKNUM(C8,21)</f>
        <v/>
      </c>
      <c r="Z8" s="122">
        <f>IFERROR(F8/$T8,0)</f>
        <v/>
      </c>
      <c r="AA8" s="122">
        <f>IFERROR(G8/$T8,0)</f>
        <v/>
      </c>
      <c r="AB8" s="122">
        <f>IFERROR(H8/$T8,0)</f>
        <v/>
      </c>
      <c r="AC8" s="122">
        <f>IFERROR(I8/$T8,0)</f>
        <v/>
      </c>
      <c r="AD8" s="122">
        <f>IFERROR(J8/$T8,0)</f>
        <v/>
      </c>
      <c r="AE8" s="122">
        <f>IFERROR(K8/$T8,0)</f>
        <v/>
      </c>
      <c r="AF8" s="122">
        <f>IFERROR(L8/$T8,0)</f>
        <v/>
      </c>
      <c r="AG8" s="122">
        <f>IFERROR(M8/$T8,0)</f>
        <v/>
      </c>
      <c r="AH8" s="122">
        <f>IFERROR(N8/$T8,0)</f>
        <v/>
      </c>
      <c r="AI8" s="122">
        <f>IFERROR(O8/$T8,0)</f>
        <v/>
      </c>
      <c r="AJ8" s="122">
        <f>IFERROR(P8/$T8,0)</f>
        <v/>
      </c>
      <c r="AK8" s="122">
        <f>IFERROR(Q8/$T8,0)</f>
        <v/>
      </c>
      <c r="AL8" s="122">
        <f>IFERROR(R8/$T8,0)</f>
        <v/>
      </c>
      <c r="AM8" s="122">
        <f>IFERROR(S8/$T8,0)</f>
        <v/>
      </c>
      <c r="AN8" s="122">
        <f>SUM(Z8:AC8)</f>
        <v/>
      </c>
      <c r="AO8" s="122">
        <f>SUM(AD8:AL8)</f>
        <v/>
      </c>
      <c r="AP8" s="122">
        <f>SUM(AM8,AB8)</f>
        <v/>
      </c>
      <c r="AQ8" s="122">
        <f>SUM(AA8)</f>
        <v/>
      </c>
      <c r="AR8" s="121">
        <f>(AP8+AQ8)-3%</f>
        <v/>
      </c>
      <c r="AS8" s="122">
        <f>SUM(AO8+AM8)</f>
        <v/>
      </c>
      <c r="AT8" s="122">
        <f>SUM(AH8+AN8)</f>
        <v/>
      </c>
      <c r="AU8" s="122">
        <f>SUM(AN8+AO8)</f>
        <v/>
      </c>
      <c r="AV8" s="122">
        <f>SUM(AN8+AD8+AE8+AF8+AG8+AH8+AJ8+AK8+AL8)</f>
        <v/>
      </c>
      <c r="AW8" s="122">
        <f>SUM(AD8+AE8+AF8+AG8+AI8+AJ8+AK8+AL8)</f>
        <v/>
      </c>
    </row>
    <row r="9" ht="14.1" customHeight="1" s="259">
      <c r="A9" s="174">
        <f>A8+1</f>
        <v/>
      </c>
      <c r="B9" s="199" t="n"/>
      <c r="C9" s="200" t="n"/>
      <c r="D9" s="199" t="n"/>
      <c r="E9" s="203" t="n"/>
      <c r="F9" s="201" t="n"/>
      <c r="G9" s="203" t="n"/>
      <c r="H9" s="203" t="n"/>
      <c r="I9" s="203" t="n"/>
      <c r="J9" s="203" t="n"/>
      <c r="K9" s="203" t="n"/>
      <c r="L9" s="203" t="n"/>
      <c r="M9" s="203" t="n"/>
      <c r="N9" s="203" t="n"/>
      <c r="O9" s="203" t="n"/>
      <c r="P9" s="203" t="n"/>
      <c r="Q9" s="203" t="n"/>
      <c r="R9" s="203" t="n"/>
      <c r="S9" s="203" t="n"/>
      <c r="T9" s="204">
        <f>SUM(F9:S9)</f>
        <v/>
      </c>
      <c r="U9" s="207">
        <f>(HLOOKUP(B9,F:T,A9,FALSE)/T9)</f>
        <v/>
      </c>
      <c r="V9" s="189" t="n"/>
      <c r="W9" s="163">
        <f>YEAR(C9)</f>
        <v/>
      </c>
      <c r="X9" s="116">
        <f>MONTH(C9)</f>
        <v/>
      </c>
      <c r="Y9" s="116">
        <f>WEEKNUM(C9,21)</f>
        <v/>
      </c>
      <c r="Z9" s="122">
        <f>IFERROR(F9/$T9,0)</f>
        <v/>
      </c>
      <c r="AA9" s="122">
        <f>IFERROR(G9/$T9,0)</f>
        <v/>
      </c>
      <c r="AB9" s="122">
        <f>IFERROR(H9/$T9,0)</f>
        <v/>
      </c>
      <c r="AC9" s="122">
        <f>IFERROR(I9/$T9,0)</f>
        <v/>
      </c>
      <c r="AD9" s="122">
        <f>IFERROR(J9/$T9,0)</f>
        <v/>
      </c>
      <c r="AE9" s="122">
        <f>IFERROR(K9/$T9,0)</f>
        <v/>
      </c>
      <c r="AF9" s="122">
        <f>IFERROR(L9/$T9,0)</f>
        <v/>
      </c>
      <c r="AG9" s="122">
        <f>IFERROR(M9/$T9,0)</f>
        <v/>
      </c>
      <c r="AH9" s="122">
        <f>IFERROR(N9/$T9,0)</f>
        <v/>
      </c>
      <c r="AI9" s="122">
        <f>IFERROR(O9/$T9,0)</f>
        <v/>
      </c>
      <c r="AJ9" s="122">
        <f>IFERROR(P9/$T9,0)</f>
        <v/>
      </c>
      <c r="AK9" s="122">
        <f>IFERROR(Q9/$T9,0)</f>
        <v/>
      </c>
      <c r="AL9" s="122">
        <f>IFERROR(R9/$T9,0)</f>
        <v/>
      </c>
      <c r="AM9" s="122">
        <f>IFERROR(S9/$T9,0)</f>
        <v/>
      </c>
      <c r="AN9" s="122">
        <f>SUM(Z9:AC9)</f>
        <v/>
      </c>
      <c r="AO9" s="122">
        <f>SUM(AD9:AL9)</f>
        <v/>
      </c>
      <c r="AP9" s="122">
        <f>SUM(AM9,AB9)</f>
        <v/>
      </c>
      <c r="AQ9" s="122">
        <f>SUM(AA9)</f>
        <v/>
      </c>
      <c r="AR9" s="121">
        <f>(AP9+AQ9)-3%</f>
        <v/>
      </c>
      <c r="AS9" s="122">
        <f>SUM(AO9+AM9)</f>
        <v/>
      </c>
      <c r="AT9" s="122">
        <f>SUM(AH9+AN9)</f>
        <v/>
      </c>
      <c r="AU9" s="122">
        <f>SUM(AN9+AO9)</f>
        <v/>
      </c>
      <c r="AV9" s="122">
        <f>SUM(AN9+AD9+AE9+AF9+AG9+AH9+AJ9+AK9+AL9)</f>
        <v/>
      </c>
      <c r="AW9" s="122">
        <f>SUM(AD9+AE9+AF9+AG9+AI9+AJ9+AK9+AL9)</f>
        <v/>
      </c>
    </row>
    <row r="10" ht="14.1" customHeight="1" s="259">
      <c r="A10" s="174">
        <f>A9+1</f>
        <v/>
      </c>
      <c r="B10" s="199" t="n"/>
      <c r="C10" s="200" t="n"/>
      <c r="D10" s="199" t="n"/>
      <c r="E10" s="201" t="n"/>
      <c r="F10" s="201" t="n"/>
      <c r="G10" s="201" t="n"/>
      <c r="H10" s="201" t="n"/>
      <c r="I10" s="201" t="n"/>
      <c r="J10" s="201" t="n"/>
      <c r="K10" s="201" t="n"/>
      <c r="L10" s="201" t="n"/>
      <c r="M10" s="201" t="n"/>
      <c r="N10" s="201" t="n"/>
      <c r="O10" s="201" t="n"/>
      <c r="P10" s="201" t="n"/>
      <c r="Q10" s="201" t="n"/>
      <c r="R10" s="201" t="n"/>
      <c r="S10" s="201" t="n"/>
      <c r="T10" s="204">
        <f>SUM(F10:S10)</f>
        <v/>
      </c>
      <c r="U10" s="207">
        <f>(HLOOKUP(B10,F:T,A10,FALSE)/T10)</f>
        <v/>
      </c>
      <c r="V10" s="189" t="n"/>
      <c r="W10" s="163">
        <f>YEAR(C10)</f>
        <v/>
      </c>
      <c r="X10" s="116">
        <f>MONTH(C10)</f>
        <v/>
      </c>
      <c r="Y10" s="116">
        <f>WEEKNUM(C10,21)</f>
        <v/>
      </c>
      <c r="Z10" s="122">
        <f>IFERROR(F10/$T10,0)</f>
        <v/>
      </c>
      <c r="AA10" s="122">
        <f>IFERROR(G10/$T10,0)</f>
        <v/>
      </c>
      <c r="AB10" s="122">
        <f>IFERROR(H10/$T10,0)</f>
        <v/>
      </c>
      <c r="AC10" s="122">
        <f>IFERROR(I10/$T10,0)</f>
        <v/>
      </c>
      <c r="AD10" s="122">
        <f>IFERROR(J10/$T10,0)</f>
        <v/>
      </c>
      <c r="AE10" s="122">
        <f>IFERROR(K10/$T10,0)</f>
        <v/>
      </c>
      <c r="AF10" s="122">
        <f>IFERROR(L10/$T10,0)</f>
        <v/>
      </c>
      <c r="AG10" s="122">
        <f>IFERROR(M10/$T10,0)</f>
        <v/>
      </c>
      <c r="AH10" s="122">
        <f>IFERROR(N10/$T10,0)</f>
        <v/>
      </c>
      <c r="AI10" s="122">
        <f>IFERROR(O10/$T10,0)</f>
        <v/>
      </c>
      <c r="AJ10" s="122">
        <f>IFERROR(P10/$T10,0)</f>
        <v/>
      </c>
      <c r="AK10" s="122">
        <f>IFERROR(Q10/$T10,0)</f>
        <v/>
      </c>
      <c r="AL10" s="122">
        <f>IFERROR(R10/$T10,0)</f>
        <v/>
      </c>
      <c r="AM10" s="122">
        <f>IFERROR(S10/$T10,0)</f>
        <v/>
      </c>
      <c r="AN10" s="122">
        <f>SUM(Z10:AC10)</f>
        <v/>
      </c>
      <c r="AO10" s="122">
        <f>SUM(AD10:AL10)</f>
        <v/>
      </c>
      <c r="AP10" s="122">
        <f>SUM(AM10,AB10)</f>
        <v/>
      </c>
      <c r="AQ10" s="122">
        <f>SUM(AA10)</f>
        <v/>
      </c>
      <c r="AR10" s="121">
        <f>(AP10+AQ10)-3%</f>
        <v/>
      </c>
      <c r="AS10" s="122">
        <f>SUM(AO10+AM10)</f>
        <v/>
      </c>
      <c r="AT10" s="122">
        <f>SUM(AH10+AN10)</f>
        <v/>
      </c>
      <c r="AU10" s="122">
        <f>SUM(AN10+AO10)</f>
        <v/>
      </c>
      <c r="AV10" s="122">
        <f>SUM(AN10+AD10+AE10+AF10+AG10+AH10+AJ10+AK10+AL10)</f>
        <v/>
      </c>
      <c r="AW10" s="122">
        <f>SUM(AD10+AE10+AF10+AG10+AI10+AJ10+AK10+AL10)</f>
        <v/>
      </c>
    </row>
    <row r="11" ht="14.1" customHeight="1" s="259">
      <c r="A11" s="174">
        <f>A10+1</f>
        <v/>
      </c>
      <c r="B11" s="199" t="n"/>
      <c r="C11" s="200" t="n"/>
      <c r="D11" s="199" t="n"/>
      <c r="E11" s="201" t="n"/>
      <c r="F11" s="201" t="n"/>
      <c r="G11" s="201" t="n"/>
      <c r="H11" s="201" t="n"/>
      <c r="I11" s="201" t="n"/>
      <c r="J11" s="201" t="n"/>
      <c r="K11" s="201" t="n"/>
      <c r="L11" s="201" t="n"/>
      <c r="M11" s="201" t="n"/>
      <c r="N11" s="201" t="n"/>
      <c r="O11" s="201" t="n"/>
      <c r="P11" s="201" t="n"/>
      <c r="Q11" s="201" t="n"/>
      <c r="R11" s="201" t="n"/>
      <c r="S11" s="201" t="n"/>
      <c r="T11" s="204">
        <f>SUM(F11:S11)</f>
        <v/>
      </c>
      <c r="U11" s="207">
        <f>(HLOOKUP(B11,F:T,A11,FALSE)/T11)</f>
        <v/>
      </c>
      <c r="V11" s="189" t="n"/>
      <c r="W11" s="163">
        <f>YEAR(C11)</f>
        <v/>
      </c>
      <c r="X11" s="116">
        <f>MONTH(C11)</f>
        <v/>
      </c>
      <c r="Y11" s="116">
        <f>WEEKNUM(C11,21)</f>
        <v/>
      </c>
      <c r="Z11" s="122">
        <f>IFERROR(F11/$T11,0)</f>
        <v/>
      </c>
      <c r="AA11" s="122">
        <f>IFERROR(G11/$T11,0)</f>
        <v/>
      </c>
      <c r="AB11" s="122">
        <f>IFERROR(H11/$T11,0)</f>
        <v/>
      </c>
      <c r="AC11" s="122">
        <f>IFERROR(I11/$T11,0)</f>
        <v/>
      </c>
      <c r="AD11" s="122">
        <f>IFERROR(J11/$T11,0)</f>
        <v/>
      </c>
      <c r="AE11" s="122">
        <f>IFERROR(K11/$T11,0)</f>
        <v/>
      </c>
      <c r="AF11" s="122">
        <f>IFERROR(L11/$T11,0)</f>
        <v/>
      </c>
      <c r="AG11" s="122">
        <f>IFERROR(M11/$T11,0)</f>
        <v/>
      </c>
      <c r="AH11" s="122">
        <f>IFERROR(N11/$T11,0)</f>
        <v/>
      </c>
      <c r="AI11" s="122">
        <f>IFERROR(O11/$T11,0)</f>
        <v/>
      </c>
      <c r="AJ11" s="122">
        <f>IFERROR(P11/$T11,0)</f>
        <v/>
      </c>
      <c r="AK11" s="122">
        <f>IFERROR(Q11/$T11,0)</f>
        <v/>
      </c>
      <c r="AL11" s="122">
        <f>IFERROR(R11/$T11,0)</f>
        <v/>
      </c>
      <c r="AM11" s="122">
        <f>IFERROR(S11/$T11,0)</f>
        <v/>
      </c>
      <c r="AN11" s="122">
        <f>SUM(Z11:AC11)</f>
        <v/>
      </c>
      <c r="AO11" s="122">
        <f>SUM(AD11:AL11)</f>
        <v/>
      </c>
      <c r="AP11" s="122">
        <f>SUM(AM11,AB11)</f>
        <v/>
      </c>
      <c r="AQ11" s="122">
        <f>SUM(AA11)</f>
        <v/>
      </c>
      <c r="AR11" s="121">
        <f>(AP11+AQ11)-3%</f>
        <v/>
      </c>
      <c r="AS11" s="122">
        <f>SUM(AO11+AM11)</f>
        <v/>
      </c>
      <c r="AT11" s="122">
        <f>SUM(AH11+AN11)</f>
        <v/>
      </c>
      <c r="AU11" s="122">
        <f>SUM(AN11+AO11)</f>
        <v/>
      </c>
      <c r="AV11" s="122">
        <f>SUM(AN11+AD11+AE11+AF11+AG11+AH11+AJ11+AK11+AL11)</f>
        <v/>
      </c>
      <c r="AW11" s="122">
        <f>SUM(AD11+AE11+AF11+AG11+AI11+AJ11+AK11+AL11)</f>
        <v/>
      </c>
    </row>
    <row r="12" ht="14.1" customHeight="1" s="259">
      <c r="A12" s="174">
        <f>A11+1</f>
        <v/>
      </c>
      <c r="B12" s="199" t="n"/>
      <c r="C12" s="200" t="n"/>
      <c r="D12" s="199" t="n"/>
      <c r="E12" s="201" t="n"/>
      <c r="F12" s="201" t="n"/>
      <c r="G12" s="201" t="n"/>
      <c r="H12" s="201" t="n"/>
      <c r="I12" s="201" t="n"/>
      <c r="J12" s="201" t="n"/>
      <c r="K12" s="201" t="n"/>
      <c r="L12" s="201" t="n"/>
      <c r="M12" s="201" t="n"/>
      <c r="N12" s="201" t="n"/>
      <c r="O12" s="201" t="n"/>
      <c r="P12" s="201" t="n"/>
      <c r="Q12" s="201" t="n"/>
      <c r="R12" s="201" t="n"/>
      <c r="S12" s="201" t="n"/>
      <c r="T12" s="204">
        <f>SUM(F12:S12)</f>
        <v/>
      </c>
      <c r="U12" s="207">
        <f>(HLOOKUP(B12,F:T,A12,FALSE)/T12)</f>
        <v/>
      </c>
      <c r="V12" s="189" t="n"/>
      <c r="W12" s="163">
        <f>YEAR(C12)</f>
        <v/>
      </c>
      <c r="X12" s="116">
        <f>MONTH(C12)</f>
        <v/>
      </c>
      <c r="Y12" s="116">
        <f>WEEKNUM(C12,21)</f>
        <v/>
      </c>
      <c r="Z12" s="122">
        <f>IFERROR(F12/$T12,0)</f>
        <v/>
      </c>
      <c r="AA12" s="122">
        <f>IFERROR(G12/$T12,0)</f>
        <v/>
      </c>
      <c r="AB12" s="122">
        <f>IFERROR(H12/$T12,0)</f>
        <v/>
      </c>
      <c r="AC12" s="122">
        <f>IFERROR(I12/$T12,0)</f>
        <v/>
      </c>
      <c r="AD12" s="122">
        <f>IFERROR(J12/$T12,0)</f>
        <v/>
      </c>
      <c r="AE12" s="122">
        <f>IFERROR(K12/$T12,0)</f>
        <v/>
      </c>
      <c r="AF12" s="122">
        <f>IFERROR(L12/$T12,0)</f>
        <v/>
      </c>
      <c r="AG12" s="122">
        <f>IFERROR(M12/$T12,0)</f>
        <v/>
      </c>
      <c r="AH12" s="122">
        <f>IFERROR(N12/$T12,0)</f>
        <v/>
      </c>
      <c r="AI12" s="122">
        <f>IFERROR(O12/$T12,0)</f>
        <v/>
      </c>
      <c r="AJ12" s="122">
        <f>IFERROR(P12/$T12,0)</f>
        <v/>
      </c>
      <c r="AK12" s="122">
        <f>IFERROR(Q12/$T12,0)</f>
        <v/>
      </c>
      <c r="AL12" s="122">
        <f>IFERROR(R12/$T12,0)</f>
        <v/>
      </c>
      <c r="AM12" s="122">
        <f>IFERROR(S12/$T12,0)</f>
        <v/>
      </c>
      <c r="AN12" s="122">
        <f>SUM(Z12:AC12)</f>
        <v/>
      </c>
      <c r="AO12" s="122">
        <f>SUM(AD12:AL12)</f>
        <v/>
      </c>
      <c r="AP12" s="122">
        <f>SUM(AM12,AB12)</f>
        <v/>
      </c>
      <c r="AQ12" s="122">
        <f>SUM(AA12)</f>
        <v/>
      </c>
      <c r="AR12" s="121">
        <f>(AP12+AQ12)-3%</f>
        <v/>
      </c>
      <c r="AS12" s="122">
        <f>SUM(AO12+AM12)</f>
        <v/>
      </c>
      <c r="AT12" s="122">
        <f>SUM(AH12+AN12)</f>
        <v/>
      </c>
      <c r="AU12" s="122">
        <f>SUM(AN12+AO12)</f>
        <v/>
      </c>
      <c r="AV12" s="122">
        <f>SUM(AN12+AD12+AE12+AF12+AG12+AH12+AJ12+AK12+AL12)</f>
        <v/>
      </c>
      <c r="AW12" s="122">
        <f>SUM(AD12+AE12+AF12+AG12+AI12+AJ12+AK12+AL12)</f>
        <v/>
      </c>
    </row>
    <row r="13" ht="14.1" customHeight="1" s="259">
      <c r="A13" s="174">
        <f>A12+1</f>
        <v/>
      </c>
      <c r="B13" s="199" t="n"/>
      <c r="C13" s="200" t="n"/>
      <c r="D13" s="199" t="n"/>
      <c r="E13" s="201" t="n"/>
      <c r="F13" s="201" t="n"/>
      <c r="G13" s="201" t="n"/>
      <c r="H13" s="201" t="n"/>
      <c r="I13" s="201" t="n"/>
      <c r="J13" s="201" t="n"/>
      <c r="K13" s="201" t="n"/>
      <c r="L13" s="201" t="n"/>
      <c r="M13" s="201" t="n"/>
      <c r="N13" s="201" t="n"/>
      <c r="O13" s="201" t="n"/>
      <c r="P13" s="201" t="n"/>
      <c r="Q13" s="201" t="n"/>
      <c r="R13" s="201" t="n"/>
      <c r="S13" s="201" t="n"/>
      <c r="T13" s="204">
        <f>SUM(F13:S13)</f>
        <v/>
      </c>
      <c r="U13" s="207">
        <f>(HLOOKUP(B13,F:T,A13,FALSE)/T13)</f>
        <v/>
      </c>
      <c r="V13" s="189" t="n"/>
      <c r="W13" s="163">
        <f>YEAR(C13)</f>
        <v/>
      </c>
      <c r="X13" s="116">
        <f>MONTH(C13)</f>
        <v/>
      </c>
      <c r="Y13" s="116">
        <f>WEEKNUM(C13,21)</f>
        <v/>
      </c>
      <c r="Z13" s="122">
        <f>IFERROR(F13/$T13,0)</f>
        <v/>
      </c>
      <c r="AA13" s="122">
        <f>IFERROR(G13/$T13,0)</f>
        <v/>
      </c>
      <c r="AB13" s="122">
        <f>IFERROR(H13/$T13,0)</f>
        <v/>
      </c>
      <c r="AC13" s="122">
        <f>IFERROR(I13/$T13,0)</f>
        <v/>
      </c>
      <c r="AD13" s="122">
        <f>IFERROR(J13/$T13,0)</f>
        <v/>
      </c>
      <c r="AE13" s="122">
        <f>IFERROR(K13/$T13,0)</f>
        <v/>
      </c>
      <c r="AF13" s="122">
        <f>IFERROR(L13/$T13,0)</f>
        <v/>
      </c>
      <c r="AG13" s="122">
        <f>IFERROR(M13/$T13,0)</f>
        <v/>
      </c>
      <c r="AH13" s="122">
        <f>IFERROR(N13/$T13,0)</f>
        <v/>
      </c>
      <c r="AI13" s="122">
        <f>IFERROR(O13/$T13,0)</f>
        <v/>
      </c>
      <c r="AJ13" s="122">
        <f>IFERROR(P13/$T13,0)</f>
        <v/>
      </c>
      <c r="AK13" s="122">
        <f>IFERROR(Q13/$T13,0)</f>
        <v/>
      </c>
      <c r="AL13" s="122">
        <f>IFERROR(R13/$T13,0)</f>
        <v/>
      </c>
      <c r="AM13" s="122">
        <f>IFERROR(S13/$T13,0)</f>
        <v/>
      </c>
      <c r="AN13" s="122">
        <f>SUM(Z13:AC13)</f>
        <v/>
      </c>
      <c r="AO13" s="122">
        <f>SUM(AD13:AL13)</f>
        <v/>
      </c>
      <c r="AP13" s="122">
        <f>SUM(AM13,AB13)</f>
        <v/>
      </c>
      <c r="AQ13" s="122">
        <f>SUM(AA13)</f>
        <v/>
      </c>
      <c r="AR13" s="121">
        <f>(AP13+AQ13)-3%</f>
        <v/>
      </c>
      <c r="AS13" s="122">
        <f>SUM(AO13+AM13)</f>
        <v/>
      </c>
      <c r="AT13" s="122">
        <f>SUM(AH13+AN13)</f>
        <v/>
      </c>
      <c r="AU13" s="122">
        <f>SUM(AN13+AO13)</f>
        <v/>
      </c>
      <c r="AV13" s="122">
        <f>SUM(AN13+AD13+AE13+AF13+AG13+AH13+AJ13+AK13+AL13)</f>
        <v/>
      </c>
      <c r="AW13" s="122">
        <f>SUM(AD13+AE13+AF13+AG13+AI13+AJ13+AK13+AL13)</f>
        <v/>
      </c>
    </row>
    <row r="14" ht="14.1" customHeight="1" s="259">
      <c r="A14" s="174">
        <f>A13+1</f>
        <v/>
      </c>
      <c r="B14" s="199" t="n"/>
      <c r="C14" s="200" t="n"/>
      <c r="D14" s="199" t="n"/>
      <c r="E14" s="201" t="n"/>
      <c r="F14" s="201" t="n"/>
      <c r="G14" s="201" t="n"/>
      <c r="H14" s="201" t="n"/>
      <c r="I14" s="201" t="n"/>
      <c r="J14" s="201" t="n"/>
      <c r="K14" s="201" t="n"/>
      <c r="L14" s="201" t="n"/>
      <c r="M14" s="201" t="n"/>
      <c r="N14" s="201" t="n"/>
      <c r="O14" s="201" t="n"/>
      <c r="P14" s="201" t="n"/>
      <c r="Q14" s="201" t="n"/>
      <c r="R14" s="201" t="n"/>
      <c r="S14" s="201" t="n"/>
      <c r="T14" s="204">
        <f>SUM(F14:S14)</f>
        <v/>
      </c>
      <c r="U14" s="207">
        <f>(HLOOKUP(B14,F:T,A14,FALSE)/T14)</f>
        <v/>
      </c>
      <c r="V14" s="189" t="n"/>
      <c r="W14" s="163">
        <f>YEAR(C14)</f>
        <v/>
      </c>
      <c r="X14" s="116">
        <f>MONTH(C14)</f>
        <v/>
      </c>
      <c r="Y14" s="116">
        <f>WEEKNUM(C14,21)</f>
        <v/>
      </c>
      <c r="Z14" s="122">
        <f>IFERROR(F14/$T14,0)</f>
        <v/>
      </c>
      <c r="AA14" s="122">
        <f>IFERROR(G14/$T14,0)</f>
        <v/>
      </c>
      <c r="AB14" s="122">
        <f>IFERROR(H14/$T14,0)</f>
        <v/>
      </c>
      <c r="AC14" s="122">
        <f>IFERROR(I14/$T14,0)</f>
        <v/>
      </c>
      <c r="AD14" s="122">
        <f>IFERROR(J14/$T14,0)</f>
        <v/>
      </c>
      <c r="AE14" s="122">
        <f>IFERROR(K14/$T14,0)</f>
        <v/>
      </c>
      <c r="AF14" s="122">
        <f>IFERROR(L14/$T14,0)</f>
        <v/>
      </c>
      <c r="AG14" s="122">
        <f>IFERROR(M14/$T14,0)</f>
        <v/>
      </c>
      <c r="AH14" s="122">
        <f>IFERROR(N14/$T14,0)</f>
        <v/>
      </c>
      <c r="AI14" s="122">
        <f>IFERROR(O14/$T14,0)</f>
        <v/>
      </c>
      <c r="AJ14" s="122">
        <f>IFERROR(P14/$T14,0)</f>
        <v/>
      </c>
      <c r="AK14" s="122">
        <f>IFERROR(Q14/$T14,0)</f>
        <v/>
      </c>
      <c r="AL14" s="122">
        <f>IFERROR(R14/$T14,0)</f>
        <v/>
      </c>
      <c r="AM14" s="122">
        <f>IFERROR(S14/$T14,0)</f>
        <v/>
      </c>
      <c r="AN14" s="122">
        <f>SUM(Z14:AC14)</f>
        <v/>
      </c>
      <c r="AO14" s="122">
        <f>SUM(AD14:AL14)</f>
        <v/>
      </c>
      <c r="AP14" s="122">
        <f>SUM(AM14,AB14)</f>
        <v/>
      </c>
      <c r="AQ14" s="122">
        <f>SUM(AA14)</f>
        <v/>
      </c>
      <c r="AR14" s="121">
        <f>(AP14+AQ14)-3%</f>
        <v/>
      </c>
      <c r="AS14" s="122">
        <f>SUM(AO14+AM14)</f>
        <v/>
      </c>
      <c r="AT14" s="122">
        <f>SUM(AH14+AN14)</f>
        <v/>
      </c>
      <c r="AU14" s="122">
        <f>SUM(AN14+AO14)</f>
        <v/>
      </c>
      <c r="AV14" s="122">
        <f>SUM(AN14+AD14+AE14+AF14+AG14+AH14+AJ14+AK14+AL14)</f>
        <v/>
      </c>
      <c r="AW14" s="122">
        <f>SUM(AD14+AE14+AF14+AG14+AI14+AJ14+AK14+AL14)</f>
        <v/>
      </c>
    </row>
    <row r="15" ht="14.1" customHeight="1" s="259">
      <c r="A15" s="174">
        <f>A14+1</f>
        <v/>
      </c>
      <c r="B15" s="199" t="n"/>
      <c r="C15" s="200" t="n"/>
      <c r="D15" s="199" t="n"/>
      <c r="E15" s="201" t="n"/>
      <c r="F15" s="201" t="n"/>
      <c r="G15" s="201" t="n"/>
      <c r="H15" s="201" t="n"/>
      <c r="I15" s="201" t="n"/>
      <c r="J15" s="201" t="n"/>
      <c r="K15" s="201" t="n"/>
      <c r="L15" s="201" t="n"/>
      <c r="M15" s="201" t="n"/>
      <c r="N15" s="201" t="n"/>
      <c r="O15" s="201" t="n"/>
      <c r="P15" s="201" t="n"/>
      <c r="Q15" s="201" t="n"/>
      <c r="R15" s="201" t="n"/>
      <c r="S15" s="201" t="n"/>
      <c r="T15" s="204">
        <f>SUM(F15:S15)</f>
        <v/>
      </c>
      <c r="U15" s="207">
        <f>(HLOOKUP(B15,F:T,A15,FALSE)/T15)</f>
        <v/>
      </c>
      <c r="V15" s="189" t="n"/>
      <c r="W15" s="163">
        <f>YEAR(C15)</f>
        <v/>
      </c>
      <c r="X15" s="116">
        <f>MONTH(C15)</f>
        <v/>
      </c>
      <c r="Y15" s="116">
        <f>WEEKNUM(C15,21)</f>
        <v/>
      </c>
      <c r="Z15" s="122">
        <f>IFERROR(F15/$T15,0)</f>
        <v/>
      </c>
      <c r="AA15" s="122">
        <f>IFERROR(G15/$T15,0)</f>
        <v/>
      </c>
      <c r="AB15" s="122">
        <f>IFERROR(H15/$T15,0)</f>
        <v/>
      </c>
      <c r="AC15" s="122">
        <f>IFERROR(I15/$T15,0)</f>
        <v/>
      </c>
      <c r="AD15" s="122">
        <f>IFERROR(J15/$T15,0)</f>
        <v/>
      </c>
      <c r="AE15" s="122">
        <f>IFERROR(K15/$T15,0)</f>
        <v/>
      </c>
      <c r="AF15" s="122">
        <f>IFERROR(L15/$T15,0)</f>
        <v/>
      </c>
      <c r="AG15" s="122">
        <f>IFERROR(M15/$T15,0)</f>
        <v/>
      </c>
      <c r="AH15" s="122">
        <f>IFERROR(N15/$T15,0)</f>
        <v/>
      </c>
      <c r="AI15" s="122">
        <f>IFERROR(O15/$T15,0)</f>
        <v/>
      </c>
      <c r="AJ15" s="122">
        <f>IFERROR(P15/$T15,0)</f>
        <v/>
      </c>
      <c r="AK15" s="122">
        <f>IFERROR(Q15/$T15,0)</f>
        <v/>
      </c>
      <c r="AL15" s="122">
        <f>IFERROR(R15/$T15,0)</f>
        <v/>
      </c>
      <c r="AM15" s="122">
        <f>IFERROR(S15/$T15,0)</f>
        <v/>
      </c>
      <c r="AN15" s="122">
        <f>SUM(Z15:AC15)</f>
        <v/>
      </c>
      <c r="AO15" s="122">
        <f>SUM(AD15:AL15)</f>
        <v/>
      </c>
      <c r="AP15" s="122">
        <f>SUM(AM15,AB15)</f>
        <v/>
      </c>
      <c r="AQ15" s="122">
        <f>SUM(AA15)</f>
        <v/>
      </c>
      <c r="AR15" s="121">
        <f>(AP15+AQ15)-3%</f>
        <v/>
      </c>
      <c r="AS15" s="122">
        <f>SUM(AO15+AM15)</f>
        <v/>
      </c>
      <c r="AT15" s="122">
        <f>SUM(AH15+AN15)</f>
        <v/>
      </c>
      <c r="AU15" s="122">
        <f>SUM(AN15+AO15)</f>
        <v/>
      </c>
      <c r="AV15" s="122">
        <f>SUM(AN15+AD15+AE15+AF15+AG15+AH15+AJ15+AK15+AL15)</f>
        <v/>
      </c>
      <c r="AW15" s="122">
        <f>SUM(AD15+AE15+AF15+AG15+AI15+AJ15+AK15+AL15)</f>
        <v/>
      </c>
    </row>
    <row r="16" ht="14.1" customHeight="1" s="259">
      <c r="A16" s="174">
        <f>A15+1</f>
        <v/>
      </c>
      <c r="B16" s="199" t="n"/>
      <c r="C16" s="200" t="n"/>
      <c r="D16" s="199" t="n"/>
      <c r="E16" s="201" t="n"/>
      <c r="F16" s="201" t="n"/>
      <c r="G16" s="201" t="n"/>
      <c r="H16" s="201" t="n"/>
      <c r="I16" s="201" t="n"/>
      <c r="J16" s="201" t="n"/>
      <c r="K16" s="201" t="n"/>
      <c r="L16" s="201" t="n"/>
      <c r="M16" s="201" t="n"/>
      <c r="N16" s="201" t="n"/>
      <c r="O16" s="201" t="n"/>
      <c r="P16" s="201" t="n"/>
      <c r="Q16" s="201" t="n"/>
      <c r="R16" s="201" t="n"/>
      <c r="S16" s="201" t="n"/>
      <c r="T16" s="204">
        <f>SUM(F16:S16)</f>
        <v/>
      </c>
      <c r="U16" s="207">
        <f>(HLOOKUP(B16,F:T,A16,FALSE)/T16)</f>
        <v/>
      </c>
      <c r="V16" s="189" t="n"/>
      <c r="W16" s="163">
        <f>YEAR(C16)</f>
        <v/>
      </c>
      <c r="X16" s="116">
        <f>MONTH(C16)</f>
        <v/>
      </c>
      <c r="Y16" s="116">
        <f>WEEKNUM(C16,21)</f>
        <v/>
      </c>
      <c r="Z16" s="122">
        <f>IFERROR(F16/$T16,0)</f>
        <v/>
      </c>
      <c r="AA16" s="122">
        <f>IFERROR(G16/$T16,0)</f>
        <v/>
      </c>
      <c r="AB16" s="122">
        <f>IFERROR(H16/$T16,0)</f>
        <v/>
      </c>
      <c r="AC16" s="122">
        <f>IFERROR(I16/$T16,0)</f>
        <v/>
      </c>
      <c r="AD16" s="122">
        <f>IFERROR(J16/$T16,0)</f>
        <v/>
      </c>
      <c r="AE16" s="122">
        <f>IFERROR(K16/$T16,0)</f>
        <v/>
      </c>
      <c r="AF16" s="122">
        <f>IFERROR(L16/$T16,0)</f>
        <v/>
      </c>
      <c r="AG16" s="122">
        <f>IFERROR(M16/$T16,0)</f>
        <v/>
      </c>
      <c r="AH16" s="122">
        <f>IFERROR(N16/$T16,0)</f>
        <v/>
      </c>
      <c r="AI16" s="122">
        <f>IFERROR(O16/$T16,0)</f>
        <v/>
      </c>
      <c r="AJ16" s="122">
        <f>IFERROR(P16/$T16,0)</f>
        <v/>
      </c>
      <c r="AK16" s="122">
        <f>IFERROR(Q16/$T16,0)</f>
        <v/>
      </c>
      <c r="AL16" s="122">
        <f>IFERROR(R16/$T16,0)</f>
        <v/>
      </c>
      <c r="AM16" s="122">
        <f>IFERROR(S16/$T16,0)</f>
        <v/>
      </c>
      <c r="AN16" s="122">
        <f>SUM(Z16:AC16)</f>
        <v/>
      </c>
      <c r="AO16" s="122">
        <f>SUM(AD16:AL16)</f>
        <v/>
      </c>
      <c r="AP16" s="122">
        <f>SUM(AM16,AB16)</f>
        <v/>
      </c>
      <c r="AQ16" s="122">
        <f>SUM(AA16)</f>
        <v/>
      </c>
      <c r="AR16" s="121">
        <f>(AP16+AQ16)-3%</f>
        <v/>
      </c>
      <c r="AS16" s="122">
        <f>SUM(AO16+AM16)</f>
        <v/>
      </c>
      <c r="AT16" s="122">
        <f>SUM(AH16+AN16)</f>
        <v/>
      </c>
      <c r="AU16" s="122">
        <f>SUM(AN16+AO16)</f>
        <v/>
      </c>
      <c r="AV16" s="122">
        <f>SUM(AN16+AD16+AE16+AF16+AG16+AH16+AJ16+AK16+AL16)</f>
        <v/>
      </c>
      <c r="AW16" s="122">
        <f>SUM(AD16+AE16+AF16+AG16+AI16+AJ16+AK16+AL16)</f>
        <v/>
      </c>
    </row>
    <row r="17" ht="14.1" customHeight="1" s="259">
      <c r="A17" s="174">
        <f>A16+1</f>
        <v/>
      </c>
      <c r="B17" s="199" t="n"/>
      <c r="C17" s="200" t="n"/>
      <c r="D17" s="199" t="n"/>
      <c r="E17" s="201" t="n"/>
      <c r="F17" s="201" t="n"/>
      <c r="G17" s="201" t="n"/>
      <c r="H17" s="201" t="n"/>
      <c r="I17" s="201" t="n"/>
      <c r="J17" s="201" t="n"/>
      <c r="K17" s="201" t="n"/>
      <c r="L17" s="201" t="n"/>
      <c r="M17" s="201" t="n"/>
      <c r="N17" s="201" t="n"/>
      <c r="O17" s="201" t="n"/>
      <c r="P17" s="201" t="n"/>
      <c r="Q17" s="201" t="n"/>
      <c r="R17" s="201" t="n"/>
      <c r="S17" s="201" t="n"/>
      <c r="T17" s="204">
        <f>SUM(F17:S17)</f>
        <v/>
      </c>
      <c r="U17" s="207">
        <f>(HLOOKUP(B17,F:T,A17,FALSE)/T17)</f>
        <v/>
      </c>
      <c r="V17" s="189" t="n"/>
      <c r="W17" s="163">
        <f>YEAR(C17)</f>
        <v/>
      </c>
      <c r="X17" s="116">
        <f>MONTH(C17)</f>
        <v/>
      </c>
      <c r="Y17" s="116">
        <f>WEEKNUM(C17,21)</f>
        <v/>
      </c>
      <c r="Z17" s="122">
        <f>IFERROR(F17/$T17,0)</f>
        <v/>
      </c>
      <c r="AA17" s="122">
        <f>IFERROR(G17/$T17,0)</f>
        <v/>
      </c>
      <c r="AB17" s="122">
        <f>IFERROR(H17/$T17,0)</f>
        <v/>
      </c>
      <c r="AC17" s="122">
        <f>IFERROR(I17/$T17,0)</f>
        <v/>
      </c>
      <c r="AD17" s="122">
        <f>IFERROR(J17/$T17,0)</f>
        <v/>
      </c>
      <c r="AE17" s="122">
        <f>IFERROR(K17/$T17,0)</f>
        <v/>
      </c>
      <c r="AF17" s="122">
        <f>IFERROR(L17/$T17,0)</f>
        <v/>
      </c>
      <c r="AG17" s="122">
        <f>IFERROR(M17/$T17,0)</f>
        <v/>
      </c>
      <c r="AH17" s="122">
        <f>IFERROR(N17/$T17,0)</f>
        <v/>
      </c>
      <c r="AI17" s="122">
        <f>IFERROR(O17/$T17,0)</f>
        <v/>
      </c>
      <c r="AJ17" s="122">
        <f>IFERROR(P17/$T17,0)</f>
        <v/>
      </c>
      <c r="AK17" s="122">
        <f>IFERROR(Q17/$T17,0)</f>
        <v/>
      </c>
      <c r="AL17" s="122">
        <f>IFERROR(R17/$T17,0)</f>
        <v/>
      </c>
      <c r="AM17" s="122">
        <f>IFERROR(S17/$T17,0)</f>
        <v/>
      </c>
      <c r="AN17" s="122">
        <f>SUM(Z17:AC17)</f>
        <v/>
      </c>
      <c r="AO17" s="122">
        <f>SUM(AD17:AL17)</f>
        <v/>
      </c>
      <c r="AP17" s="122">
        <f>SUM(AM17,AB17)</f>
        <v/>
      </c>
      <c r="AQ17" s="122">
        <f>SUM(AA17)</f>
        <v/>
      </c>
      <c r="AR17" s="121">
        <f>(AP17+AQ17)-3%</f>
        <v/>
      </c>
      <c r="AS17" s="122">
        <f>SUM(AO17+AM17)</f>
        <v/>
      </c>
      <c r="AT17" s="122">
        <f>SUM(AH17+AN17)</f>
        <v/>
      </c>
      <c r="AU17" s="122">
        <f>SUM(AN17+AO17)</f>
        <v/>
      </c>
      <c r="AV17" s="122">
        <f>SUM(AN17+AD17+AE17+AF17+AG17+AH17+AJ17+AK17+AL17)</f>
        <v/>
      </c>
      <c r="AW17" s="122">
        <f>SUM(AD17+AE17+AF17+AG17+AI17+AJ17+AK17+AL17)</f>
        <v/>
      </c>
    </row>
    <row r="18" ht="14.1" customHeight="1" s="259">
      <c r="A18" s="174">
        <f>A17+1</f>
        <v/>
      </c>
      <c r="B18" s="199" t="n"/>
      <c r="C18" s="200" t="n"/>
      <c r="D18" s="199" t="n"/>
      <c r="E18" s="201" t="n"/>
      <c r="F18" s="201" t="n"/>
      <c r="G18" s="201" t="n"/>
      <c r="H18" s="201" t="n"/>
      <c r="I18" s="201" t="n"/>
      <c r="J18" s="201" t="n"/>
      <c r="K18" s="201" t="n"/>
      <c r="L18" s="201" t="n"/>
      <c r="M18" s="201" t="n"/>
      <c r="N18" s="201" t="n"/>
      <c r="O18" s="201" t="n"/>
      <c r="P18" s="201" t="n"/>
      <c r="Q18" s="201" t="n"/>
      <c r="R18" s="201" t="n"/>
      <c r="S18" s="201" t="n"/>
      <c r="T18" s="204">
        <f>SUM(F18:S18)</f>
        <v/>
      </c>
      <c r="U18" s="207">
        <f>(HLOOKUP(B18,F:T,A18,FALSE)/T18)</f>
        <v/>
      </c>
      <c r="V18" s="189" t="n"/>
      <c r="W18" s="163">
        <f>YEAR(C18)</f>
        <v/>
      </c>
      <c r="X18" s="116">
        <f>MONTH(C18)</f>
        <v/>
      </c>
      <c r="Y18" s="116">
        <f>WEEKNUM(C18,21)</f>
        <v/>
      </c>
      <c r="Z18" s="122">
        <f>IFERROR(F18/$T18,0)</f>
        <v/>
      </c>
      <c r="AA18" s="122">
        <f>IFERROR(G18/$T18,0)</f>
        <v/>
      </c>
      <c r="AB18" s="122">
        <f>IFERROR(H18/$T18,0)</f>
        <v/>
      </c>
      <c r="AC18" s="122">
        <f>IFERROR(I18/$T18,0)</f>
        <v/>
      </c>
      <c r="AD18" s="122">
        <f>IFERROR(J18/$T18,0)</f>
        <v/>
      </c>
      <c r="AE18" s="122">
        <f>IFERROR(K18/$T18,0)</f>
        <v/>
      </c>
      <c r="AF18" s="122">
        <f>IFERROR(L18/$T18,0)</f>
        <v/>
      </c>
      <c r="AG18" s="122">
        <f>IFERROR(M18/$T18,0)</f>
        <v/>
      </c>
      <c r="AH18" s="122">
        <f>IFERROR(N18/$T18,0)</f>
        <v/>
      </c>
      <c r="AI18" s="122">
        <f>IFERROR(O18/$T18,0)</f>
        <v/>
      </c>
      <c r="AJ18" s="122">
        <f>IFERROR(P18/$T18,0)</f>
        <v/>
      </c>
      <c r="AK18" s="122">
        <f>IFERROR(Q18/$T18,0)</f>
        <v/>
      </c>
      <c r="AL18" s="122">
        <f>IFERROR(R18/$T18,0)</f>
        <v/>
      </c>
      <c r="AM18" s="122">
        <f>IFERROR(S18/$T18,0)</f>
        <v/>
      </c>
      <c r="AN18" s="122">
        <f>SUM(Z18:AC18)</f>
        <v/>
      </c>
      <c r="AO18" s="122">
        <f>SUM(AD18:AL18)</f>
        <v/>
      </c>
      <c r="AP18" s="122">
        <f>SUM(AM18,AB18)</f>
        <v/>
      </c>
      <c r="AQ18" s="122">
        <f>SUM(AA18)</f>
        <v/>
      </c>
      <c r="AR18" s="121">
        <f>(AP18+AQ18)-3%</f>
        <v/>
      </c>
      <c r="AS18" s="122">
        <f>SUM(AO18+AM18)</f>
        <v/>
      </c>
      <c r="AT18" s="122">
        <f>SUM(AH18+AN18)</f>
        <v/>
      </c>
      <c r="AU18" s="122">
        <f>SUM(AN18+AO18)</f>
        <v/>
      </c>
      <c r="AV18" s="122">
        <f>SUM(AN18+AD18+AE18+AF18+AG18+AH18+AJ18+AK18+AL18)</f>
        <v/>
      </c>
      <c r="AW18" s="122">
        <f>SUM(AD18+AE18+AF18+AG18+AI18+AJ18+AK18+AL18)</f>
        <v/>
      </c>
    </row>
    <row r="19" ht="14.1" customHeight="1" s="259">
      <c r="A19" s="174">
        <f>A18+1</f>
        <v/>
      </c>
      <c r="B19" s="199" t="n"/>
      <c r="C19" s="200" t="n"/>
      <c r="D19" s="199" t="n"/>
      <c r="E19" s="201" t="n"/>
      <c r="F19" s="201" t="n"/>
      <c r="G19" s="201" t="n"/>
      <c r="H19" s="201" t="n"/>
      <c r="I19" s="201" t="n"/>
      <c r="J19" s="201" t="n"/>
      <c r="K19" s="201" t="n"/>
      <c r="L19" s="201" t="n"/>
      <c r="M19" s="201" t="n"/>
      <c r="N19" s="201" t="n"/>
      <c r="O19" s="201" t="n"/>
      <c r="P19" s="201" t="n"/>
      <c r="Q19" s="201" t="n"/>
      <c r="R19" s="201" t="n"/>
      <c r="S19" s="201" t="n"/>
      <c r="T19" s="204">
        <f>SUM(F19:S19)</f>
        <v/>
      </c>
      <c r="U19" s="207">
        <f>(HLOOKUP(B19,F:T,A19,FALSE)/T19)</f>
        <v/>
      </c>
      <c r="V19" s="189" t="n"/>
      <c r="W19" s="163">
        <f>YEAR(C19)</f>
        <v/>
      </c>
      <c r="X19" s="116">
        <f>MONTH(C19)</f>
        <v/>
      </c>
      <c r="Y19" s="116">
        <f>WEEKNUM(C19,21)</f>
        <v/>
      </c>
      <c r="Z19" s="122">
        <f>IFERROR(F19/$T19,0)</f>
        <v/>
      </c>
      <c r="AA19" s="122">
        <f>IFERROR(G19/$T19,0)</f>
        <v/>
      </c>
      <c r="AB19" s="122">
        <f>IFERROR(H19/$T19,0)</f>
        <v/>
      </c>
      <c r="AC19" s="122">
        <f>IFERROR(I19/$T19,0)</f>
        <v/>
      </c>
      <c r="AD19" s="122">
        <f>IFERROR(J19/$T19,0)</f>
        <v/>
      </c>
      <c r="AE19" s="122">
        <f>IFERROR(K19/$T19,0)</f>
        <v/>
      </c>
      <c r="AF19" s="122">
        <f>IFERROR(L19/$T19,0)</f>
        <v/>
      </c>
      <c r="AG19" s="122">
        <f>IFERROR(M19/$T19,0)</f>
        <v/>
      </c>
      <c r="AH19" s="122">
        <f>IFERROR(N19/$T19,0)</f>
        <v/>
      </c>
      <c r="AI19" s="122">
        <f>IFERROR(O19/$T19,0)</f>
        <v/>
      </c>
      <c r="AJ19" s="122">
        <f>IFERROR(P19/$T19,0)</f>
        <v/>
      </c>
      <c r="AK19" s="122">
        <f>IFERROR(Q19/$T19,0)</f>
        <v/>
      </c>
      <c r="AL19" s="122">
        <f>IFERROR(R19/$T19,0)</f>
        <v/>
      </c>
      <c r="AM19" s="122">
        <f>IFERROR(S19/$T19,0)</f>
        <v/>
      </c>
      <c r="AN19" s="122">
        <f>SUM(Z19:AC19)</f>
        <v/>
      </c>
      <c r="AO19" s="122">
        <f>SUM(AD19:AL19)</f>
        <v/>
      </c>
      <c r="AP19" s="122">
        <f>SUM(AM19,AB19)</f>
        <v/>
      </c>
      <c r="AQ19" s="122">
        <f>SUM(AA19)</f>
        <v/>
      </c>
      <c r="AR19" s="121">
        <f>(AP19+AQ19)-3%</f>
        <v/>
      </c>
      <c r="AS19" s="122">
        <f>SUM(AO19+AM19)</f>
        <v/>
      </c>
      <c r="AT19" s="122">
        <f>SUM(AH19+AN19)</f>
        <v/>
      </c>
      <c r="AU19" s="122">
        <f>SUM(AN19+AO19)</f>
        <v/>
      </c>
      <c r="AV19" s="122">
        <f>SUM(AN19+AD19+AE19+AF19+AG19+AH19+AJ19+AK19+AL19)</f>
        <v/>
      </c>
      <c r="AW19" s="122">
        <f>SUM(AD19+AE19+AF19+AG19+AI19+AJ19+AK19+AL19)</f>
        <v/>
      </c>
    </row>
    <row r="20" ht="14.1" customHeight="1" s="259">
      <c r="A20" s="174">
        <f>A19+1</f>
        <v/>
      </c>
      <c r="B20" s="199" t="n"/>
      <c r="C20" s="200" t="n"/>
      <c r="D20" s="199" t="n"/>
      <c r="E20" s="201" t="n"/>
      <c r="F20" s="201" t="n"/>
      <c r="G20" s="201" t="n"/>
      <c r="H20" s="201" t="n"/>
      <c r="I20" s="201" t="n"/>
      <c r="J20" s="201" t="n"/>
      <c r="K20" s="201" t="n"/>
      <c r="L20" s="201" t="n"/>
      <c r="M20" s="201" t="n"/>
      <c r="N20" s="201" t="n"/>
      <c r="O20" s="201" t="n"/>
      <c r="P20" s="201" t="n"/>
      <c r="Q20" s="201" t="n"/>
      <c r="R20" s="201" t="n"/>
      <c r="S20" s="201" t="n"/>
      <c r="T20" s="204">
        <f>SUM(F20:S20)</f>
        <v/>
      </c>
      <c r="U20" s="207">
        <f>(HLOOKUP(B20,F:T,A20,FALSE)/T20)</f>
        <v/>
      </c>
      <c r="V20" s="189" t="n"/>
      <c r="W20" s="163">
        <f>YEAR(C20)</f>
        <v/>
      </c>
      <c r="X20" s="116">
        <f>MONTH(C20)</f>
        <v/>
      </c>
      <c r="Y20" s="116">
        <f>WEEKNUM(C20,21)</f>
        <v/>
      </c>
      <c r="Z20" s="122">
        <f>IFERROR(F20/$T20,0)</f>
        <v/>
      </c>
      <c r="AA20" s="122">
        <f>IFERROR(G20/$T20,0)</f>
        <v/>
      </c>
      <c r="AB20" s="122">
        <f>IFERROR(H20/$T20,0)</f>
        <v/>
      </c>
      <c r="AC20" s="122">
        <f>IFERROR(I20/$T20,0)</f>
        <v/>
      </c>
      <c r="AD20" s="122">
        <f>IFERROR(J20/$T20,0)</f>
        <v/>
      </c>
      <c r="AE20" s="122">
        <f>IFERROR(K20/$T20,0)</f>
        <v/>
      </c>
      <c r="AF20" s="122">
        <f>IFERROR(L20/$T20,0)</f>
        <v/>
      </c>
      <c r="AG20" s="122">
        <f>IFERROR(M20/$T20,0)</f>
        <v/>
      </c>
      <c r="AH20" s="122">
        <f>IFERROR(N20/$T20,0)</f>
        <v/>
      </c>
      <c r="AI20" s="122">
        <f>IFERROR(O20/$T20,0)</f>
        <v/>
      </c>
      <c r="AJ20" s="122">
        <f>IFERROR(P20/$T20,0)</f>
        <v/>
      </c>
      <c r="AK20" s="122">
        <f>IFERROR(Q20/$T20,0)</f>
        <v/>
      </c>
      <c r="AL20" s="122">
        <f>IFERROR(R20/$T20,0)</f>
        <v/>
      </c>
      <c r="AM20" s="122">
        <f>IFERROR(S20/$T20,0)</f>
        <v/>
      </c>
      <c r="AN20" s="122">
        <f>SUM(Z20:AC20)</f>
        <v/>
      </c>
      <c r="AO20" s="122">
        <f>SUM(AD20:AL20)</f>
        <v/>
      </c>
      <c r="AP20" s="122">
        <f>SUM(AM20,AB20)</f>
        <v/>
      </c>
      <c r="AQ20" s="122">
        <f>SUM(AA20)</f>
        <v/>
      </c>
      <c r="AR20" s="121">
        <f>(AP20+AQ20)-3%</f>
        <v/>
      </c>
      <c r="AS20" s="122">
        <f>SUM(AO20+AM20)</f>
        <v/>
      </c>
      <c r="AT20" s="122">
        <f>SUM(AH20+AN20)</f>
        <v/>
      </c>
      <c r="AU20" s="122">
        <f>SUM(AN20+AO20)</f>
        <v/>
      </c>
      <c r="AV20" s="122">
        <f>SUM(AN20+AD20+AE20+AF20+AG20+AH20+AJ20+AK20+AL20)</f>
        <v/>
      </c>
      <c r="AW20" s="122">
        <f>SUM(AD20+AE20+AF20+AG20+AI20+AJ20+AK20+AL20)</f>
        <v/>
      </c>
    </row>
    <row r="21" ht="14.1" customHeight="1" s="259">
      <c r="A21" s="174">
        <f>A20+1</f>
        <v/>
      </c>
      <c r="B21" s="199" t="n"/>
      <c r="C21" s="200" t="n"/>
      <c r="D21" s="199" t="n"/>
      <c r="E21" s="201" t="n"/>
      <c r="F21" s="201" t="n"/>
      <c r="G21" s="201" t="n"/>
      <c r="H21" s="201" t="n"/>
      <c r="I21" s="201" t="n"/>
      <c r="J21" s="201" t="n"/>
      <c r="K21" s="201" t="n"/>
      <c r="L21" s="201" t="n"/>
      <c r="M21" s="201" t="n"/>
      <c r="N21" s="201" t="n"/>
      <c r="O21" s="201" t="n"/>
      <c r="P21" s="201" t="n"/>
      <c r="Q21" s="201" t="n"/>
      <c r="R21" s="201" t="n"/>
      <c r="S21" s="201" t="n"/>
      <c r="T21" s="204">
        <f>SUM(F21:S21)</f>
        <v/>
      </c>
      <c r="U21" s="207">
        <f>(HLOOKUP(B21,F:T,A21,FALSE)/T21)</f>
        <v/>
      </c>
      <c r="V21" s="189" t="n"/>
      <c r="W21" s="163">
        <f>YEAR(C21)</f>
        <v/>
      </c>
      <c r="X21" s="116">
        <f>MONTH(C21)</f>
        <v/>
      </c>
      <c r="Y21" s="116">
        <f>WEEKNUM(C21,21)</f>
        <v/>
      </c>
      <c r="Z21" s="122">
        <f>IFERROR(F21/$T21,0)</f>
        <v/>
      </c>
      <c r="AA21" s="122">
        <f>IFERROR(G21/$T21,0)</f>
        <v/>
      </c>
      <c r="AB21" s="122">
        <f>IFERROR(H21/$T21,0)</f>
        <v/>
      </c>
      <c r="AC21" s="122">
        <f>IFERROR(I21/$T21,0)</f>
        <v/>
      </c>
      <c r="AD21" s="122">
        <f>IFERROR(J21/$T21,0)</f>
        <v/>
      </c>
      <c r="AE21" s="122">
        <f>IFERROR(K21/$T21,0)</f>
        <v/>
      </c>
      <c r="AF21" s="122">
        <f>IFERROR(L21/$T21,0)</f>
        <v/>
      </c>
      <c r="AG21" s="122">
        <f>IFERROR(M21/$T21,0)</f>
        <v/>
      </c>
      <c r="AH21" s="122">
        <f>IFERROR(N21/$T21,0)</f>
        <v/>
      </c>
      <c r="AI21" s="122">
        <f>IFERROR(O21/$T21,0)</f>
        <v/>
      </c>
      <c r="AJ21" s="122">
        <f>IFERROR(P21/$T21,0)</f>
        <v/>
      </c>
      <c r="AK21" s="122">
        <f>IFERROR(Q21/$T21,0)</f>
        <v/>
      </c>
      <c r="AL21" s="122">
        <f>IFERROR(R21/$T21,0)</f>
        <v/>
      </c>
      <c r="AM21" s="122">
        <f>IFERROR(S21/$T21,0)</f>
        <v/>
      </c>
      <c r="AN21" s="122">
        <f>SUM(Z21:AC21)</f>
        <v/>
      </c>
      <c r="AO21" s="122">
        <f>SUM(AD21:AL21)</f>
        <v/>
      </c>
      <c r="AP21" s="122">
        <f>SUM(AM21,AB21)</f>
        <v/>
      </c>
      <c r="AQ21" s="122">
        <f>SUM(AA21)</f>
        <v/>
      </c>
      <c r="AR21" s="121">
        <f>(AP21+AQ21)-3%</f>
        <v/>
      </c>
      <c r="AS21" s="122">
        <f>SUM(AO21+AM21)</f>
        <v/>
      </c>
      <c r="AT21" s="122">
        <f>SUM(AH21+AN21)</f>
        <v/>
      </c>
      <c r="AU21" s="122">
        <f>SUM(AN21+AO21)</f>
        <v/>
      </c>
      <c r="AV21" s="122">
        <f>SUM(AN21+AD21+AE21+AF21+AG21+AH21+AJ21+AK21+AL21)</f>
        <v/>
      </c>
      <c r="AW21" s="122">
        <f>SUM(AD21+AE21+AF21+AG21+AI21+AJ21+AK21+AL21)</f>
        <v/>
      </c>
    </row>
    <row r="22" ht="14.1" customHeight="1" s="259">
      <c r="A22" s="174">
        <f>A21+1</f>
        <v/>
      </c>
      <c r="B22" s="199" t="n"/>
      <c r="C22" s="200" t="n"/>
      <c r="D22" s="199" t="n"/>
      <c r="E22" s="201" t="n"/>
      <c r="F22" s="201" t="n"/>
      <c r="G22" s="201" t="n"/>
      <c r="H22" s="201" t="n"/>
      <c r="I22" s="201" t="n"/>
      <c r="J22" s="201" t="n"/>
      <c r="K22" s="201" t="n"/>
      <c r="L22" s="201" t="n"/>
      <c r="M22" s="201" t="n"/>
      <c r="N22" s="201" t="n"/>
      <c r="O22" s="201" t="n"/>
      <c r="P22" s="201" t="n"/>
      <c r="Q22" s="201" t="n"/>
      <c r="R22" s="201" t="n"/>
      <c r="S22" s="201" t="n"/>
      <c r="T22" s="204">
        <f>SUM(F22:S22)</f>
        <v/>
      </c>
      <c r="U22" s="207">
        <f>(HLOOKUP(B22,F:T,A22,FALSE)/T22)</f>
        <v/>
      </c>
      <c r="V22" s="189" t="n"/>
      <c r="W22" s="163">
        <f>YEAR(C22)</f>
        <v/>
      </c>
      <c r="X22" s="116">
        <f>MONTH(C22)</f>
        <v/>
      </c>
      <c r="Y22" s="116">
        <f>WEEKNUM(C22,21)</f>
        <v/>
      </c>
      <c r="Z22" s="122">
        <f>IFERROR(F22/$T22,0)</f>
        <v/>
      </c>
      <c r="AA22" s="122">
        <f>IFERROR(G22/$T22,0)</f>
        <v/>
      </c>
      <c r="AB22" s="122">
        <f>IFERROR(H22/$T22,0)</f>
        <v/>
      </c>
      <c r="AC22" s="122">
        <f>IFERROR(I22/$T22,0)</f>
        <v/>
      </c>
      <c r="AD22" s="122">
        <f>IFERROR(J22/$T22,0)</f>
        <v/>
      </c>
      <c r="AE22" s="122">
        <f>IFERROR(K22/$T22,0)</f>
        <v/>
      </c>
      <c r="AF22" s="122">
        <f>IFERROR(L22/$T22,0)</f>
        <v/>
      </c>
      <c r="AG22" s="122">
        <f>IFERROR(M22/$T22,0)</f>
        <v/>
      </c>
      <c r="AH22" s="122">
        <f>IFERROR(N22/$T22,0)</f>
        <v/>
      </c>
      <c r="AI22" s="122">
        <f>IFERROR(O22/$T22,0)</f>
        <v/>
      </c>
      <c r="AJ22" s="122">
        <f>IFERROR(P22/$T22,0)</f>
        <v/>
      </c>
      <c r="AK22" s="122">
        <f>IFERROR(Q22/$T22,0)</f>
        <v/>
      </c>
      <c r="AL22" s="122">
        <f>IFERROR(R22/$T22,0)</f>
        <v/>
      </c>
      <c r="AM22" s="122">
        <f>IFERROR(S22/$T22,0)</f>
        <v/>
      </c>
      <c r="AN22" s="122">
        <f>SUM(Z22:AC22)</f>
        <v/>
      </c>
      <c r="AO22" s="122">
        <f>SUM(AD22:AL22)</f>
        <v/>
      </c>
      <c r="AP22" s="122">
        <f>SUM(AM22,AB22)</f>
        <v/>
      </c>
      <c r="AQ22" s="122">
        <f>SUM(AA22)</f>
        <v/>
      </c>
      <c r="AR22" s="121">
        <f>(AP22+AQ22)-3%</f>
        <v/>
      </c>
      <c r="AS22" s="122">
        <f>SUM(AO22+AM22)</f>
        <v/>
      </c>
      <c r="AT22" s="122">
        <f>SUM(AH22+AN22)</f>
        <v/>
      </c>
      <c r="AU22" s="122">
        <f>SUM(AN22+AO22)</f>
        <v/>
      </c>
      <c r="AV22" s="122">
        <f>SUM(AN22+AD22+AE22+AF22+AG22+AH22+AJ22+AK22+AL22)</f>
        <v/>
      </c>
      <c r="AW22" s="122">
        <f>SUM(AD22+AE22+AF22+AG22+AI22+AJ22+AK22+AL22)</f>
        <v/>
      </c>
    </row>
    <row r="23" ht="14.1" customHeight="1" s="259">
      <c r="A23" s="174">
        <f>A22+1</f>
        <v/>
      </c>
      <c r="B23" s="199" t="n"/>
      <c r="C23" s="200" t="n"/>
      <c r="D23" s="199" t="n"/>
      <c r="E23" s="201" t="n"/>
      <c r="F23" s="201" t="n"/>
      <c r="G23" s="201" t="n"/>
      <c r="H23" s="201" t="n"/>
      <c r="I23" s="201" t="n"/>
      <c r="J23" s="201" t="n"/>
      <c r="K23" s="201" t="n"/>
      <c r="L23" s="201" t="n"/>
      <c r="M23" s="201" t="n"/>
      <c r="N23" s="201" t="n"/>
      <c r="O23" s="201" t="n"/>
      <c r="P23" s="201" t="n"/>
      <c r="Q23" s="201" t="n"/>
      <c r="R23" s="201" t="n"/>
      <c r="S23" s="201" t="n"/>
      <c r="T23" s="204">
        <f>SUM(F23:S23)</f>
        <v/>
      </c>
      <c r="U23" s="207">
        <f>(HLOOKUP(B23,F:T,A23,FALSE)/T23)</f>
        <v/>
      </c>
      <c r="V23" s="189" t="n"/>
      <c r="W23" s="163">
        <f>YEAR(C23)</f>
        <v/>
      </c>
      <c r="X23" s="116">
        <f>MONTH(C23)</f>
        <v/>
      </c>
      <c r="Y23" s="116">
        <f>WEEKNUM(C23,21)</f>
        <v/>
      </c>
      <c r="Z23" s="122">
        <f>IFERROR(F23/$T23,0)</f>
        <v/>
      </c>
      <c r="AA23" s="122">
        <f>IFERROR(G23/$T23,0)</f>
        <v/>
      </c>
      <c r="AB23" s="122">
        <f>IFERROR(H23/$T23,0)</f>
        <v/>
      </c>
      <c r="AC23" s="122">
        <f>IFERROR(I23/$T23,0)</f>
        <v/>
      </c>
      <c r="AD23" s="122">
        <f>IFERROR(J23/$T23,0)</f>
        <v/>
      </c>
      <c r="AE23" s="122">
        <f>IFERROR(K23/$T23,0)</f>
        <v/>
      </c>
      <c r="AF23" s="122">
        <f>IFERROR(L23/$T23,0)</f>
        <v/>
      </c>
      <c r="AG23" s="122">
        <f>IFERROR(M23/$T23,0)</f>
        <v/>
      </c>
      <c r="AH23" s="122">
        <f>IFERROR(N23/$T23,0)</f>
        <v/>
      </c>
      <c r="AI23" s="122">
        <f>IFERROR(O23/$T23,0)</f>
        <v/>
      </c>
      <c r="AJ23" s="122">
        <f>IFERROR(P23/$T23,0)</f>
        <v/>
      </c>
      <c r="AK23" s="122">
        <f>IFERROR(Q23/$T23,0)</f>
        <v/>
      </c>
      <c r="AL23" s="122">
        <f>IFERROR(R23/$T23,0)</f>
        <v/>
      </c>
      <c r="AM23" s="122">
        <f>IFERROR(S23/$T23,0)</f>
        <v/>
      </c>
      <c r="AN23" s="122">
        <f>SUM(Z23:AC23)</f>
        <v/>
      </c>
      <c r="AO23" s="122">
        <f>SUM(AD23:AL23)</f>
        <v/>
      </c>
      <c r="AP23" s="122">
        <f>SUM(AM23,AB23)</f>
        <v/>
      </c>
      <c r="AQ23" s="122">
        <f>SUM(AA23)</f>
        <v/>
      </c>
      <c r="AR23" s="121">
        <f>(AP23+AQ23)-3%</f>
        <v/>
      </c>
      <c r="AS23" s="122">
        <f>SUM(AO23+AM23)</f>
        <v/>
      </c>
      <c r="AT23" s="122">
        <f>SUM(AH23+AN23)</f>
        <v/>
      </c>
      <c r="AU23" s="122">
        <f>SUM(AN23+AO23)</f>
        <v/>
      </c>
      <c r="AV23" s="122">
        <f>SUM(AN23+AD23+AE23+AF23+AG23+AH23+AJ23+AK23+AL23)</f>
        <v/>
      </c>
      <c r="AW23" s="122">
        <f>SUM(AD23+AE23+AF23+AG23+AI23+AJ23+AK23+AL23)</f>
        <v/>
      </c>
    </row>
    <row r="24" ht="14.1" customHeight="1" s="259">
      <c r="A24" s="174">
        <f>A23+1</f>
        <v/>
      </c>
      <c r="B24" s="199" t="n"/>
      <c r="C24" s="200" t="n"/>
      <c r="D24" s="199" t="n"/>
      <c r="E24" s="201" t="n"/>
      <c r="F24" s="201" t="n"/>
      <c r="G24" s="201" t="n"/>
      <c r="H24" s="201" t="n"/>
      <c r="I24" s="201" t="n"/>
      <c r="J24" s="201" t="n"/>
      <c r="K24" s="201" t="n"/>
      <c r="L24" s="201" t="n"/>
      <c r="M24" s="201" t="n"/>
      <c r="N24" s="201" t="n"/>
      <c r="O24" s="201" t="n"/>
      <c r="P24" s="201" t="n"/>
      <c r="Q24" s="201" t="n"/>
      <c r="R24" s="201" t="n"/>
      <c r="S24" s="201" t="n"/>
      <c r="T24" s="204">
        <f>SUM(F24:S24)</f>
        <v/>
      </c>
      <c r="U24" s="207">
        <f>(HLOOKUP(B24,F:T,A24,FALSE)/T24)</f>
        <v/>
      </c>
      <c r="V24" s="189" t="n"/>
      <c r="W24" s="163">
        <f>YEAR(C24)</f>
        <v/>
      </c>
      <c r="X24" s="116">
        <f>MONTH(C24)</f>
        <v/>
      </c>
      <c r="Y24" s="116">
        <f>WEEKNUM(C24,21)</f>
        <v/>
      </c>
      <c r="Z24" s="122">
        <f>IFERROR(F24/$T24,0)</f>
        <v/>
      </c>
      <c r="AA24" s="122">
        <f>IFERROR(G24/$T24,0)</f>
        <v/>
      </c>
      <c r="AB24" s="122">
        <f>IFERROR(H24/$T24,0)</f>
        <v/>
      </c>
      <c r="AC24" s="122">
        <f>IFERROR(I24/$T24,0)</f>
        <v/>
      </c>
      <c r="AD24" s="122">
        <f>IFERROR(J24/$T24,0)</f>
        <v/>
      </c>
      <c r="AE24" s="122">
        <f>IFERROR(K24/$T24,0)</f>
        <v/>
      </c>
      <c r="AF24" s="122">
        <f>IFERROR(L24/$T24,0)</f>
        <v/>
      </c>
      <c r="AG24" s="122">
        <f>IFERROR(M24/$T24,0)</f>
        <v/>
      </c>
      <c r="AH24" s="122">
        <f>IFERROR(N24/$T24,0)</f>
        <v/>
      </c>
      <c r="AI24" s="122">
        <f>IFERROR(O24/$T24,0)</f>
        <v/>
      </c>
      <c r="AJ24" s="122">
        <f>IFERROR(P24/$T24,0)</f>
        <v/>
      </c>
      <c r="AK24" s="122">
        <f>IFERROR(Q24/$T24,0)</f>
        <v/>
      </c>
      <c r="AL24" s="122">
        <f>IFERROR(R24/$T24,0)</f>
        <v/>
      </c>
      <c r="AM24" s="122">
        <f>IFERROR(S24/$T24,0)</f>
        <v/>
      </c>
      <c r="AN24" s="122">
        <f>SUM(Z24:AC24)</f>
        <v/>
      </c>
      <c r="AO24" s="122">
        <f>SUM(AD24:AL24)</f>
        <v/>
      </c>
      <c r="AP24" s="122">
        <f>SUM(AM24,AB24)</f>
        <v/>
      </c>
      <c r="AQ24" s="122">
        <f>SUM(AA24)</f>
        <v/>
      </c>
      <c r="AR24" s="121">
        <f>(AP24+AQ24)-3%</f>
        <v/>
      </c>
      <c r="AS24" s="122">
        <f>SUM(AO24+AM24)</f>
        <v/>
      </c>
      <c r="AT24" s="122">
        <f>SUM(AH24+AN24)</f>
        <v/>
      </c>
      <c r="AU24" s="122">
        <f>SUM(AN24+AO24)</f>
        <v/>
      </c>
      <c r="AV24" s="122">
        <f>SUM(AN24+AD24+AE24+AF24+AG24+AH24+AJ24+AK24+AL24)</f>
        <v/>
      </c>
      <c r="AW24" s="122">
        <f>SUM(AD24+AE24+AF24+AG24+AI24+AJ24+AK24+AL24)</f>
        <v/>
      </c>
    </row>
    <row r="25" ht="14.1" customHeight="1" s="259">
      <c r="A25" s="174">
        <f>A24+1</f>
        <v/>
      </c>
      <c r="B25" s="199" t="n"/>
      <c r="C25" s="200" t="n"/>
      <c r="D25" s="199" t="n"/>
      <c r="E25" s="201" t="n"/>
      <c r="F25" s="201" t="n"/>
      <c r="G25" s="201" t="n"/>
      <c r="H25" s="201" t="n"/>
      <c r="I25" s="201" t="n"/>
      <c r="J25" s="201" t="n"/>
      <c r="K25" s="201" t="n"/>
      <c r="L25" s="201" t="n"/>
      <c r="M25" s="201" t="n"/>
      <c r="N25" s="201" t="n"/>
      <c r="O25" s="201" t="n"/>
      <c r="P25" s="201" t="n"/>
      <c r="Q25" s="201" t="n"/>
      <c r="R25" s="201" t="n"/>
      <c r="S25" s="201" t="n"/>
      <c r="T25" s="204">
        <f>SUM(F25:S25)</f>
        <v/>
      </c>
      <c r="U25" s="207">
        <f>(HLOOKUP(B25,F:T,A25,FALSE)/T25)</f>
        <v/>
      </c>
      <c r="V25" s="189" t="n"/>
      <c r="W25" s="163">
        <f>YEAR(C25)</f>
        <v/>
      </c>
      <c r="X25" s="116">
        <f>MONTH(C25)</f>
        <v/>
      </c>
      <c r="Y25" s="116">
        <f>WEEKNUM(C25,21)</f>
        <v/>
      </c>
      <c r="Z25" s="122">
        <f>IFERROR(F25/$T25,0)</f>
        <v/>
      </c>
      <c r="AA25" s="122">
        <f>IFERROR(G25/$T25,0)</f>
        <v/>
      </c>
      <c r="AB25" s="122">
        <f>IFERROR(H25/$T25,0)</f>
        <v/>
      </c>
      <c r="AC25" s="122">
        <f>IFERROR(I25/$T25,0)</f>
        <v/>
      </c>
      <c r="AD25" s="122">
        <f>IFERROR(J25/$T25,0)</f>
        <v/>
      </c>
      <c r="AE25" s="122">
        <f>IFERROR(K25/$T25,0)</f>
        <v/>
      </c>
      <c r="AF25" s="122">
        <f>IFERROR(L25/$T25,0)</f>
        <v/>
      </c>
      <c r="AG25" s="122">
        <f>IFERROR(M25/$T25,0)</f>
        <v/>
      </c>
      <c r="AH25" s="122">
        <f>IFERROR(N25/$T25,0)</f>
        <v/>
      </c>
      <c r="AI25" s="122">
        <f>IFERROR(O25/$T25,0)</f>
        <v/>
      </c>
      <c r="AJ25" s="122">
        <f>IFERROR(P25/$T25,0)</f>
        <v/>
      </c>
      <c r="AK25" s="122">
        <f>IFERROR(Q25/$T25,0)</f>
        <v/>
      </c>
      <c r="AL25" s="122">
        <f>IFERROR(R25/$T25,0)</f>
        <v/>
      </c>
      <c r="AM25" s="122">
        <f>IFERROR(S25/$T25,0)</f>
        <v/>
      </c>
      <c r="AN25" s="122">
        <f>SUM(Z25:AC25)</f>
        <v/>
      </c>
      <c r="AO25" s="122">
        <f>SUM(AD25:AL25)</f>
        <v/>
      </c>
      <c r="AP25" s="122">
        <f>SUM(AM25,AB25)</f>
        <v/>
      </c>
      <c r="AQ25" s="122">
        <f>SUM(AA25)</f>
        <v/>
      </c>
      <c r="AR25" s="121">
        <f>(AP25+AQ25)-3%</f>
        <v/>
      </c>
      <c r="AS25" s="122">
        <f>SUM(AO25+AM25)</f>
        <v/>
      </c>
      <c r="AT25" s="122">
        <f>SUM(AH25+AN25)</f>
        <v/>
      </c>
      <c r="AU25" s="122">
        <f>SUM(AN25+AO25)</f>
        <v/>
      </c>
      <c r="AV25" s="122">
        <f>SUM(AN25+AD25+AE25+AF25+AG25+AH25+AJ25+AK25+AL25)</f>
        <v/>
      </c>
      <c r="AW25" s="122">
        <f>SUM(AD25+AE25+AF25+AG25+AI25+AJ25+AK25+AL25)</f>
        <v/>
      </c>
    </row>
    <row r="26" ht="14.1" customHeight="1" s="259">
      <c r="A26" s="174">
        <f>A25+1</f>
        <v/>
      </c>
      <c r="B26" s="199" t="n"/>
      <c r="C26" s="200" t="n"/>
      <c r="D26" s="199" t="n"/>
      <c r="E26" s="201" t="n"/>
      <c r="F26" s="201" t="n"/>
      <c r="G26" s="201" t="n"/>
      <c r="H26" s="201" t="n"/>
      <c r="I26" s="201" t="n"/>
      <c r="J26" s="201" t="n"/>
      <c r="K26" s="201" t="n"/>
      <c r="L26" s="201" t="n"/>
      <c r="M26" s="201" t="n"/>
      <c r="N26" s="201" t="n"/>
      <c r="O26" s="201" t="n"/>
      <c r="P26" s="201" t="n"/>
      <c r="Q26" s="201" t="n"/>
      <c r="R26" s="201" t="n"/>
      <c r="S26" s="201" t="n"/>
      <c r="T26" s="204">
        <f>SUM(F26:S26)</f>
        <v/>
      </c>
      <c r="U26" s="207">
        <f>(HLOOKUP(B26,F:T,A26,FALSE)/T26)</f>
        <v/>
      </c>
      <c r="V26" s="189" t="n"/>
      <c r="W26" s="163">
        <f>YEAR(C26)</f>
        <v/>
      </c>
      <c r="X26" s="116">
        <f>MONTH(C26)</f>
        <v/>
      </c>
      <c r="Y26" s="116">
        <f>WEEKNUM(C26,21)</f>
        <v/>
      </c>
      <c r="Z26" s="122">
        <f>IFERROR(F26/$T26,0)</f>
        <v/>
      </c>
      <c r="AA26" s="122">
        <f>IFERROR(G26/$T26,0)</f>
        <v/>
      </c>
      <c r="AB26" s="122">
        <f>IFERROR(H26/$T26,0)</f>
        <v/>
      </c>
      <c r="AC26" s="122">
        <f>IFERROR(I26/$T26,0)</f>
        <v/>
      </c>
      <c r="AD26" s="122">
        <f>IFERROR(J26/$T26,0)</f>
        <v/>
      </c>
      <c r="AE26" s="122">
        <f>IFERROR(K26/$T26,0)</f>
        <v/>
      </c>
      <c r="AF26" s="122">
        <f>IFERROR(L26/$T26,0)</f>
        <v/>
      </c>
      <c r="AG26" s="122">
        <f>IFERROR(M26/$T26,0)</f>
        <v/>
      </c>
      <c r="AH26" s="122">
        <f>IFERROR(N26/$T26,0)</f>
        <v/>
      </c>
      <c r="AI26" s="122">
        <f>IFERROR(O26/$T26,0)</f>
        <v/>
      </c>
      <c r="AJ26" s="122">
        <f>IFERROR(P26/$T26,0)</f>
        <v/>
      </c>
      <c r="AK26" s="122">
        <f>IFERROR(Q26/$T26,0)</f>
        <v/>
      </c>
      <c r="AL26" s="122">
        <f>IFERROR(R26/$T26,0)</f>
        <v/>
      </c>
      <c r="AM26" s="122">
        <f>IFERROR(S26/$T26,0)</f>
        <v/>
      </c>
      <c r="AN26" s="122">
        <f>SUM(Z26:AC26)</f>
        <v/>
      </c>
      <c r="AO26" s="122">
        <f>SUM(AD26:AL26)</f>
        <v/>
      </c>
      <c r="AP26" s="122">
        <f>SUM(AM26,AB26)</f>
        <v/>
      </c>
      <c r="AQ26" s="122">
        <f>SUM(AA26)</f>
        <v/>
      </c>
      <c r="AR26" s="121">
        <f>(AP26+AQ26)-3%</f>
        <v/>
      </c>
      <c r="AS26" s="122">
        <f>SUM(AO26+AM26)</f>
        <v/>
      </c>
      <c r="AT26" s="122">
        <f>SUM(AH26+AN26)</f>
        <v/>
      </c>
      <c r="AU26" s="122">
        <f>SUM(AN26+AO26)</f>
        <v/>
      </c>
      <c r="AV26" s="122">
        <f>SUM(AN26+AD26+AE26+AF26+AG26+AH26+AJ26+AK26+AL26)</f>
        <v/>
      </c>
      <c r="AW26" s="122">
        <f>SUM(AD26+AE26+AF26+AG26+AI26+AJ26+AK26+AL26)</f>
        <v/>
      </c>
    </row>
    <row r="27" ht="14.1" customHeight="1" s="259">
      <c r="A27" s="174">
        <f>A26+1</f>
        <v/>
      </c>
      <c r="B27" s="199" t="n"/>
      <c r="C27" s="200" t="n"/>
      <c r="D27" s="199" t="n"/>
      <c r="E27" s="201" t="n"/>
      <c r="F27" s="201" t="n"/>
      <c r="G27" s="201" t="n"/>
      <c r="H27" s="201" t="n"/>
      <c r="I27" s="201" t="n"/>
      <c r="J27" s="201" t="n"/>
      <c r="K27" s="201" t="n"/>
      <c r="L27" s="201" t="n"/>
      <c r="M27" s="201" t="n"/>
      <c r="N27" s="201" t="n"/>
      <c r="O27" s="201" t="n"/>
      <c r="P27" s="201" t="n"/>
      <c r="Q27" s="201" t="n"/>
      <c r="R27" s="201" t="n"/>
      <c r="S27" s="201" t="n"/>
      <c r="T27" s="204">
        <f>SUM(F27:S27)</f>
        <v/>
      </c>
      <c r="U27" s="207">
        <f>(HLOOKUP(B27,F:T,A27,FALSE)/T27)</f>
        <v/>
      </c>
      <c r="V27" s="189" t="n"/>
      <c r="W27" s="163">
        <f>YEAR(C27)</f>
        <v/>
      </c>
      <c r="X27" s="116">
        <f>MONTH(C27)</f>
        <v/>
      </c>
      <c r="Y27" s="116">
        <f>WEEKNUM(C27,21)</f>
        <v/>
      </c>
      <c r="Z27" s="122">
        <f>IFERROR(F27/$T27,0)</f>
        <v/>
      </c>
      <c r="AA27" s="122">
        <f>IFERROR(G27/$T27,0)</f>
        <v/>
      </c>
      <c r="AB27" s="122">
        <f>IFERROR(H27/$T27,0)</f>
        <v/>
      </c>
      <c r="AC27" s="122">
        <f>IFERROR(I27/$T27,0)</f>
        <v/>
      </c>
      <c r="AD27" s="122">
        <f>IFERROR(J27/$T27,0)</f>
        <v/>
      </c>
      <c r="AE27" s="122">
        <f>IFERROR(K27/$T27,0)</f>
        <v/>
      </c>
      <c r="AF27" s="122">
        <f>IFERROR(L27/$T27,0)</f>
        <v/>
      </c>
      <c r="AG27" s="122">
        <f>IFERROR(M27/$T27,0)</f>
        <v/>
      </c>
      <c r="AH27" s="122">
        <f>IFERROR(N27/$T27,0)</f>
        <v/>
      </c>
      <c r="AI27" s="122">
        <f>IFERROR(O27/$T27,0)</f>
        <v/>
      </c>
      <c r="AJ27" s="122">
        <f>IFERROR(P27/$T27,0)</f>
        <v/>
      </c>
      <c r="AK27" s="122">
        <f>IFERROR(Q27/$T27,0)</f>
        <v/>
      </c>
      <c r="AL27" s="122">
        <f>IFERROR(R27/$T27,0)</f>
        <v/>
      </c>
      <c r="AM27" s="122">
        <f>IFERROR(S27/$T27,0)</f>
        <v/>
      </c>
      <c r="AN27" s="122">
        <f>SUM(Z27:AC27)</f>
        <v/>
      </c>
      <c r="AO27" s="122">
        <f>SUM(AD27:AL27)</f>
        <v/>
      </c>
      <c r="AP27" s="122">
        <f>SUM(AM27,AB27)</f>
        <v/>
      </c>
      <c r="AQ27" s="122">
        <f>SUM(AA27)</f>
        <v/>
      </c>
      <c r="AR27" s="121">
        <f>(AP27+AQ27)-3%</f>
        <v/>
      </c>
      <c r="AS27" s="122">
        <f>SUM(AO27+AM27)</f>
        <v/>
      </c>
      <c r="AT27" s="122">
        <f>SUM(AH27+AN27)</f>
        <v/>
      </c>
      <c r="AU27" s="122">
        <f>SUM(AN27+AO27)</f>
        <v/>
      </c>
      <c r="AV27" s="122">
        <f>SUM(AN27+AD27+AE27+AF27+AG27+AH27+AJ27+AK27+AL27)</f>
        <v/>
      </c>
      <c r="AW27" s="122">
        <f>SUM(AD27+AE27+AF27+AG27+AI27+AJ27+AK27+AL27)</f>
        <v/>
      </c>
    </row>
    <row r="28" ht="14.1" customHeight="1" s="259">
      <c r="A28" s="174">
        <f>A27+1</f>
        <v/>
      </c>
      <c r="B28" s="239" t="n"/>
      <c r="C28" s="240" t="n"/>
      <c r="D28" s="239" t="n"/>
      <c r="E28" s="241" t="n"/>
      <c r="F28" s="241" t="n"/>
      <c r="G28" s="241" t="n"/>
      <c r="H28" s="241" t="n"/>
      <c r="I28" s="241" t="n"/>
      <c r="J28" s="241" t="n"/>
      <c r="K28" s="241" t="n"/>
      <c r="L28" s="241" t="n"/>
      <c r="M28" s="241" t="n"/>
      <c r="N28" s="241" t="n"/>
      <c r="O28" s="241" t="n"/>
      <c r="P28" s="241" t="n"/>
      <c r="Q28" s="241" t="n"/>
      <c r="R28" s="241" t="n"/>
      <c r="S28" s="241" t="n"/>
      <c r="T28" s="204">
        <f>SUM(F28:S28)</f>
        <v/>
      </c>
      <c r="U28" s="207">
        <f>(HLOOKUP(B28,F:T,A28,FALSE)/T28)</f>
        <v/>
      </c>
      <c r="V28" s="242" t="n"/>
      <c r="W28" s="172" t="n">
        <v>2026</v>
      </c>
      <c r="X28" s="243" t="n">
        <v>2</v>
      </c>
      <c r="Y28" s="243" t="n">
        <v>8</v>
      </c>
      <c r="Z28" s="122">
        <f>IFERROR(F28/$T28,0)</f>
        <v/>
      </c>
      <c r="AA28" s="122">
        <f>IFERROR(G28/$T28,0)</f>
        <v/>
      </c>
      <c r="AB28" s="122">
        <f>IFERROR(H28/$T28,0)</f>
        <v/>
      </c>
      <c r="AC28" s="122">
        <f>IFERROR(I28/$T28,0)</f>
        <v/>
      </c>
      <c r="AD28" s="122">
        <f>IFERROR(J28/$T28,0)</f>
        <v/>
      </c>
      <c r="AE28" s="122">
        <f>IFERROR(K28/$T28,0)</f>
        <v/>
      </c>
      <c r="AF28" s="122">
        <f>IFERROR(L28/$T28,0)</f>
        <v/>
      </c>
      <c r="AG28" s="122">
        <f>IFERROR(M28/$T28,0)</f>
        <v/>
      </c>
      <c r="AH28" s="122">
        <f>IFERROR(N28/$T28,0)</f>
        <v/>
      </c>
      <c r="AI28" s="122">
        <f>IFERROR(O28/$T28,0)</f>
        <v/>
      </c>
      <c r="AJ28" s="122">
        <f>IFERROR(P28/$T28,0)</f>
        <v/>
      </c>
      <c r="AK28" s="122">
        <f>IFERROR(Q28/$T28,0)</f>
        <v/>
      </c>
      <c r="AL28" s="122">
        <f>IFERROR(R28/$T28,0)</f>
        <v/>
      </c>
      <c r="AM28" s="122">
        <f>IFERROR(S28/$T28,0)</f>
        <v/>
      </c>
      <c r="AN28" s="122">
        <f>SUM(Z28:AC28)</f>
        <v/>
      </c>
      <c r="AO28" s="122">
        <f>SUM(AD28:AL28)</f>
        <v/>
      </c>
      <c r="AP28" s="122">
        <f>SUM(AM28,AB28)</f>
        <v/>
      </c>
      <c r="AQ28" s="122">
        <f>SUM(AA28)</f>
        <v/>
      </c>
      <c r="AR28" s="121">
        <f>(AP28+AQ28)-3%</f>
        <v/>
      </c>
      <c r="AS28" s="122">
        <f>SUM(AO28+AM28)</f>
        <v/>
      </c>
      <c r="AT28" s="122">
        <f>SUM(AH28+AN28)</f>
        <v/>
      </c>
      <c r="AU28" s="122">
        <f>SUM(AN28+AO28)</f>
        <v/>
      </c>
      <c r="AV28" s="122">
        <f>SUM(AN28+AD28+AE28+AF28+AG28+AH28+AJ28+AK28+AL28)</f>
        <v/>
      </c>
      <c r="AW28" s="122">
        <f>SUM(AD28+AE28+AF28+AG28+AI28+AJ28+AK28+AL28)</f>
        <v/>
      </c>
    </row>
    <row r="29" ht="14.1" customHeight="1" s="259">
      <c r="A29" s="174">
        <f>A28+1</f>
        <v/>
      </c>
      <c r="B29" s="239" t="n"/>
      <c r="C29" s="240" t="n"/>
      <c r="D29" s="239" t="n"/>
      <c r="E29" s="241" t="n"/>
      <c r="F29" s="241" t="n"/>
      <c r="G29" s="241" t="n"/>
      <c r="H29" s="241" t="n"/>
      <c r="I29" s="241" t="n"/>
      <c r="J29" s="241" t="n"/>
      <c r="K29" s="241" t="n"/>
      <c r="L29" s="241" t="n"/>
      <c r="M29" s="241" t="n"/>
      <c r="N29" s="241" t="n"/>
      <c r="O29" s="241" t="n"/>
      <c r="P29" s="241" t="n"/>
      <c r="Q29" s="241" t="n"/>
      <c r="R29" s="241" t="n"/>
      <c r="S29" s="241" t="n"/>
      <c r="T29" s="204">
        <f>SUM(F29:S29)</f>
        <v/>
      </c>
      <c r="U29" s="207">
        <f>(HLOOKUP(B29,F:T,A29,FALSE)/T29)</f>
        <v/>
      </c>
      <c r="V29" s="242" t="n"/>
      <c r="W29" s="172" t="n">
        <v>2026</v>
      </c>
      <c r="X29" s="243" t="n">
        <v>2</v>
      </c>
      <c r="Y29" s="243" t="n">
        <v>8</v>
      </c>
      <c r="Z29" s="122">
        <f>IFERROR(F29/$T29,0)</f>
        <v/>
      </c>
      <c r="AA29" s="122">
        <f>IFERROR(G29/$T29,0)</f>
        <v/>
      </c>
      <c r="AB29" s="122">
        <f>IFERROR(H29/$T29,0)</f>
        <v/>
      </c>
      <c r="AC29" s="122">
        <f>IFERROR(I29/$T29,0)</f>
        <v/>
      </c>
      <c r="AD29" s="122">
        <f>IFERROR(J29/$T29,0)</f>
        <v/>
      </c>
      <c r="AE29" s="122">
        <f>IFERROR(K29/$T29,0)</f>
        <v/>
      </c>
      <c r="AF29" s="122">
        <f>IFERROR(L29/$T29,0)</f>
        <v/>
      </c>
      <c r="AG29" s="122">
        <f>IFERROR(M29/$T29,0)</f>
        <v/>
      </c>
      <c r="AH29" s="122">
        <f>IFERROR(N29/$T29,0)</f>
        <v/>
      </c>
      <c r="AI29" s="122">
        <f>IFERROR(O29/$T29,0)</f>
        <v/>
      </c>
      <c r="AJ29" s="122">
        <f>IFERROR(P29/$T29,0)</f>
        <v/>
      </c>
      <c r="AK29" s="122">
        <f>IFERROR(Q29/$T29,0)</f>
        <v/>
      </c>
      <c r="AL29" s="122">
        <f>IFERROR(R29/$T29,0)</f>
        <v/>
      </c>
      <c r="AM29" s="122">
        <f>IFERROR(S29/$T29,0)</f>
        <v/>
      </c>
      <c r="AN29" s="122">
        <f>SUM(Z29:AC29)</f>
        <v/>
      </c>
      <c r="AO29" s="122">
        <f>SUM(AD29:AL29)</f>
        <v/>
      </c>
      <c r="AP29" s="122">
        <f>SUM(AM29,AB29)</f>
        <v/>
      </c>
      <c r="AQ29" s="122">
        <f>SUM(AA29)</f>
        <v/>
      </c>
      <c r="AR29" s="121">
        <f>(AP29+AQ29)-3%</f>
        <v/>
      </c>
      <c r="AS29" s="122">
        <f>SUM(AO29+AM29)</f>
        <v/>
      </c>
      <c r="AT29" s="122">
        <f>SUM(AH29+AN29)</f>
        <v/>
      </c>
      <c r="AU29" s="122">
        <f>SUM(AN29+AO29)</f>
        <v/>
      </c>
      <c r="AV29" s="122">
        <f>SUM(AN29+AD29+AE29+AF29+AG29+AH29+AJ29+AK29+AL29)</f>
        <v/>
      </c>
      <c r="AW29" s="122">
        <f>SUM(AD29+AE29+AF29+AG29+AI29+AJ29+AK29+AL29)</f>
        <v/>
      </c>
    </row>
    <row r="30" ht="14.1" customHeight="1" s="259">
      <c r="A30" s="174">
        <f>A29+1</f>
        <v/>
      </c>
      <c r="B30" s="244" t="n"/>
      <c r="C30" s="245" t="n"/>
      <c r="D30" s="244" t="n"/>
      <c r="E30" s="246" t="n"/>
      <c r="F30" s="246" t="n"/>
      <c r="G30" s="246" t="n"/>
      <c r="H30" s="246" t="n"/>
      <c r="I30" s="246" t="n"/>
      <c r="J30" s="246" t="n"/>
      <c r="K30" s="246" t="n"/>
      <c r="L30" s="246" t="n"/>
      <c r="M30" s="246" t="n"/>
      <c r="N30" s="246" t="n"/>
      <c r="O30" s="246" t="n"/>
      <c r="P30" s="246" t="n"/>
      <c r="Q30" s="246" t="n"/>
      <c r="R30" s="246" t="n"/>
      <c r="S30" s="246" t="n"/>
      <c r="T30" s="204">
        <f>SUM(F30:S30)</f>
        <v/>
      </c>
      <c r="U30" s="207">
        <f>(HLOOKUP(B30,F:T,A30,FALSE)/T30)</f>
        <v/>
      </c>
      <c r="V30" s="242" t="n"/>
      <c r="W30" s="172" t="n">
        <v>2026</v>
      </c>
      <c r="X30" s="243" t="n">
        <v>2</v>
      </c>
      <c r="Y30" s="243" t="n">
        <v>8</v>
      </c>
      <c r="Z30" s="122">
        <f>IFERROR(F30/$T30,0)</f>
        <v/>
      </c>
      <c r="AA30" s="122">
        <f>IFERROR(G30/$T30,0)</f>
        <v/>
      </c>
      <c r="AB30" s="122">
        <f>IFERROR(H30/$T30,0)</f>
        <v/>
      </c>
      <c r="AC30" s="122">
        <f>IFERROR(I30/$T30,0)</f>
        <v/>
      </c>
      <c r="AD30" s="122">
        <f>IFERROR(J30/$T30,0)</f>
        <v/>
      </c>
      <c r="AE30" s="122">
        <f>IFERROR(K30/$T30,0)</f>
        <v/>
      </c>
      <c r="AF30" s="122">
        <f>IFERROR(L30/$T30,0)</f>
        <v/>
      </c>
      <c r="AG30" s="122">
        <f>IFERROR(M30/$T30,0)</f>
        <v/>
      </c>
      <c r="AH30" s="122">
        <f>IFERROR(N30/$T30,0)</f>
        <v/>
      </c>
      <c r="AI30" s="122">
        <f>IFERROR(O30/$T30,0)</f>
        <v/>
      </c>
      <c r="AJ30" s="122">
        <f>IFERROR(P30/$T30,0)</f>
        <v/>
      </c>
      <c r="AK30" s="122">
        <f>IFERROR(Q30/$T30,0)</f>
        <v/>
      </c>
      <c r="AL30" s="122">
        <f>IFERROR(R30/$T30,0)</f>
        <v/>
      </c>
      <c r="AM30" s="122">
        <f>IFERROR(S30/$T30,0)</f>
        <v/>
      </c>
      <c r="AN30" s="122">
        <f>SUM(Z30:AC30)</f>
        <v/>
      </c>
      <c r="AO30" s="122">
        <f>SUM(AD30:AL30)</f>
        <v/>
      </c>
      <c r="AP30" s="122">
        <f>SUM(AM30,AB30)</f>
        <v/>
      </c>
      <c r="AQ30" s="122">
        <f>SUM(AA30)</f>
        <v/>
      </c>
      <c r="AR30" s="121">
        <f>(AP30+AQ30)-3%</f>
        <v/>
      </c>
      <c r="AS30" s="122">
        <f>SUM(AO30+AM30)</f>
        <v/>
      </c>
      <c r="AT30" s="122">
        <f>SUM(AH30+AN30)</f>
        <v/>
      </c>
      <c r="AU30" s="122">
        <f>SUM(AN30+AO30)</f>
        <v/>
      </c>
      <c r="AV30" s="122">
        <f>SUM(AN30+AD30+AE30+AF30+AG30+AH30+AJ30+AK30+AL30)</f>
        <v/>
      </c>
      <c r="AW30" s="122">
        <f>SUM(AD30+AE30+AF30+AG30+AI30+AJ30+AK30+AL30)</f>
        <v/>
      </c>
    </row>
    <row r="31" ht="14.1" customHeight="1" s="259">
      <c r="A31" s="174">
        <f>A30+1</f>
        <v/>
      </c>
      <c r="B31" s="244" t="n"/>
      <c r="C31" s="245" t="n"/>
      <c r="D31" s="244" t="n"/>
      <c r="E31" s="246" t="n"/>
      <c r="F31" s="246" t="n"/>
      <c r="G31" s="246" t="n"/>
      <c r="H31" s="246" t="n"/>
      <c r="I31" s="246" t="n"/>
      <c r="J31" s="246" t="n"/>
      <c r="K31" s="246" t="n"/>
      <c r="L31" s="246" t="n"/>
      <c r="M31" s="246" t="n"/>
      <c r="N31" s="246" t="n"/>
      <c r="O31" s="246" t="n"/>
      <c r="P31" s="246" t="n"/>
      <c r="Q31" s="246" t="n"/>
      <c r="R31" s="246" t="n"/>
      <c r="S31" s="246" t="n"/>
      <c r="T31" s="204">
        <f>SUM(F31:S31)</f>
        <v/>
      </c>
      <c r="U31" s="207">
        <f>(HLOOKUP(B31,F:T,A31,FALSE)/T31)</f>
        <v/>
      </c>
      <c r="V31" s="242" t="n"/>
      <c r="W31" s="172" t="n">
        <v>2026</v>
      </c>
      <c r="X31" s="243" t="n">
        <v>2</v>
      </c>
      <c r="Y31" s="243" t="n">
        <v>8</v>
      </c>
      <c r="Z31" s="122">
        <f>IFERROR(F31/$T31,0)</f>
        <v/>
      </c>
      <c r="AA31" s="122">
        <f>IFERROR(G31/$T31,0)</f>
        <v/>
      </c>
      <c r="AB31" s="122">
        <f>IFERROR(H31/$T31,0)</f>
        <v/>
      </c>
      <c r="AC31" s="122">
        <f>IFERROR(I31/$T31,0)</f>
        <v/>
      </c>
      <c r="AD31" s="122">
        <f>IFERROR(J31/$T31,0)</f>
        <v/>
      </c>
      <c r="AE31" s="122">
        <f>IFERROR(K31/$T31,0)</f>
        <v/>
      </c>
      <c r="AF31" s="122">
        <f>IFERROR(L31/$T31,0)</f>
        <v/>
      </c>
      <c r="AG31" s="122">
        <f>IFERROR(M31/$T31,0)</f>
        <v/>
      </c>
      <c r="AH31" s="122">
        <f>IFERROR(N31/$T31,0)</f>
        <v/>
      </c>
      <c r="AI31" s="122">
        <f>IFERROR(O31/$T31,0)</f>
        <v/>
      </c>
      <c r="AJ31" s="122">
        <f>IFERROR(P31/$T31,0)</f>
        <v/>
      </c>
      <c r="AK31" s="122">
        <f>IFERROR(Q31/$T31,0)</f>
        <v/>
      </c>
      <c r="AL31" s="122">
        <f>IFERROR(R31/$T31,0)</f>
        <v/>
      </c>
      <c r="AM31" s="122">
        <f>IFERROR(S31/$T31,0)</f>
        <v/>
      </c>
      <c r="AN31" s="122">
        <f>SUM(Z31:AC31)</f>
        <v/>
      </c>
      <c r="AO31" s="122">
        <f>SUM(AD31:AL31)</f>
        <v/>
      </c>
      <c r="AP31" s="122">
        <f>SUM(AM31,AB31)</f>
        <v/>
      </c>
      <c r="AQ31" s="122">
        <f>SUM(AA31)</f>
        <v/>
      </c>
      <c r="AR31" s="121">
        <f>(AP31+AQ31)-3%</f>
        <v/>
      </c>
      <c r="AS31" s="122">
        <f>SUM(AO31+AM31)</f>
        <v/>
      </c>
      <c r="AT31" s="122">
        <f>SUM(AH31+AN31)</f>
        <v/>
      </c>
      <c r="AU31" s="122">
        <f>SUM(AN31+AO31)</f>
        <v/>
      </c>
      <c r="AV31" s="122">
        <f>SUM(AN31+AD31+AE31+AF31+AG31+AH31+AJ31+AK31+AL31)</f>
        <v/>
      </c>
      <c r="AW31" s="122">
        <f>SUM(AD31+AE31+AF31+AG31+AI31+AJ31+AK31+AL31)</f>
        <v/>
      </c>
    </row>
    <row r="32" ht="14.1" customHeight="1" s="259">
      <c r="A32" s="174">
        <f>A31+1</f>
        <v/>
      </c>
      <c r="B32" s="244" t="n"/>
      <c r="C32" s="245" t="n"/>
      <c r="D32" s="244" t="n"/>
      <c r="E32" s="246" t="n"/>
      <c r="F32" s="246" t="n"/>
      <c r="G32" s="246" t="n"/>
      <c r="H32" s="246" t="n"/>
      <c r="I32" s="246" t="n"/>
      <c r="J32" s="246" t="n"/>
      <c r="K32" s="246" t="n"/>
      <c r="L32" s="246" t="n"/>
      <c r="M32" s="246" t="n"/>
      <c r="N32" s="246" t="n"/>
      <c r="O32" s="246" t="n"/>
      <c r="P32" s="246" t="n"/>
      <c r="Q32" s="246" t="n"/>
      <c r="R32" s="246" t="n"/>
      <c r="S32" s="246" t="n"/>
      <c r="T32" s="204">
        <f>SUM(F32:S32)</f>
        <v/>
      </c>
      <c r="U32" s="207">
        <f>(HLOOKUP(B32,F:T,A32,FALSE)/T32)</f>
        <v/>
      </c>
      <c r="V32" s="242" t="n"/>
      <c r="W32" s="172" t="n">
        <v>2026</v>
      </c>
      <c r="X32" s="243" t="n">
        <v>2</v>
      </c>
      <c r="Y32" s="243" t="n">
        <v>8</v>
      </c>
      <c r="Z32" s="122">
        <f>IFERROR(F32/$T32,0)</f>
        <v/>
      </c>
      <c r="AA32" s="122">
        <f>IFERROR(G32/$T32,0)</f>
        <v/>
      </c>
      <c r="AB32" s="122">
        <f>IFERROR(H32/$T32,0)</f>
        <v/>
      </c>
      <c r="AC32" s="122">
        <f>IFERROR(I32/$T32,0)</f>
        <v/>
      </c>
      <c r="AD32" s="122">
        <f>IFERROR(J32/$T32,0)</f>
        <v/>
      </c>
      <c r="AE32" s="122">
        <f>IFERROR(K32/$T32,0)</f>
        <v/>
      </c>
      <c r="AF32" s="122">
        <f>IFERROR(L32/$T32,0)</f>
        <v/>
      </c>
      <c r="AG32" s="122">
        <f>IFERROR(M32/$T32,0)</f>
        <v/>
      </c>
      <c r="AH32" s="122">
        <f>IFERROR(N32/$T32,0)</f>
        <v/>
      </c>
      <c r="AI32" s="122">
        <f>IFERROR(O32/$T32,0)</f>
        <v/>
      </c>
      <c r="AJ32" s="122">
        <f>IFERROR(P32/$T32,0)</f>
        <v/>
      </c>
      <c r="AK32" s="122">
        <f>IFERROR(Q32/$T32,0)</f>
        <v/>
      </c>
      <c r="AL32" s="122">
        <f>IFERROR(R32/$T32,0)</f>
        <v/>
      </c>
      <c r="AM32" s="122">
        <f>IFERROR(S32/$T32,0)</f>
        <v/>
      </c>
      <c r="AN32" s="122">
        <f>SUM(Z32:AC32)</f>
        <v/>
      </c>
      <c r="AO32" s="122">
        <f>SUM(AD32:AL32)</f>
        <v/>
      </c>
      <c r="AP32" s="122">
        <f>SUM(AM32,AB32)</f>
        <v/>
      </c>
      <c r="AQ32" s="122">
        <f>SUM(AA32)</f>
        <v/>
      </c>
      <c r="AR32" s="121">
        <f>(AP32+AQ32)-3%</f>
        <v/>
      </c>
      <c r="AS32" s="122">
        <f>SUM(AO32+AM32)</f>
        <v/>
      </c>
      <c r="AT32" s="122">
        <f>SUM(AH32+AN32)</f>
        <v/>
      </c>
      <c r="AU32" s="122">
        <f>SUM(AN32+AO32)</f>
        <v/>
      </c>
      <c r="AV32" s="122">
        <f>SUM(AN32+AD32+AE32+AF32+AG32+AH32+AJ32+AK32+AL32)</f>
        <v/>
      </c>
      <c r="AW32" s="122">
        <f>SUM(AD32+AE32+AF32+AG32+AI32+AJ32+AK32+AL32)</f>
        <v/>
      </c>
    </row>
    <row r="33" ht="14.1" customHeight="1" s="259">
      <c r="A33" s="174">
        <f>A32+1</f>
        <v/>
      </c>
      <c r="B33" s="204" t="n"/>
      <c r="C33" s="205" t="n"/>
      <c r="D33" s="204" t="n"/>
      <c r="E33" s="206" t="n"/>
      <c r="F33" s="206" t="n"/>
      <c r="G33" s="206" t="n"/>
      <c r="H33" s="206" t="n"/>
      <c r="I33" s="206" t="n"/>
      <c r="J33" s="206" t="n"/>
      <c r="K33" s="206" t="n"/>
      <c r="L33" s="206" t="n"/>
      <c r="M33" s="206" t="n"/>
      <c r="N33" s="206" t="n"/>
      <c r="O33" s="206" t="n"/>
      <c r="P33" s="206" t="n"/>
      <c r="Q33" s="206" t="n"/>
      <c r="R33" s="206" t="n"/>
      <c r="S33" s="206" t="n"/>
      <c r="T33" s="204">
        <f>SUM(F33:S33)</f>
        <v/>
      </c>
      <c r="U33" s="207">
        <f>(HLOOKUP(B33,F:T,A33,FALSE)/T33)</f>
        <v/>
      </c>
      <c r="V33" s="189" t="n"/>
      <c r="W33" s="163">
        <f>YEAR(C33)</f>
        <v/>
      </c>
      <c r="X33" s="116">
        <f>MONTH(C33)</f>
        <v/>
      </c>
      <c r="Y33" s="116">
        <f>WEEKNUM(C33,21)</f>
        <v/>
      </c>
      <c r="Z33" s="122">
        <f>IFERROR(F33/$T33,0)</f>
        <v/>
      </c>
      <c r="AA33" s="122">
        <f>IFERROR(G33/$T33,0)</f>
        <v/>
      </c>
      <c r="AB33" s="122">
        <f>IFERROR(H33/$T33,0)</f>
        <v/>
      </c>
      <c r="AC33" s="122">
        <f>IFERROR(I33/$T33,0)</f>
        <v/>
      </c>
      <c r="AD33" s="122">
        <f>IFERROR(J33/$T33,0)</f>
        <v/>
      </c>
      <c r="AE33" s="122">
        <f>IFERROR(K33/$T33,0)</f>
        <v/>
      </c>
      <c r="AF33" s="122">
        <f>IFERROR(L33/$T33,0)</f>
        <v/>
      </c>
      <c r="AG33" s="122">
        <f>IFERROR(M33/$T33,0)</f>
        <v/>
      </c>
      <c r="AH33" s="122">
        <f>IFERROR(N33/$T33,0)</f>
        <v/>
      </c>
      <c r="AI33" s="122">
        <f>IFERROR(O33/$T33,0)</f>
        <v/>
      </c>
      <c r="AJ33" s="122">
        <f>IFERROR(P33/$T33,0)</f>
        <v/>
      </c>
      <c r="AK33" s="122">
        <f>IFERROR(Q33/$T33,0)</f>
        <v/>
      </c>
      <c r="AL33" s="122">
        <f>IFERROR(R33/$T33,0)</f>
        <v/>
      </c>
      <c r="AM33" s="122">
        <f>IFERROR(S33/$T33,0)</f>
        <v/>
      </c>
      <c r="AN33" s="122">
        <f>SUM(Z33:AC33)</f>
        <v/>
      </c>
      <c r="AO33" s="122">
        <f>SUM(AD33:AL33)</f>
        <v/>
      </c>
      <c r="AP33" s="122">
        <f>SUM(AM33,AB33)</f>
        <v/>
      </c>
      <c r="AQ33" s="122">
        <f>SUM(AA33)</f>
        <v/>
      </c>
      <c r="AR33" s="121">
        <f>(AP33+AQ33)-3%</f>
        <v/>
      </c>
      <c r="AS33" s="122">
        <f>SUM(AO33+AM33)</f>
        <v/>
      </c>
      <c r="AT33" s="122">
        <f>SUM(AH33+AN33)</f>
        <v/>
      </c>
      <c r="AU33" s="122">
        <f>SUM(AN33+AO33)</f>
        <v/>
      </c>
      <c r="AV33" s="122">
        <f>SUM(AN33+AD33+AE33+AF33+AG33+AH33+AJ33+AK33+AL33)</f>
        <v/>
      </c>
      <c r="AW33" s="122">
        <f>SUM(AD33+AE33+AF33+AG33+AI33+AJ33+AK33+AL33)</f>
        <v/>
      </c>
    </row>
    <row r="34" ht="14.1" customHeight="1" s="259">
      <c r="A34" s="174">
        <f>A33+1</f>
        <v/>
      </c>
      <c r="B34" s="204" t="n"/>
      <c r="C34" s="205" t="n"/>
      <c r="D34" s="204" t="n"/>
      <c r="E34" s="206" t="n"/>
      <c r="F34" s="206" t="n"/>
      <c r="G34" s="206" t="n"/>
      <c r="H34" s="206" t="n"/>
      <c r="I34" s="206" t="n"/>
      <c r="J34" s="206" t="n"/>
      <c r="K34" s="206" t="n"/>
      <c r="L34" s="206" t="n"/>
      <c r="M34" s="206" t="n"/>
      <c r="N34" s="206" t="n"/>
      <c r="O34" s="206" t="n"/>
      <c r="P34" s="206" t="n"/>
      <c r="Q34" s="206" t="n"/>
      <c r="R34" s="206" t="n"/>
      <c r="S34" s="206" t="n"/>
      <c r="T34" s="204">
        <f>SUM(F34:S34)</f>
        <v/>
      </c>
      <c r="U34" s="207">
        <f>(HLOOKUP(B34,F:T,A34,FALSE)/T34)</f>
        <v/>
      </c>
      <c r="V34" s="189" t="n"/>
      <c r="W34" s="163">
        <f>YEAR(C34)</f>
        <v/>
      </c>
      <c r="X34" s="116">
        <f>MONTH(C34)</f>
        <v/>
      </c>
      <c r="Y34" s="116">
        <f>WEEKNUM(C34,21)</f>
        <v/>
      </c>
      <c r="Z34" s="122">
        <f>IFERROR(F34/$T34,0)</f>
        <v/>
      </c>
      <c r="AA34" s="122">
        <f>IFERROR(G34/$T34,0)</f>
        <v/>
      </c>
      <c r="AB34" s="122">
        <f>IFERROR(H34/$T34,0)</f>
        <v/>
      </c>
      <c r="AC34" s="122">
        <f>IFERROR(I34/$T34,0)</f>
        <v/>
      </c>
      <c r="AD34" s="122">
        <f>IFERROR(J34/$T34,0)</f>
        <v/>
      </c>
      <c r="AE34" s="122">
        <f>IFERROR(K34/$T34,0)</f>
        <v/>
      </c>
      <c r="AF34" s="122">
        <f>IFERROR(L34/$T34,0)</f>
        <v/>
      </c>
      <c r="AG34" s="122">
        <f>IFERROR(M34/$T34,0)</f>
        <v/>
      </c>
      <c r="AH34" s="122">
        <f>IFERROR(N34/$T34,0)</f>
        <v/>
      </c>
      <c r="AI34" s="122">
        <f>IFERROR(O34/$T34,0)</f>
        <v/>
      </c>
      <c r="AJ34" s="122">
        <f>IFERROR(P34/$T34,0)</f>
        <v/>
      </c>
      <c r="AK34" s="122">
        <f>IFERROR(Q34/$T34,0)</f>
        <v/>
      </c>
      <c r="AL34" s="122">
        <f>IFERROR(R34/$T34,0)</f>
        <v/>
      </c>
      <c r="AM34" s="122">
        <f>IFERROR(S34/$T34,0)</f>
        <v/>
      </c>
      <c r="AN34" s="122">
        <f>SUM(Z34:AC34)</f>
        <v/>
      </c>
      <c r="AO34" s="122">
        <f>SUM(AD34:AL34)</f>
        <v/>
      </c>
      <c r="AP34" s="122">
        <f>SUM(AM34,AB34)</f>
        <v/>
      </c>
      <c r="AQ34" s="122">
        <f>SUM(AA34)</f>
        <v/>
      </c>
      <c r="AR34" s="121">
        <f>(AP34+AQ34)-3%</f>
        <v/>
      </c>
      <c r="AS34" s="122">
        <f>SUM(AO34+AM34)</f>
        <v/>
      </c>
      <c r="AT34" s="122">
        <f>SUM(AH34+AN34)</f>
        <v/>
      </c>
      <c r="AU34" s="122">
        <f>SUM(AN34+AO34)</f>
        <v/>
      </c>
      <c r="AV34" s="122">
        <f>SUM(AN34+AD34+AE34+AF34+AG34+AH34+AJ34+AK34+AL34)</f>
        <v/>
      </c>
      <c r="AW34" s="122">
        <f>SUM(AD34+AE34+AF34+AG34+AI34+AJ34+AK34+AL34)</f>
        <v/>
      </c>
    </row>
    <row r="35" ht="14.1" customHeight="1" s="259">
      <c r="A35" s="174">
        <f>A34+1</f>
        <v/>
      </c>
      <c r="B35" s="204" t="n"/>
      <c r="C35" s="205" t="n"/>
      <c r="D35" s="204" t="n"/>
      <c r="E35" s="206" t="n"/>
      <c r="F35" s="206" t="n"/>
      <c r="G35" s="206" t="n"/>
      <c r="H35" s="206" t="n"/>
      <c r="I35" s="206" t="n"/>
      <c r="J35" s="206" t="n"/>
      <c r="K35" s="206" t="n"/>
      <c r="L35" s="206" t="n"/>
      <c r="M35" s="206" t="n"/>
      <c r="N35" s="206" t="n"/>
      <c r="O35" s="206" t="n"/>
      <c r="P35" s="206" t="n"/>
      <c r="Q35" s="206" t="n"/>
      <c r="R35" s="206" t="n"/>
      <c r="S35" s="206" t="n"/>
      <c r="T35" s="204">
        <f>SUM(F35:S35)</f>
        <v/>
      </c>
      <c r="U35" s="207">
        <f>(HLOOKUP(B35,F:T,A35,FALSE)/T35)</f>
        <v/>
      </c>
      <c r="V35" s="189" t="n"/>
      <c r="W35" s="163">
        <f>YEAR(C35)</f>
        <v/>
      </c>
      <c r="X35" s="116">
        <f>MONTH(C35)</f>
        <v/>
      </c>
      <c r="Y35" s="116">
        <f>WEEKNUM(C35,21)</f>
        <v/>
      </c>
      <c r="Z35" s="122">
        <f>IFERROR(F35/$T35,0)</f>
        <v/>
      </c>
      <c r="AA35" s="122">
        <f>IFERROR(G35/$T35,0)</f>
        <v/>
      </c>
      <c r="AB35" s="122">
        <f>IFERROR(H35/$T35,0)</f>
        <v/>
      </c>
      <c r="AC35" s="122">
        <f>IFERROR(I35/$T35,0)</f>
        <v/>
      </c>
      <c r="AD35" s="122">
        <f>IFERROR(J35/$T35,0)</f>
        <v/>
      </c>
      <c r="AE35" s="122">
        <f>IFERROR(K35/$T35,0)</f>
        <v/>
      </c>
      <c r="AF35" s="122">
        <f>IFERROR(L35/$T35,0)</f>
        <v/>
      </c>
      <c r="AG35" s="122">
        <f>IFERROR(M35/$T35,0)</f>
        <v/>
      </c>
      <c r="AH35" s="122">
        <f>IFERROR(N35/$T35,0)</f>
        <v/>
      </c>
      <c r="AI35" s="122">
        <f>IFERROR(O35/$T35,0)</f>
        <v/>
      </c>
      <c r="AJ35" s="122">
        <f>IFERROR(P35/$T35,0)</f>
        <v/>
      </c>
      <c r="AK35" s="122">
        <f>IFERROR(Q35/$T35,0)</f>
        <v/>
      </c>
      <c r="AL35" s="122">
        <f>IFERROR(R35/$T35,0)</f>
        <v/>
      </c>
      <c r="AM35" s="122">
        <f>IFERROR(S35/$T35,0)</f>
        <v/>
      </c>
      <c r="AN35" s="122">
        <f>SUM(Z35:AC35)</f>
        <v/>
      </c>
      <c r="AO35" s="122">
        <f>SUM(AD35:AL35)</f>
        <v/>
      </c>
      <c r="AP35" s="122">
        <f>SUM(AM35,AB35)</f>
        <v/>
      </c>
      <c r="AQ35" s="122">
        <f>SUM(AA35)</f>
        <v/>
      </c>
      <c r="AR35" s="121">
        <f>(AP35+AQ35)-3%</f>
        <v/>
      </c>
      <c r="AS35" s="122">
        <f>SUM(AO35+AM35)</f>
        <v/>
      </c>
      <c r="AT35" s="122">
        <f>SUM(AH35+AN35)</f>
        <v/>
      </c>
      <c r="AU35" s="122">
        <f>SUM(AN35+AO35)</f>
        <v/>
      </c>
      <c r="AV35" s="122">
        <f>SUM(AN35+AD35+AE35+AF35+AG35+AH35+AJ35+AK35+AL35)</f>
        <v/>
      </c>
      <c r="AW35" s="122">
        <f>SUM(AD35+AE35+AF35+AG35+AI35+AJ35+AK35+AL35)</f>
        <v/>
      </c>
    </row>
    <row r="36" ht="14.1" customHeight="1" s="259">
      <c r="A36" s="174">
        <f>A35+1</f>
        <v/>
      </c>
      <c r="B36" s="204" t="n"/>
      <c r="C36" s="205" t="n"/>
      <c r="D36" s="204" t="n"/>
      <c r="E36" s="206" t="n"/>
      <c r="F36" s="206" t="n"/>
      <c r="G36" s="206" t="n"/>
      <c r="H36" s="206" t="n"/>
      <c r="I36" s="206" t="n"/>
      <c r="J36" s="206" t="n"/>
      <c r="K36" s="206" t="n"/>
      <c r="L36" s="206" t="n"/>
      <c r="M36" s="206" t="n"/>
      <c r="N36" s="206" t="n"/>
      <c r="O36" s="206" t="n"/>
      <c r="P36" s="206" t="n"/>
      <c r="Q36" s="206" t="n"/>
      <c r="R36" s="206" t="n"/>
      <c r="S36" s="206" t="n"/>
      <c r="T36" s="204">
        <f>SUM(F36:S36)</f>
        <v/>
      </c>
      <c r="U36" s="207">
        <f>(HLOOKUP(B36,F:T,A36,FALSE)/T36)</f>
        <v/>
      </c>
      <c r="V36" s="189" t="n"/>
      <c r="W36" s="163">
        <f>YEAR(C36)</f>
        <v/>
      </c>
      <c r="X36" s="116">
        <f>MONTH(C36)</f>
        <v/>
      </c>
      <c r="Y36" s="116">
        <f>WEEKNUM(C36,21)</f>
        <v/>
      </c>
      <c r="Z36" s="122">
        <f>IFERROR(F36/$T36,0)</f>
        <v/>
      </c>
      <c r="AA36" s="122">
        <f>IFERROR(G36/$T36,0)</f>
        <v/>
      </c>
      <c r="AB36" s="122">
        <f>IFERROR(H36/$T36,0)</f>
        <v/>
      </c>
      <c r="AC36" s="122">
        <f>IFERROR(I36/$T36,0)</f>
        <v/>
      </c>
      <c r="AD36" s="122">
        <f>IFERROR(J36/$T36,0)</f>
        <v/>
      </c>
      <c r="AE36" s="122">
        <f>IFERROR(K36/$T36,0)</f>
        <v/>
      </c>
      <c r="AF36" s="122">
        <f>IFERROR(L36/$T36,0)</f>
        <v/>
      </c>
      <c r="AG36" s="122">
        <f>IFERROR(M36/$T36,0)</f>
        <v/>
      </c>
      <c r="AH36" s="122">
        <f>IFERROR(N36/$T36,0)</f>
        <v/>
      </c>
      <c r="AI36" s="122">
        <f>IFERROR(O36/$T36,0)</f>
        <v/>
      </c>
      <c r="AJ36" s="122">
        <f>IFERROR(P36/$T36,0)</f>
        <v/>
      </c>
      <c r="AK36" s="122">
        <f>IFERROR(Q36/$T36,0)</f>
        <v/>
      </c>
      <c r="AL36" s="122">
        <f>IFERROR(R36/$T36,0)</f>
        <v/>
      </c>
      <c r="AM36" s="122">
        <f>IFERROR(S36/$T36,0)</f>
        <v/>
      </c>
      <c r="AN36" s="122">
        <f>SUM(Z36:AC36)</f>
        <v/>
      </c>
      <c r="AO36" s="122">
        <f>SUM(AD36:AL36)</f>
        <v/>
      </c>
      <c r="AP36" s="122">
        <f>SUM(AM36,AB36)</f>
        <v/>
      </c>
      <c r="AQ36" s="122">
        <f>SUM(AA36)</f>
        <v/>
      </c>
      <c r="AR36" s="121">
        <f>(AP36+AQ36)-3%</f>
        <v/>
      </c>
      <c r="AS36" s="122">
        <f>SUM(AO36+AM36)</f>
        <v/>
      </c>
      <c r="AT36" s="122">
        <f>SUM(AH36+AN36)</f>
        <v/>
      </c>
      <c r="AU36" s="122">
        <f>SUM(AN36+AO36)</f>
        <v/>
      </c>
      <c r="AV36" s="122">
        <f>SUM(AN36+AD36+AE36+AF36+AG36+AH36+AJ36+AK36+AL36)</f>
        <v/>
      </c>
      <c r="AW36" s="122">
        <f>SUM(AD36+AE36+AF36+AG36+AI36+AJ36+AK36+AL36)</f>
        <v/>
      </c>
    </row>
    <row r="37" ht="14.1" customHeight="1" s="259">
      <c r="A37" s="174">
        <f>A36+1</f>
        <v/>
      </c>
      <c r="B37" s="204" t="n"/>
      <c r="C37" s="205" t="n"/>
      <c r="D37" s="204" t="n"/>
      <c r="E37" s="206" t="n"/>
      <c r="F37" s="206" t="n"/>
      <c r="G37" s="206" t="n"/>
      <c r="H37" s="206" t="n"/>
      <c r="I37" s="206" t="n"/>
      <c r="J37" s="206" t="n"/>
      <c r="K37" s="206" t="n"/>
      <c r="L37" s="206" t="n"/>
      <c r="M37" s="206" t="n"/>
      <c r="N37" s="206" t="n"/>
      <c r="O37" s="206" t="n"/>
      <c r="P37" s="206" t="n"/>
      <c r="Q37" s="206" t="n"/>
      <c r="R37" s="206" t="n"/>
      <c r="S37" s="206" t="n"/>
      <c r="T37" s="204">
        <f>SUM(F37:S37)</f>
        <v/>
      </c>
      <c r="U37" s="207">
        <f>(HLOOKUP(B37,F:T,A37,FALSE)/T37)</f>
        <v/>
      </c>
      <c r="V37" s="189" t="n"/>
      <c r="W37" s="163">
        <f>YEAR(C37)</f>
        <v/>
      </c>
      <c r="X37" s="116">
        <f>MONTH(C37)</f>
        <v/>
      </c>
      <c r="Y37" s="116">
        <f>WEEKNUM(C37,21)</f>
        <v/>
      </c>
      <c r="Z37" s="122">
        <f>IFERROR(F37/$T37,0)</f>
        <v/>
      </c>
      <c r="AA37" s="122">
        <f>IFERROR(G37/$T37,0)</f>
        <v/>
      </c>
      <c r="AB37" s="122">
        <f>IFERROR(H37/$T37,0)</f>
        <v/>
      </c>
      <c r="AC37" s="122">
        <f>IFERROR(I37/$T37,0)</f>
        <v/>
      </c>
      <c r="AD37" s="122">
        <f>IFERROR(J37/$T37,0)</f>
        <v/>
      </c>
      <c r="AE37" s="122">
        <f>IFERROR(K37/$T37,0)</f>
        <v/>
      </c>
      <c r="AF37" s="122">
        <f>IFERROR(L37/$T37,0)</f>
        <v/>
      </c>
      <c r="AG37" s="122">
        <f>IFERROR(M37/$T37,0)</f>
        <v/>
      </c>
      <c r="AH37" s="122">
        <f>IFERROR(N37/$T37,0)</f>
        <v/>
      </c>
      <c r="AI37" s="122">
        <f>IFERROR(O37/$T37,0)</f>
        <v/>
      </c>
      <c r="AJ37" s="122">
        <f>IFERROR(P37/$T37,0)</f>
        <v/>
      </c>
      <c r="AK37" s="122">
        <f>IFERROR(Q37/$T37,0)</f>
        <v/>
      </c>
      <c r="AL37" s="122">
        <f>IFERROR(R37/$T37,0)</f>
        <v/>
      </c>
      <c r="AM37" s="122">
        <f>IFERROR(S37/$T37,0)</f>
        <v/>
      </c>
      <c r="AN37" s="122">
        <f>SUM(Z37:AC37)</f>
        <v/>
      </c>
      <c r="AO37" s="122">
        <f>SUM(AD37:AL37)</f>
        <v/>
      </c>
      <c r="AP37" s="122">
        <f>SUM(AM37,AB37)</f>
        <v/>
      </c>
      <c r="AQ37" s="122">
        <f>SUM(AA37)</f>
        <v/>
      </c>
      <c r="AR37" s="121">
        <f>(AP37+AQ37)-3%</f>
        <v/>
      </c>
      <c r="AS37" s="122">
        <f>SUM(AO37+AM37)</f>
        <v/>
      </c>
      <c r="AT37" s="122">
        <f>SUM(AH37+AN37)</f>
        <v/>
      </c>
      <c r="AU37" s="122">
        <f>SUM(AN37+AO37)</f>
        <v/>
      </c>
      <c r="AV37" s="122">
        <f>SUM(AN37+AD37+AE37+AF37+AG37+AH37+AJ37+AK37+AL37)</f>
        <v/>
      </c>
      <c r="AW37" s="122">
        <f>SUM(AD37+AE37+AF37+AG37+AI37+AJ37+AK37+AL37)</f>
        <v/>
      </c>
    </row>
    <row r="38" ht="14.1" customHeight="1" s="259">
      <c r="A38" s="174">
        <f>A37+1</f>
        <v/>
      </c>
      <c r="B38" s="204" t="n"/>
      <c r="C38" s="205" t="n"/>
      <c r="D38" s="204" t="n"/>
      <c r="E38" s="206" t="n"/>
      <c r="F38" s="206" t="n"/>
      <c r="G38" s="206" t="n"/>
      <c r="H38" s="206" t="n"/>
      <c r="I38" s="206" t="n"/>
      <c r="J38" s="206" t="n"/>
      <c r="K38" s="206" t="n"/>
      <c r="L38" s="206" t="n"/>
      <c r="M38" s="206" t="n"/>
      <c r="N38" s="206" t="n"/>
      <c r="O38" s="206" t="n"/>
      <c r="P38" s="206" t="n"/>
      <c r="Q38" s="206" t="n"/>
      <c r="R38" s="206" t="n"/>
      <c r="S38" s="206" t="n"/>
      <c r="T38" s="204">
        <f>SUM(F38:S38)</f>
        <v/>
      </c>
      <c r="U38" s="207">
        <f>(HLOOKUP(B38,F:T,A38,FALSE)/T38)</f>
        <v/>
      </c>
      <c r="V38" s="189" t="n"/>
      <c r="W38" s="163">
        <f>YEAR(C38)</f>
        <v/>
      </c>
      <c r="X38" s="116">
        <f>MONTH(C38)</f>
        <v/>
      </c>
      <c r="Y38" s="116">
        <f>WEEKNUM(C38,21)</f>
        <v/>
      </c>
      <c r="Z38" s="122">
        <f>IFERROR(F38/$T38,0)</f>
        <v/>
      </c>
      <c r="AA38" s="122">
        <f>IFERROR(G38/$T38,0)</f>
        <v/>
      </c>
      <c r="AB38" s="122">
        <f>IFERROR(H38/$T38,0)</f>
        <v/>
      </c>
      <c r="AC38" s="122">
        <f>IFERROR(I38/$T38,0)</f>
        <v/>
      </c>
      <c r="AD38" s="122">
        <f>IFERROR(J38/$T38,0)</f>
        <v/>
      </c>
      <c r="AE38" s="122">
        <f>IFERROR(K38/$T38,0)</f>
        <v/>
      </c>
      <c r="AF38" s="122">
        <f>IFERROR(L38/$T38,0)</f>
        <v/>
      </c>
      <c r="AG38" s="122">
        <f>IFERROR(M38/$T38,0)</f>
        <v/>
      </c>
      <c r="AH38" s="122">
        <f>IFERROR(N38/$T38,0)</f>
        <v/>
      </c>
      <c r="AI38" s="122">
        <f>IFERROR(O38/$T38,0)</f>
        <v/>
      </c>
      <c r="AJ38" s="122">
        <f>IFERROR(P38/$T38,0)</f>
        <v/>
      </c>
      <c r="AK38" s="122">
        <f>IFERROR(Q38/$T38,0)</f>
        <v/>
      </c>
      <c r="AL38" s="122">
        <f>IFERROR(R38/$T38,0)</f>
        <v/>
      </c>
      <c r="AM38" s="122">
        <f>IFERROR(S38/$T38,0)</f>
        <v/>
      </c>
      <c r="AN38" s="122">
        <f>SUM(Z38:AC38)</f>
        <v/>
      </c>
      <c r="AO38" s="122">
        <f>SUM(AD38:AL38)</f>
        <v/>
      </c>
      <c r="AP38" s="122">
        <f>SUM(AM38,AB38)</f>
        <v/>
      </c>
      <c r="AQ38" s="122">
        <f>SUM(AA38)</f>
        <v/>
      </c>
      <c r="AR38" s="121">
        <f>(AP38+AQ38)-3%</f>
        <v/>
      </c>
      <c r="AS38" s="122">
        <f>SUM(AO38+AM38)</f>
        <v/>
      </c>
      <c r="AT38" s="122">
        <f>SUM(AH38+AN38)</f>
        <v/>
      </c>
      <c r="AU38" s="122">
        <f>SUM(AN38+AO38)</f>
        <v/>
      </c>
      <c r="AV38" s="122">
        <f>SUM(AN38+AD38+AE38+AF38+AG38+AH38+AJ38+AK38+AL38)</f>
        <v/>
      </c>
      <c r="AW38" s="122">
        <f>SUM(AD38+AE38+AF38+AG38+AI38+AJ38+AK38+AL38)</f>
        <v/>
      </c>
    </row>
    <row r="39" ht="14.1" customHeight="1" s="259">
      <c r="A39" s="174">
        <f>A38+1</f>
        <v/>
      </c>
      <c r="B39" s="199" t="n"/>
      <c r="C39" s="200" t="n"/>
      <c r="D39" s="199" t="n"/>
      <c r="E39" s="201" t="n"/>
      <c r="F39" s="201" t="n"/>
      <c r="G39" s="201" t="n"/>
      <c r="H39" s="201" t="n"/>
      <c r="I39" s="201" t="n"/>
      <c r="J39" s="201" t="n"/>
      <c r="K39" s="201" t="n"/>
      <c r="L39" s="201" t="n"/>
      <c r="M39" s="201" t="n"/>
      <c r="N39" s="201" t="n"/>
      <c r="O39" s="201" t="n"/>
      <c r="P39" s="201" t="n"/>
      <c r="Q39" s="201" t="n"/>
      <c r="R39" s="201" t="n"/>
      <c r="S39" s="201" t="n"/>
      <c r="T39" s="204">
        <f>SUM(F39:S39)</f>
        <v/>
      </c>
      <c r="U39" s="202">
        <f>(HLOOKUP(B39,F:T,A39,FALSE)/T39)</f>
        <v/>
      </c>
      <c r="V39" s="189" t="n"/>
      <c r="W39" s="163">
        <f>YEAR(C39)</f>
        <v/>
      </c>
      <c r="X39" s="116">
        <f>MONTH(C39)</f>
        <v/>
      </c>
      <c r="Y39" s="116">
        <f>WEEKNUM(C39,21)</f>
        <v/>
      </c>
      <c r="Z39" s="122">
        <f>IFERROR(F39/$T39,0)</f>
        <v/>
      </c>
      <c r="AA39" s="122">
        <f>IFERROR(G39/$T39,0)</f>
        <v/>
      </c>
      <c r="AB39" s="122">
        <f>IFERROR(H39/$T39,0)</f>
        <v/>
      </c>
      <c r="AC39" s="122">
        <f>IFERROR(I39/$T39,0)</f>
        <v/>
      </c>
      <c r="AD39" s="122">
        <f>IFERROR(J39/$T39,0)</f>
        <v/>
      </c>
      <c r="AE39" s="122">
        <f>IFERROR(K39/$T39,0)</f>
        <v/>
      </c>
      <c r="AF39" s="122">
        <f>IFERROR(L39/$T39,0)</f>
        <v/>
      </c>
      <c r="AG39" s="122">
        <f>IFERROR(M39/$T39,0)</f>
        <v/>
      </c>
      <c r="AH39" s="122">
        <f>IFERROR(N39/$T39,0)</f>
        <v/>
      </c>
      <c r="AI39" s="122">
        <f>IFERROR(O39/$T39,0)</f>
        <v/>
      </c>
      <c r="AJ39" s="122">
        <f>IFERROR(P39/$T39,0)</f>
        <v/>
      </c>
      <c r="AK39" s="122">
        <f>IFERROR(Q39/$T39,0)</f>
        <v/>
      </c>
      <c r="AL39" s="122">
        <f>IFERROR(R39/$T39,0)</f>
        <v/>
      </c>
      <c r="AM39" s="122">
        <f>IFERROR(S39/$T39,0)</f>
        <v/>
      </c>
      <c r="AN39" s="122">
        <f>SUM(Z39:AC39)</f>
        <v/>
      </c>
      <c r="AO39" s="122">
        <f>SUM(AD39:AL39)</f>
        <v/>
      </c>
      <c r="AP39" s="122">
        <f>SUM(AM39,AB39)</f>
        <v/>
      </c>
      <c r="AQ39" s="122">
        <f>SUM(AA39)</f>
        <v/>
      </c>
      <c r="AR39" s="121">
        <f>(AP39+AQ39)-3%</f>
        <v/>
      </c>
      <c r="AS39" s="122">
        <f>SUM(AO39+AM39)</f>
        <v/>
      </c>
      <c r="AT39" s="122">
        <f>SUM(AH39+AN39)</f>
        <v/>
      </c>
      <c r="AU39" s="122">
        <f>SUM(AN39+AO39)</f>
        <v/>
      </c>
      <c r="AV39" s="122">
        <f>SUM(AN39+AD39+AE39+AF39+AG39+AH39+AJ39+AK39+AL39)</f>
        <v/>
      </c>
      <c r="AW39" s="122">
        <f>SUM(AD39+AE39+AF39+AG39+AI39+AJ39+AK39+AL39)</f>
        <v/>
      </c>
    </row>
    <row r="40" ht="14.1" customHeight="1" s="259">
      <c r="A40" s="174">
        <f>A39+1</f>
        <v/>
      </c>
      <c r="B40" s="199" t="n"/>
      <c r="C40" s="200" t="n"/>
      <c r="D40" s="199" t="n"/>
      <c r="E40" s="201" t="n"/>
      <c r="F40" s="201" t="n"/>
      <c r="G40" s="201" t="n"/>
      <c r="H40" s="201" t="n"/>
      <c r="I40" s="201" t="n"/>
      <c r="J40" s="201" t="n"/>
      <c r="K40" s="201" t="n"/>
      <c r="L40" s="201" t="n"/>
      <c r="M40" s="201" t="n"/>
      <c r="N40" s="201" t="n"/>
      <c r="O40" s="201" t="n"/>
      <c r="P40" s="201" t="n"/>
      <c r="Q40" s="201" t="n"/>
      <c r="R40" s="201" t="n"/>
      <c r="S40" s="201" t="n"/>
      <c r="T40" s="204">
        <f>SUM(F40:S40)</f>
        <v/>
      </c>
      <c r="U40" s="202">
        <f>(HLOOKUP(B40,F:T,A40,FALSE)/T40)</f>
        <v/>
      </c>
      <c r="V40" s="189" t="n"/>
      <c r="W40" s="163">
        <f>YEAR(C40)</f>
        <v/>
      </c>
      <c r="X40" s="116">
        <f>MONTH(C40)</f>
        <v/>
      </c>
      <c r="Y40" s="116">
        <f>WEEKNUM(C40,21)</f>
        <v/>
      </c>
      <c r="Z40" s="122">
        <f>IFERROR(F40/$T40,0)</f>
        <v/>
      </c>
      <c r="AA40" s="122">
        <f>IFERROR(G40/$T40,0)</f>
        <v/>
      </c>
      <c r="AB40" s="122">
        <f>IFERROR(H40/$T40,0)</f>
        <v/>
      </c>
      <c r="AC40" s="122">
        <f>IFERROR(I40/$T40,0)</f>
        <v/>
      </c>
      <c r="AD40" s="122">
        <f>IFERROR(J40/$T40,0)</f>
        <v/>
      </c>
      <c r="AE40" s="122">
        <f>IFERROR(K40/$T40,0)</f>
        <v/>
      </c>
      <c r="AF40" s="122">
        <f>IFERROR(L40/$T40,0)</f>
        <v/>
      </c>
      <c r="AG40" s="122">
        <f>IFERROR(M40/$T40,0)</f>
        <v/>
      </c>
      <c r="AH40" s="122">
        <f>IFERROR(N40/$T40,0)</f>
        <v/>
      </c>
      <c r="AI40" s="122">
        <f>IFERROR(O40/$T40,0)</f>
        <v/>
      </c>
      <c r="AJ40" s="122">
        <f>IFERROR(P40/$T40,0)</f>
        <v/>
      </c>
      <c r="AK40" s="122">
        <f>IFERROR(Q40/$T40,0)</f>
        <v/>
      </c>
      <c r="AL40" s="122">
        <f>IFERROR(R40/$T40,0)</f>
        <v/>
      </c>
      <c r="AM40" s="122">
        <f>IFERROR(S40/$T40,0)</f>
        <v/>
      </c>
      <c r="AN40" s="122">
        <f>SUM(Z40:AC40)</f>
        <v/>
      </c>
      <c r="AO40" s="122">
        <f>SUM(AD40:AL40)</f>
        <v/>
      </c>
      <c r="AP40" s="122">
        <f>SUM(AM40,AB40)</f>
        <v/>
      </c>
      <c r="AQ40" s="122">
        <f>SUM(AA40)</f>
        <v/>
      </c>
      <c r="AR40" s="121">
        <f>(AP40+AQ40)-3%</f>
        <v/>
      </c>
      <c r="AS40" s="122">
        <f>SUM(AO40+AM40)</f>
        <v/>
      </c>
      <c r="AT40" s="122">
        <f>SUM(AH40+AN40)</f>
        <v/>
      </c>
      <c r="AU40" s="122">
        <f>SUM(AN40+AO40)</f>
        <v/>
      </c>
      <c r="AV40" s="122">
        <f>SUM(AN40+AD40+AE40+AF40+AG40+AH40+AJ40+AK40+AL40)</f>
        <v/>
      </c>
      <c r="AW40" s="122">
        <f>SUM(AD40+AE40+AF40+AG40+AI40+AJ40+AK40+AL40)</f>
        <v/>
      </c>
    </row>
    <row r="41" ht="14.1" customHeight="1" s="259">
      <c r="A41" s="174">
        <f>A40+1</f>
        <v/>
      </c>
      <c r="B41" s="204" t="n"/>
      <c r="C41" s="205" t="n"/>
      <c r="D41" s="204" t="n"/>
      <c r="E41" s="206" t="n"/>
      <c r="F41" s="206" t="n"/>
      <c r="G41" s="206" t="n"/>
      <c r="H41" s="206" t="n"/>
      <c r="I41" s="206" t="n"/>
      <c r="J41" s="206" t="n"/>
      <c r="K41" s="206" t="n"/>
      <c r="L41" s="206" t="n"/>
      <c r="M41" s="206" t="n"/>
      <c r="N41" s="206" t="n"/>
      <c r="O41" s="206" t="n"/>
      <c r="P41" s="206" t="n"/>
      <c r="Q41" s="206" t="n"/>
      <c r="R41" s="206" t="n"/>
      <c r="S41" s="206" t="n"/>
      <c r="T41" s="204">
        <f>SUM(F41:S41)</f>
        <v/>
      </c>
      <c r="U41" s="207">
        <f>(HLOOKUP(B41,F:T,A41,FALSE)/T41)</f>
        <v/>
      </c>
      <c r="V41" s="189" t="n"/>
      <c r="W41" s="163">
        <f>YEAR(C41)</f>
        <v/>
      </c>
      <c r="X41" s="116">
        <f>MONTH(C41)</f>
        <v/>
      </c>
      <c r="Y41" s="116">
        <f>WEEKNUM(C41,21)</f>
        <v/>
      </c>
      <c r="Z41" s="122">
        <f>IFERROR(F41/$T41,0)</f>
        <v/>
      </c>
      <c r="AA41" s="122">
        <f>IFERROR(G41/$T41,0)</f>
        <v/>
      </c>
      <c r="AB41" s="122">
        <f>IFERROR(H41/$T41,0)</f>
        <v/>
      </c>
      <c r="AC41" s="122">
        <f>IFERROR(I41/$T41,0)</f>
        <v/>
      </c>
      <c r="AD41" s="122">
        <f>IFERROR(J41/$T41,0)</f>
        <v/>
      </c>
      <c r="AE41" s="122">
        <f>IFERROR(K41/$T41,0)</f>
        <v/>
      </c>
      <c r="AF41" s="122">
        <f>IFERROR(L41/$T41,0)</f>
        <v/>
      </c>
      <c r="AG41" s="122">
        <f>IFERROR(M41/$T41,0)</f>
        <v/>
      </c>
      <c r="AH41" s="122">
        <f>IFERROR(N41/$T41,0)</f>
        <v/>
      </c>
      <c r="AI41" s="122">
        <f>IFERROR(O41/$T41,0)</f>
        <v/>
      </c>
      <c r="AJ41" s="122">
        <f>IFERROR(P41/$T41,0)</f>
        <v/>
      </c>
      <c r="AK41" s="122">
        <f>IFERROR(Q41/$T41,0)</f>
        <v/>
      </c>
      <c r="AL41" s="122">
        <f>IFERROR(R41/$T41,0)</f>
        <v/>
      </c>
      <c r="AM41" s="122">
        <f>IFERROR(S41/$T41,0)</f>
        <v/>
      </c>
      <c r="AN41" s="122">
        <f>SUM(Z41:AC41)</f>
        <v/>
      </c>
      <c r="AO41" s="122">
        <f>SUM(AD41:AL41)</f>
        <v/>
      </c>
      <c r="AP41" s="122">
        <f>SUM(AM41,AB41)</f>
        <v/>
      </c>
      <c r="AQ41" s="122">
        <f>SUM(AA41)</f>
        <v/>
      </c>
      <c r="AR41" s="121">
        <f>(AP41+AQ41)-3%</f>
        <v/>
      </c>
      <c r="AS41" s="122">
        <f>SUM(AO41+AM41)</f>
        <v/>
      </c>
      <c r="AT41" s="122">
        <f>SUM(AH41+AN41)</f>
        <v/>
      </c>
      <c r="AU41" s="122">
        <f>SUM(AN41+AO41)</f>
        <v/>
      </c>
      <c r="AV41" s="122">
        <f>SUM(AN41+AD41+AE41+AF41+AG41+AH41+AJ41+AK41+AL41)</f>
        <v/>
      </c>
      <c r="AW41" s="122">
        <f>SUM(AD41+AE41+AF41+AG41+AI41+AJ41+AK41+AL41)</f>
        <v/>
      </c>
    </row>
    <row r="42" ht="14.1" customHeight="1" s="259">
      <c r="A42" s="174">
        <f>A41+1</f>
        <v/>
      </c>
      <c r="B42" s="204" t="n"/>
      <c r="C42" s="205" t="n"/>
      <c r="D42" s="204" t="n"/>
      <c r="E42" s="206" t="n"/>
      <c r="F42" s="206" t="n"/>
      <c r="G42" s="206" t="n"/>
      <c r="H42" s="206" t="n"/>
      <c r="I42" s="206" t="n"/>
      <c r="J42" s="206" t="n"/>
      <c r="K42" s="206" t="n"/>
      <c r="L42" s="206" t="n"/>
      <c r="M42" s="206" t="n"/>
      <c r="N42" s="206" t="n"/>
      <c r="O42" s="206" t="n"/>
      <c r="P42" s="206" t="n"/>
      <c r="Q42" s="206" t="n"/>
      <c r="R42" s="206" t="n"/>
      <c r="S42" s="206" t="n"/>
      <c r="T42" s="204">
        <f>SUM(F42:S42)</f>
        <v/>
      </c>
      <c r="U42" s="207">
        <f>(HLOOKUP(B42,F:T,A42,FALSE)/T42)</f>
        <v/>
      </c>
      <c r="V42" s="189" t="n"/>
      <c r="W42" s="163">
        <f>YEAR(C42)</f>
        <v/>
      </c>
      <c r="X42" s="116">
        <f>MONTH(C42)</f>
        <v/>
      </c>
      <c r="Y42" s="116">
        <f>WEEKNUM(C42,21)</f>
        <v/>
      </c>
      <c r="Z42" s="122">
        <f>IFERROR(F42/$T42,0)</f>
        <v/>
      </c>
      <c r="AA42" s="122">
        <f>IFERROR(G42/$T42,0)</f>
        <v/>
      </c>
      <c r="AB42" s="122">
        <f>IFERROR(H42/$T42,0)</f>
        <v/>
      </c>
      <c r="AC42" s="122">
        <f>IFERROR(I42/$T42,0)</f>
        <v/>
      </c>
      <c r="AD42" s="122">
        <f>IFERROR(J42/$T42,0)</f>
        <v/>
      </c>
      <c r="AE42" s="122">
        <f>IFERROR(K42/$T42,0)</f>
        <v/>
      </c>
      <c r="AF42" s="122">
        <f>IFERROR(L42/$T42,0)</f>
        <v/>
      </c>
      <c r="AG42" s="122">
        <f>IFERROR(M42/$T42,0)</f>
        <v/>
      </c>
      <c r="AH42" s="122">
        <f>IFERROR(N42/$T42,0)</f>
        <v/>
      </c>
      <c r="AI42" s="122">
        <f>IFERROR(O42/$T42,0)</f>
        <v/>
      </c>
      <c r="AJ42" s="122">
        <f>IFERROR(P42/$T42,0)</f>
        <v/>
      </c>
      <c r="AK42" s="122">
        <f>IFERROR(Q42/$T42,0)</f>
        <v/>
      </c>
      <c r="AL42" s="122">
        <f>IFERROR(R42/$T42,0)</f>
        <v/>
      </c>
      <c r="AM42" s="122">
        <f>IFERROR(S42/$T42,0)</f>
        <v/>
      </c>
      <c r="AN42" s="122">
        <f>SUM(Z42:AC42)</f>
        <v/>
      </c>
      <c r="AO42" s="122">
        <f>SUM(AD42:AL42)</f>
        <v/>
      </c>
      <c r="AP42" s="122">
        <f>SUM(AM42,AB42)</f>
        <v/>
      </c>
      <c r="AQ42" s="122">
        <f>SUM(AA42)</f>
        <v/>
      </c>
      <c r="AR42" s="121">
        <f>(AP42+AQ42)-3%</f>
        <v/>
      </c>
      <c r="AS42" s="122">
        <f>SUM(AO42+AM42)</f>
        <v/>
      </c>
      <c r="AT42" s="122">
        <f>SUM(AH42+AN42)</f>
        <v/>
      </c>
      <c r="AU42" s="122">
        <f>SUM(AN42+AO42)</f>
        <v/>
      </c>
      <c r="AV42" s="122">
        <f>SUM(AN42+AD42+AE42+AF42+AG42+AH42+AJ42+AK42+AL42)</f>
        <v/>
      </c>
      <c r="AW42" s="122">
        <f>SUM(AD42+AE42+AF42+AG42+AI42+AJ42+AK42+AL42)</f>
        <v/>
      </c>
    </row>
    <row r="43" ht="14.1" customHeight="1" s="259">
      <c r="A43" s="174">
        <f>A42+1</f>
        <v/>
      </c>
      <c r="B43" s="204" t="n"/>
      <c r="C43" s="205" t="n"/>
      <c r="D43" s="204" t="n"/>
      <c r="E43" s="206" t="n"/>
      <c r="F43" s="206" t="n"/>
      <c r="G43" s="206" t="n"/>
      <c r="H43" s="206" t="n"/>
      <c r="I43" s="206" t="n"/>
      <c r="J43" s="206" t="n"/>
      <c r="K43" s="206" t="n"/>
      <c r="L43" s="206" t="n"/>
      <c r="M43" s="206" t="n"/>
      <c r="N43" s="206" t="n"/>
      <c r="O43" s="206" t="n"/>
      <c r="P43" s="206" t="n"/>
      <c r="Q43" s="206" t="n"/>
      <c r="R43" s="206" t="n"/>
      <c r="S43" s="206" t="n"/>
      <c r="T43" s="204">
        <f>SUM(F43:S43)</f>
        <v/>
      </c>
      <c r="U43" s="207">
        <f>(HLOOKUP(B43,F:T,A43,FALSE)/T43)</f>
        <v/>
      </c>
      <c r="V43" s="189" t="n"/>
      <c r="W43" s="163">
        <f>YEAR(C43)</f>
        <v/>
      </c>
      <c r="X43" s="116">
        <f>MONTH(C43)</f>
        <v/>
      </c>
      <c r="Y43" s="116">
        <f>WEEKNUM(C43,21)</f>
        <v/>
      </c>
      <c r="Z43" s="122">
        <f>IFERROR(F43/$T43,0)</f>
        <v/>
      </c>
      <c r="AA43" s="122">
        <f>IFERROR(G43/$T43,0)</f>
        <v/>
      </c>
      <c r="AB43" s="122">
        <f>IFERROR(H43/$T43,0)</f>
        <v/>
      </c>
      <c r="AC43" s="122">
        <f>IFERROR(I43/$T43,0)</f>
        <v/>
      </c>
      <c r="AD43" s="122">
        <f>IFERROR(J43/$T43,0)</f>
        <v/>
      </c>
      <c r="AE43" s="122">
        <f>IFERROR(K43/$T43,0)</f>
        <v/>
      </c>
      <c r="AF43" s="122">
        <f>IFERROR(L43/$T43,0)</f>
        <v/>
      </c>
      <c r="AG43" s="122">
        <f>IFERROR(M43/$T43,0)</f>
        <v/>
      </c>
      <c r="AH43" s="122">
        <f>IFERROR(N43/$T43,0)</f>
        <v/>
      </c>
      <c r="AI43" s="122">
        <f>IFERROR(O43/$T43,0)</f>
        <v/>
      </c>
      <c r="AJ43" s="122">
        <f>IFERROR(P43/$T43,0)</f>
        <v/>
      </c>
      <c r="AK43" s="122">
        <f>IFERROR(Q43/$T43,0)</f>
        <v/>
      </c>
      <c r="AL43" s="122">
        <f>IFERROR(R43/$T43,0)</f>
        <v/>
      </c>
      <c r="AM43" s="122">
        <f>IFERROR(S43/$T43,0)</f>
        <v/>
      </c>
      <c r="AN43" s="122">
        <f>SUM(Z43:AC43)</f>
        <v/>
      </c>
      <c r="AO43" s="122">
        <f>SUM(AD43:AL43)</f>
        <v/>
      </c>
      <c r="AP43" s="122">
        <f>SUM(AM43,AB43)</f>
        <v/>
      </c>
      <c r="AQ43" s="122">
        <f>SUM(AA43)</f>
        <v/>
      </c>
      <c r="AR43" s="121">
        <f>(AP43+AQ43)-3%</f>
        <v/>
      </c>
      <c r="AS43" s="122">
        <f>SUM(AO43+AM43)</f>
        <v/>
      </c>
      <c r="AT43" s="122">
        <f>SUM(AH43+AN43)</f>
        <v/>
      </c>
      <c r="AU43" s="122">
        <f>SUM(AN43+AO43)</f>
        <v/>
      </c>
      <c r="AV43" s="122">
        <f>SUM(AN43+AD43+AE43+AF43+AG43+AH43+AJ43+AK43+AL43)</f>
        <v/>
      </c>
      <c r="AW43" s="122">
        <f>SUM(AD43+AE43+AF43+AG43+AI43+AJ43+AK43+AL43)</f>
        <v/>
      </c>
    </row>
    <row r="44" ht="14.1" customHeight="1" s="259">
      <c r="A44" s="174">
        <f>A43+1</f>
        <v/>
      </c>
      <c r="B44" s="204" t="n"/>
      <c r="C44" s="205" t="n"/>
      <c r="D44" s="204" t="n"/>
      <c r="E44" s="206" t="n"/>
      <c r="F44" s="206" t="n"/>
      <c r="G44" s="206" t="n"/>
      <c r="H44" s="206" t="n"/>
      <c r="I44" s="206" t="n"/>
      <c r="J44" s="206" t="n"/>
      <c r="K44" s="206" t="n"/>
      <c r="L44" s="206" t="n"/>
      <c r="M44" s="206" t="n"/>
      <c r="N44" s="206" t="n"/>
      <c r="O44" s="206" t="n"/>
      <c r="P44" s="206" t="n"/>
      <c r="Q44" s="206" t="n"/>
      <c r="R44" s="206" t="n"/>
      <c r="S44" s="206" t="n"/>
      <c r="T44" s="204">
        <f>SUM(F44:S44)</f>
        <v/>
      </c>
      <c r="U44" s="207">
        <f>(HLOOKUP(B44,F:T,A44,FALSE)/T44)</f>
        <v/>
      </c>
      <c r="V44" s="189" t="n"/>
      <c r="W44" s="163">
        <f>YEAR(C44)</f>
        <v/>
      </c>
      <c r="X44" s="116">
        <f>MONTH(C44)</f>
        <v/>
      </c>
      <c r="Y44" s="116">
        <f>WEEKNUM(C44,21)</f>
        <v/>
      </c>
      <c r="Z44" s="122">
        <f>IFERROR(F44/$T44,0)</f>
        <v/>
      </c>
      <c r="AA44" s="122">
        <f>IFERROR(G44/$T44,0)</f>
        <v/>
      </c>
      <c r="AB44" s="122">
        <f>IFERROR(H44/$T44,0)</f>
        <v/>
      </c>
      <c r="AC44" s="122">
        <f>IFERROR(I44/$T44,0)</f>
        <v/>
      </c>
      <c r="AD44" s="122">
        <f>IFERROR(J44/$T44,0)</f>
        <v/>
      </c>
      <c r="AE44" s="122">
        <f>IFERROR(K44/$T44,0)</f>
        <v/>
      </c>
      <c r="AF44" s="122">
        <f>IFERROR(L44/$T44,0)</f>
        <v/>
      </c>
      <c r="AG44" s="122">
        <f>IFERROR(M44/$T44,0)</f>
        <v/>
      </c>
      <c r="AH44" s="122">
        <f>IFERROR(N44/$T44,0)</f>
        <v/>
      </c>
      <c r="AI44" s="122">
        <f>IFERROR(O44/$T44,0)</f>
        <v/>
      </c>
      <c r="AJ44" s="122">
        <f>IFERROR(P44/$T44,0)</f>
        <v/>
      </c>
      <c r="AK44" s="122">
        <f>IFERROR(Q44/$T44,0)</f>
        <v/>
      </c>
      <c r="AL44" s="122">
        <f>IFERROR(R44/$T44,0)</f>
        <v/>
      </c>
      <c r="AM44" s="122">
        <f>IFERROR(S44/$T44,0)</f>
        <v/>
      </c>
      <c r="AN44" s="122">
        <f>SUM(Z44:AC44)</f>
        <v/>
      </c>
      <c r="AO44" s="122">
        <f>SUM(AD44:AL44)</f>
        <v/>
      </c>
      <c r="AP44" s="122">
        <f>SUM(AM44,AB44)</f>
        <v/>
      </c>
      <c r="AQ44" s="122">
        <f>SUM(AA44)</f>
        <v/>
      </c>
      <c r="AR44" s="121">
        <f>(AP44+AQ44)-3%</f>
        <v/>
      </c>
      <c r="AS44" s="122">
        <f>SUM(AO44+AM44)</f>
        <v/>
      </c>
      <c r="AT44" s="122">
        <f>SUM(AH44+AN44)</f>
        <v/>
      </c>
      <c r="AU44" s="122">
        <f>SUM(AN44+AO44)</f>
        <v/>
      </c>
      <c r="AV44" s="122">
        <f>SUM(AN44+AD44+AE44+AF44+AG44+AH44+AJ44+AK44+AL44)</f>
        <v/>
      </c>
      <c r="AW44" s="122">
        <f>SUM(AD44+AE44+AF44+AG44+AI44+AJ44+AK44+AL44)</f>
        <v/>
      </c>
    </row>
    <row r="45" ht="14.1" customHeight="1" s="259">
      <c r="A45" s="174">
        <f>A44+1</f>
        <v/>
      </c>
      <c r="B45" s="204" t="n"/>
      <c r="C45" s="205" t="n"/>
      <c r="D45" s="204" t="n"/>
      <c r="E45" s="206" t="n"/>
      <c r="F45" s="206" t="n"/>
      <c r="G45" s="206" t="n"/>
      <c r="H45" s="206" t="n"/>
      <c r="I45" s="206" t="n"/>
      <c r="J45" s="206" t="n"/>
      <c r="K45" s="206" t="n"/>
      <c r="L45" s="206" t="n"/>
      <c r="M45" s="206" t="n"/>
      <c r="N45" s="206" t="n"/>
      <c r="O45" s="206" t="n"/>
      <c r="P45" s="206" t="n"/>
      <c r="Q45" s="206" t="n"/>
      <c r="R45" s="206" t="n"/>
      <c r="S45" s="206" t="n"/>
      <c r="T45" s="204">
        <f>SUM(F45:S45)</f>
        <v/>
      </c>
      <c r="U45" s="207">
        <f>(HLOOKUP(B45,F:T,A45,FALSE)/T45)</f>
        <v/>
      </c>
      <c r="V45" s="189" t="n"/>
      <c r="W45" s="163">
        <f>YEAR(C45)</f>
        <v/>
      </c>
      <c r="X45" s="116">
        <f>MONTH(C45)</f>
        <v/>
      </c>
      <c r="Y45" s="116">
        <f>WEEKNUM(C45,21)</f>
        <v/>
      </c>
      <c r="Z45" s="122">
        <f>IFERROR(F45/$T45,0)</f>
        <v/>
      </c>
      <c r="AA45" s="122">
        <f>IFERROR(G45/$T45,0)</f>
        <v/>
      </c>
      <c r="AB45" s="122">
        <f>IFERROR(H45/$T45,0)</f>
        <v/>
      </c>
      <c r="AC45" s="122">
        <f>IFERROR(I45/$T45,0)</f>
        <v/>
      </c>
      <c r="AD45" s="122">
        <f>IFERROR(J45/$T45,0)</f>
        <v/>
      </c>
      <c r="AE45" s="122">
        <f>IFERROR(K45/$T45,0)</f>
        <v/>
      </c>
      <c r="AF45" s="122">
        <f>IFERROR(L45/$T45,0)</f>
        <v/>
      </c>
      <c r="AG45" s="122">
        <f>IFERROR(M45/$T45,0)</f>
        <v/>
      </c>
      <c r="AH45" s="122">
        <f>IFERROR(N45/$T45,0)</f>
        <v/>
      </c>
      <c r="AI45" s="122">
        <f>IFERROR(O45/$T45,0)</f>
        <v/>
      </c>
      <c r="AJ45" s="122">
        <f>IFERROR(P45/$T45,0)</f>
        <v/>
      </c>
      <c r="AK45" s="122">
        <f>IFERROR(Q45/$T45,0)</f>
        <v/>
      </c>
      <c r="AL45" s="122">
        <f>IFERROR(R45/$T45,0)</f>
        <v/>
      </c>
      <c r="AM45" s="122">
        <f>IFERROR(S45/$T45,0)</f>
        <v/>
      </c>
      <c r="AN45" s="122">
        <f>SUM(Z45:AC45)</f>
        <v/>
      </c>
      <c r="AO45" s="122">
        <f>SUM(AD45:AL45)</f>
        <v/>
      </c>
      <c r="AP45" s="122">
        <f>SUM(AM45,AB45)</f>
        <v/>
      </c>
      <c r="AQ45" s="122">
        <f>SUM(AA45)</f>
        <v/>
      </c>
      <c r="AR45" s="121">
        <f>(AP45+AQ45)-3%</f>
        <v/>
      </c>
      <c r="AS45" s="122">
        <f>SUM(AO45+AM45)</f>
        <v/>
      </c>
      <c r="AT45" s="122">
        <f>SUM(AH45+AN45)</f>
        <v/>
      </c>
      <c r="AU45" s="122">
        <f>SUM(AN45+AO45)</f>
        <v/>
      </c>
      <c r="AV45" s="122">
        <f>SUM(AN45+AD45+AE45+AF45+AG45+AH45+AJ45+AK45+AL45)</f>
        <v/>
      </c>
      <c r="AW45" s="122">
        <f>SUM(AD45+AE45+AF45+AG45+AI45+AJ45+AK45+AL45)</f>
        <v/>
      </c>
    </row>
    <row r="46" ht="14.1" customHeight="1" s="259">
      <c r="A46" s="174">
        <f>A45+1</f>
        <v/>
      </c>
      <c r="B46" s="204" t="n"/>
      <c r="C46" s="205" t="n"/>
      <c r="D46" s="204" t="n"/>
      <c r="E46" s="206" t="n"/>
      <c r="F46" s="206" t="n"/>
      <c r="G46" s="206" t="n"/>
      <c r="H46" s="206" t="n"/>
      <c r="I46" s="206" t="n"/>
      <c r="J46" s="206" t="n"/>
      <c r="K46" s="206" t="n"/>
      <c r="L46" s="206" t="n"/>
      <c r="M46" s="206" t="n"/>
      <c r="N46" s="206" t="n"/>
      <c r="O46" s="206" t="n"/>
      <c r="P46" s="206" t="n"/>
      <c r="Q46" s="206" t="n"/>
      <c r="R46" s="206" t="n"/>
      <c r="S46" s="206" t="n"/>
      <c r="T46" s="204">
        <f>SUM(F46:S46)</f>
        <v/>
      </c>
      <c r="U46" s="207">
        <f>(HLOOKUP(B46,F:T,A46,FALSE)/T46)</f>
        <v/>
      </c>
      <c r="V46" s="189" t="n"/>
      <c r="W46" s="163">
        <f>YEAR(C46)</f>
        <v/>
      </c>
      <c r="X46" s="116">
        <f>MONTH(C46)</f>
        <v/>
      </c>
      <c r="Y46" s="116">
        <f>WEEKNUM(C46,21)</f>
        <v/>
      </c>
      <c r="Z46" s="122">
        <f>IFERROR(F46/$T46,0)</f>
        <v/>
      </c>
      <c r="AA46" s="122">
        <f>IFERROR(G46/$T46,0)</f>
        <v/>
      </c>
      <c r="AB46" s="122">
        <f>IFERROR(H46/$T46,0)</f>
        <v/>
      </c>
      <c r="AC46" s="122">
        <f>IFERROR(I46/$T46,0)</f>
        <v/>
      </c>
      <c r="AD46" s="122">
        <f>IFERROR(J46/$T46,0)</f>
        <v/>
      </c>
      <c r="AE46" s="122">
        <f>IFERROR(K46/$T46,0)</f>
        <v/>
      </c>
      <c r="AF46" s="122">
        <f>IFERROR(L46/$T46,0)</f>
        <v/>
      </c>
      <c r="AG46" s="122">
        <f>IFERROR(M46/$T46,0)</f>
        <v/>
      </c>
      <c r="AH46" s="122">
        <f>IFERROR(N46/$T46,0)</f>
        <v/>
      </c>
      <c r="AI46" s="122">
        <f>IFERROR(O46/$T46,0)</f>
        <v/>
      </c>
      <c r="AJ46" s="122">
        <f>IFERROR(P46/$T46,0)</f>
        <v/>
      </c>
      <c r="AK46" s="122">
        <f>IFERROR(Q46/$T46,0)</f>
        <v/>
      </c>
      <c r="AL46" s="122">
        <f>IFERROR(R46/$T46,0)</f>
        <v/>
      </c>
      <c r="AM46" s="122">
        <f>IFERROR(S46/$T46,0)</f>
        <v/>
      </c>
      <c r="AN46" s="122">
        <f>SUM(Z46:AC46)</f>
        <v/>
      </c>
      <c r="AO46" s="122">
        <f>SUM(AD46:AL46)</f>
        <v/>
      </c>
      <c r="AP46" s="122">
        <f>SUM(AM46,AB46)</f>
        <v/>
      </c>
      <c r="AQ46" s="122">
        <f>SUM(AA46)</f>
        <v/>
      </c>
      <c r="AR46" s="121">
        <f>(AP46+AQ46)-3%</f>
        <v/>
      </c>
      <c r="AS46" s="122">
        <f>SUM(AO46+AM46)</f>
        <v/>
      </c>
      <c r="AT46" s="122">
        <f>SUM(AH46+AN46)</f>
        <v/>
      </c>
      <c r="AU46" s="122">
        <f>SUM(AN46+AO46)</f>
        <v/>
      </c>
      <c r="AV46" s="122">
        <f>SUM(AN46+AD46+AE46+AF46+AG46+AH46+AJ46+AK46+AL46)</f>
        <v/>
      </c>
      <c r="AW46" s="122">
        <f>SUM(AD46+AE46+AF46+AG46+AI46+AJ46+AK46+AL46)</f>
        <v/>
      </c>
    </row>
    <row r="47" ht="14.1" customHeight="1" s="259">
      <c r="A47" s="174">
        <f>A46+1</f>
        <v/>
      </c>
      <c r="B47" s="204" t="n"/>
      <c r="C47" s="205" t="n"/>
      <c r="D47" s="204" t="n"/>
      <c r="E47" s="206" t="n"/>
      <c r="F47" s="206" t="n"/>
      <c r="G47" s="206" t="n"/>
      <c r="H47" s="206" t="n"/>
      <c r="I47" s="206" t="n"/>
      <c r="J47" s="206" t="n"/>
      <c r="K47" s="206" t="n"/>
      <c r="L47" s="206" t="n"/>
      <c r="M47" s="206" t="n"/>
      <c r="N47" s="206" t="n"/>
      <c r="O47" s="206" t="n"/>
      <c r="P47" s="206" t="n"/>
      <c r="Q47" s="206" t="n"/>
      <c r="R47" s="206" t="n"/>
      <c r="S47" s="206" t="n"/>
      <c r="T47" s="204">
        <f>SUM(F47:S47)</f>
        <v/>
      </c>
      <c r="U47" s="207">
        <f>(HLOOKUP(B47,F:T,A47,FALSE)/T47)</f>
        <v/>
      </c>
      <c r="V47" s="189" t="n"/>
      <c r="W47" s="163">
        <f>YEAR(C47)</f>
        <v/>
      </c>
      <c r="X47" s="116">
        <f>MONTH(C47)</f>
        <v/>
      </c>
      <c r="Y47" s="116">
        <f>WEEKNUM(C47,21)</f>
        <v/>
      </c>
      <c r="Z47" s="122">
        <f>IFERROR(F47/$T47,0)</f>
        <v/>
      </c>
      <c r="AA47" s="122">
        <f>IFERROR(G47/$T47,0)</f>
        <v/>
      </c>
      <c r="AB47" s="122">
        <f>IFERROR(H47/$T47,0)</f>
        <v/>
      </c>
      <c r="AC47" s="122">
        <f>IFERROR(I47/$T47,0)</f>
        <v/>
      </c>
      <c r="AD47" s="122">
        <f>IFERROR(J47/$T47,0)</f>
        <v/>
      </c>
      <c r="AE47" s="122">
        <f>IFERROR(K47/$T47,0)</f>
        <v/>
      </c>
      <c r="AF47" s="122">
        <f>IFERROR(L47/$T47,0)</f>
        <v/>
      </c>
      <c r="AG47" s="122">
        <f>IFERROR(M47/$T47,0)</f>
        <v/>
      </c>
      <c r="AH47" s="122">
        <f>IFERROR(N47/$T47,0)</f>
        <v/>
      </c>
      <c r="AI47" s="122">
        <f>IFERROR(O47/$T47,0)</f>
        <v/>
      </c>
      <c r="AJ47" s="122">
        <f>IFERROR(P47/$T47,0)</f>
        <v/>
      </c>
      <c r="AK47" s="122">
        <f>IFERROR(Q47/$T47,0)</f>
        <v/>
      </c>
      <c r="AL47" s="122">
        <f>IFERROR(R47/$T47,0)</f>
        <v/>
      </c>
      <c r="AM47" s="122">
        <f>IFERROR(S47/$T47,0)</f>
        <v/>
      </c>
      <c r="AN47" s="122">
        <f>SUM(Z47:AC47)</f>
        <v/>
      </c>
      <c r="AO47" s="122">
        <f>SUM(AD47:AL47)</f>
        <v/>
      </c>
      <c r="AP47" s="122">
        <f>SUM(AM47,AB47)</f>
        <v/>
      </c>
      <c r="AQ47" s="122">
        <f>SUM(AA47)</f>
        <v/>
      </c>
      <c r="AR47" s="121">
        <f>(AP47+AQ47)-3%</f>
        <v/>
      </c>
      <c r="AS47" s="122">
        <f>SUM(AO47+AM47)</f>
        <v/>
      </c>
      <c r="AT47" s="122">
        <f>SUM(AH47+AN47)</f>
        <v/>
      </c>
      <c r="AU47" s="122">
        <f>SUM(AN47+AO47)</f>
        <v/>
      </c>
      <c r="AV47" s="122">
        <f>SUM(AN47+AD47+AE47+AF47+AG47+AH47+AJ47+AK47+AL47)</f>
        <v/>
      </c>
      <c r="AW47" s="122">
        <f>SUM(AD47+AE47+AF47+AG47+AI47+AJ47+AK47+AL47)</f>
        <v/>
      </c>
    </row>
    <row r="48" ht="14.1" customHeight="1" s="259">
      <c r="A48" s="174">
        <f>A47+1</f>
        <v/>
      </c>
      <c r="B48" s="204" t="n"/>
      <c r="C48" s="205" t="n"/>
      <c r="D48" s="204" t="n"/>
      <c r="E48" s="206" t="n"/>
      <c r="F48" s="206" t="n"/>
      <c r="G48" s="206" t="n"/>
      <c r="H48" s="206" t="n"/>
      <c r="I48" s="206" t="n"/>
      <c r="J48" s="206" t="n"/>
      <c r="K48" s="206" t="n"/>
      <c r="L48" s="206" t="n"/>
      <c r="M48" s="206" t="n"/>
      <c r="N48" s="206" t="n"/>
      <c r="O48" s="206" t="n"/>
      <c r="P48" s="206" t="n"/>
      <c r="Q48" s="206" t="n"/>
      <c r="R48" s="206" t="n"/>
      <c r="S48" s="206" t="n"/>
      <c r="T48" s="204">
        <f>SUM(F48:S48)</f>
        <v/>
      </c>
      <c r="U48" s="207">
        <f>(HLOOKUP(B48,F:T,A48,FALSE)/T48)</f>
        <v/>
      </c>
      <c r="V48" s="189" t="n"/>
      <c r="W48" s="163">
        <f>YEAR(C48)</f>
        <v/>
      </c>
      <c r="X48" s="116">
        <f>MONTH(C48)</f>
        <v/>
      </c>
      <c r="Y48" s="116">
        <f>WEEKNUM(C48,21)</f>
        <v/>
      </c>
      <c r="Z48" s="122">
        <f>IFERROR(F48/$T48,0)</f>
        <v/>
      </c>
      <c r="AA48" s="122">
        <f>IFERROR(G48/$T48,0)</f>
        <v/>
      </c>
      <c r="AB48" s="122">
        <f>IFERROR(H48/$T48,0)</f>
        <v/>
      </c>
      <c r="AC48" s="122">
        <f>IFERROR(I48/$T48,0)</f>
        <v/>
      </c>
      <c r="AD48" s="122">
        <f>IFERROR(J48/$T48,0)</f>
        <v/>
      </c>
      <c r="AE48" s="122">
        <f>IFERROR(K48/$T48,0)</f>
        <v/>
      </c>
      <c r="AF48" s="122">
        <f>IFERROR(L48/$T48,0)</f>
        <v/>
      </c>
      <c r="AG48" s="122">
        <f>IFERROR(M48/$T48,0)</f>
        <v/>
      </c>
      <c r="AH48" s="122">
        <f>IFERROR(N48/$T48,0)</f>
        <v/>
      </c>
      <c r="AI48" s="122">
        <f>IFERROR(O48/$T48,0)</f>
        <v/>
      </c>
      <c r="AJ48" s="122">
        <f>IFERROR(P48/$T48,0)</f>
        <v/>
      </c>
      <c r="AK48" s="122">
        <f>IFERROR(Q48/$T48,0)</f>
        <v/>
      </c>
      <c r="AL48" s="122">
        <f>IFERROR(R48/$T48,0)</f>
        <v/>
      </c>
      <c r="AM48" s="122">
        <f>IFERROR(S48/$T48,0)</f>
        <v/>
      </c>
      <c r="AN48" s="122">
        <f>SUM(Z48:AC48)</f>
        <v/>
      </c>
      <c r="AO48" s="122">
        <f>SUM(AD48:AL48)</f>
        <v/>
      </c>
      <c r="AP48" s="122">
        <f>SUM(AM48,AB48)</f>
        <v/>
      </c>
      <c r="AQ48" s="122">
        <f>SUM(AA48)</f>
        <v/>
      </c>
      <c r="AR48" s="121">
        <f>(AP48+AQ48)-3%</f>
        <v/>
      </c>
      <c r="AS48" s="122">
        <f>SUM(AO48+AM48)</f>
        <v/>
      </c>
      <c r="AT48" s="122">
        <f>SUM(AH48+AN48)</f>
        <v/>
      </c>
      <c r="AU48" s="122">
        <f>SUM(AN48+AO48)</f>
        <v/>
      </c>
      <c r="AV48" s="122">
        <f>SUM(AN48+AD48+AE48+AF48+AG48+AH48+AJ48+AK48+AL48)</f>
        <v/>
      </c>
      <c r="AW48" s="122">
        <f>SUM(AD48+AE48+AF48+AG48+AI48+AJ48+AK48+AL48)</f>
        <v/>
      </c>
    </row>
    <row r="49" ht="14.1" customHeight="1" s="259">
      <c r="A49" s="174">
        <f>A48+1</f>
        <v/>
      </c>
      <c r="B49" s="204" t="n"/>
      <c r="C49" s="205" t="n"/>
      <c r="D49" s="204" t="n"/>
      <c r="E49" s="206" t="n"/>
      <c r="F49" s="206" t="n"/>
      <c r="G49" s="206" t="n"/>
      <c r="H49" s="206" t="n"/>
      <c r="I49" s="206" t="n"/>
      <c r="J49" s="206" t="n"/>
      <c r="K49" s="206" t="n"/>
      <c r="L49" s="206" t="n"/>
      <c r="M49" s="206" t="n"/>
      <c r="N49" s="206" t="n"/>
      <c r="O49" s="206" t="n"/>
      <c r="P49" s="206" t="n"/>
      <c r="Q49" s="206" t="n"/>
      <c r="R49" s="206" t="n"/>
      <c r="S49" s="206" t="n"/>
      <c r="T49" s="204">
        <f>SUM(F49:S49)</f>
        <v/>
      </c>
      <c r="U49" s="207">
        <f>(HLOOKUP(B49,F:T,A49,FALSE)/T49)</f>
        <v/>
      </c>
      <c r="V49" s="189" t="n"/>
      <c r="W49" s="163">
        <f>YEAR(C49)</f>
        <v/>
      </c>
      <c r="X49" s="116">
        <f>MONTH(C49)</f>
        <v/>
      </c>
      <c r="Y49" s="116">
        <f>WEEKNUM(C49,21)</f>
        <v/>
      </c>
      <c r="Z49" s="122">
        <f>IFERROR(F49/$T49,0)</f>
        <v/>
      </c>
      <c r="AA49" s="122">
        <f>IFERROR(G49/$T49,0)</f>
        <v/>
      </c>
      <c r="AB49" s="122">
        <f>IFERROR(H49/$T49,0)</f>
        <v/>
      </c>
      <c r="AC49" s="122">
        <f>IFERROR(I49/$T49,0)</f>
        <v/>
      </c>
      <c r="AD49" s="122">
        <f>IFERROR(J49/$T49,0)</f>
        <v/>
      </c>
      <c r="AE49" s="122">
        <f>IFERROR(K49/$T49,0)</f>
        <v/>
      </c>
      <c r="AF49" s="122">
        <f>IFERROR(L49/$T49,0)</f>
        <v/>
      </c>
      <c r="AG49" s="122">
        <f>IFERROR(M49/$T49,0)</f>
        <v/>
      </c>
      <c r="AH49" s="122">
        <f>IFERROR(N49/$T49,0)</f>
        <v/>
      </c>
      <c r="AI49" s="122">
        <f>IFERROR(O49/$T49,0)</f>
        <v/>
      </c>
      <c r="AJ49" s="122">
        <f>IFERROR(P49/$T49,0)</f>
        <v/>
      </c>
      <c r="AK49" s="122">
        <f>IFERROR(Q49/$T49,0)</f>
        <v/>
      </c>
      <c r="AL49" s="122">
        <f>IFERROR(R49/$T49,0)</f>
        <v/>
      </c>
      <c r="AM49" s="122">
        <f>IFERROR(S49/$T49,0)</f>
        <v/>
      </c>
      <c r="AN49" s="122">
        <f>SUM(Z49:AC49)</f>
        <v/>
      </c>
      <c r="AO49" s="122">
        <f>SUM(AD49:AL49)</f>
        <v/>
      </c>
      <c r="AP49" s="122">
        <f>SUM(AM49,AB49)</f>
        <v/>
      </c>
      <c r="AQ49" s="122">
        <f>SUM(AA49)</f>
        <v/>
      </c>
      <c r="AR49" s="121">
        <f>(AP49+AQ49)-3%</f>
        <v/>
      </c>
      <c r="AS49" s="122">
        <f>SUM(AO49+AM49)</f>
        <v/>
      </c>
      <c r="AT49" s="122">
        <f>SUM(AH49+AN49)</f>
        <v/>
      </c>
      <c r="AU49" s="122">
        <f>SUM(AN49+AO49)</f>
        <v/>
      </c>
      <c r="AV49" s="122">
        <f>SUM(AN49+AD49+AE49+AF49+AG49+AH49+AJ49+AK49+AL49)</f>
        <v/>
      </c>
      <c r="AW49" s="122">
        <f>SUM(AD49+AE49+AF49+AG49+AI49+AJ49+AK49+AL49)</f>
        <v/>
      </c>
    </row>
    <row r="50" ht="14.1" customHeight="1" s="259">
      <c r="A50" s="174">
        <f>A49+1</f>
        <v/>
      </c>
      <c r="B50" s="199" t="n"/>
      <c r="C50" s="200" t="n"/>
      <c r="D50" s="199" t="n"/>
      <c r="E50" s="201" t="n"/>
      <c r="F50" s="201" t="n"/>
      <c r="G50" s="201" t="n"/>
      <c r="H50" s="201" t="n"/>
      <c r="I50" s="201" t="n"/>
      <c r="J50" s="201" t="n"/>
      <c r="K50" s="201" t="n"/>
      <c r="L50" s="201" t="n"/>
      <c r="M50" s="201" t="n"/>
      <c r="N50" s="201" t="n"/>
      <c r="O50" s="201" t="n"/>
      <c r="P50" s="201" t="n"/>
      <c r="Q50" s="201" t="n"/>
      <c r="R50" s="201" t="n"/>
      <c r="S50" s="201" t="n"/>
      <c r="T50" s="204">
        <f>SUM(F50:S50)</f>
        <v/>
      </c>
      <c r="U50" s="202">
        <f>(HLOOKUP(B50,F:T,A50,FALSE)/T50)</f>
        <v/>
      </c>
      <c r="V50" s="189" t="n"/>
      <c r="W50" s="163">
        <f>YEAR(C50)</f>
        <v/>
      </c>
      <c r="X50" s="116">
        <f>MONTH(C50)</f>
        <v/>
      </c>
      <c r="Y50" s="116">
        <f>WEEKNUM(C50,21)</f>
        <v/>
      </c>
      <c r="Z50" s="122">
        <f>IFERROR(F50/$T50,0)</f>
        <v/>
      </c>
      <c r="AA50" s="122">
        <f>IFERROR(G50/$T50,0)</f>
        <v/>
      </c>
      <c r="AB50" s="122">
        <f>IFERROR(H50/$T50,0)</f>
        <v/>
      </c>
      <c r="AC50" s="122">
        <f>IFERROR(I50/$T50,0)</f>
        <v/>
      </c>
      <c r="AD50" s="122">
        <f>IFERROR(J50/$T50,0)</f>
        <v/>
      </c>
      <c r="AE50" s="122">
        <f>IFERROR(K50/$T50,0)</f>
        <v/>
      </c>
      <c r="AF50" s="122">
        <f>IFERROR(L50/$T50,0)</f>
        <v/>
      </c>
      <c r="AG50" s="122">
        <f>IFERROR(M50/$T50,0)</f>
        <v/>
      </c>
      <c r="AH50" s="122">
        <f>IFERROR(N50/$T50,0)</f>
        <v/>
      </c>
      <c r="AI50" s="122">
        <f>IFERROR(O50/$T50,0)</f>
        <v/>
      </c>
      <c r="AJ50" s="122">
        <f>IFERROR(P50/$T50,0)</f>
        <v/>
      </c>
      <c r="AK50" s="122">
        <f>IFERROR(Q50/$T50,0)</f>
        <v/>
      </c>
      <c r="AL50" s="122">
        <f>IFERROR(R50/$T50,0)</f>
        <v/>
      </c>
      <c r="AM50" s="122">
        <f>IFERROR(S50/$T50,0)</f>
        <v/>
      </c>
      <c r="AN50" s="122">
        <f>SUM(Z50:AC50)</f>
        <v/>
      </c>
      <c r="AO50" s="122">
        <f>SUM(AD50:AL50)</f>
        <v/>
      </c>
      <c r="AP50" s="122">
        <f>SUM(AM50,AB50)</f>
        <v/>
      </c>
      <c r="AQ50" s="122">
        <f>SUM(AA50)</f>
        <v/>
      </c>
      <c r="AR50" s="121">
        <f>(AP50+AQ50)-3%</f>
        <v/>
      </c>
      <c r="AS50" s="122">
        <f>SUM(AO50+AM50)</f>
        <v/>
      </c>
      <c r="AT50" s="122">
        <f>SUM(AH50+AN50)</f>
        <v/>
      </c>
      <c r="AU50" s="122">
        <f>SUM(AN50+AO50)</f>
        <v/>
      </c>
      <c r="AV50" s="122">
        <f>SUM(AN50+AD50+AE50+AF50+AG50+AH50+AJ50+AK50+AL50)</f>
        <v/>
      </c>
      <c r="AW50" s="122">
        <f>SUM(AD50+AE50+AF50+AG50+AI50+AJ50+AK50+AL50)</f>
        <v/>
      </c>
    </row>
    <row r="51" ht="14.1" customHeight="1" s="259">
      <c r="A51" s="174">
        <f>A50+1</f>
        <v/>
      </c>
      <c r="B51" s="199" t="n"/>
      <c r="C51" s="200" t="n"/>
      <c r="D51" s="199" t="n"/>
      <c r="E51" s="201" t="n"/>
      <c r="F51" s="201" t="n"/>
      <c r="G51" s="201" t="n"/>
      <c r="H51" s="201" t="n"/>
      <c r="I51" s="201" t="n"/>
      <c r="J51" s="201" t="n"/>
      <c r="K51" s="201" t="n"/>
      <c r="L51" s="201" t="n"/>
      <c r="M51" s="201" t="n"/>
      <c r="N51" s="201" t="n"/>
      <c r="O51" s="201" t="n"/>
      <c r="P51" s="201" t="n"/>
      <c r="Q51" s="201" t="n"/>
      <c r="R51" s="201" t="n"/>
      <c r="S51" s="201" t="n"/>
      <c r="T51" s="204">
        <f>SUM(F51:S51)</f>
        <v/>
      </c>
      <c r="U51" s="202">
        <f>(HLOOKUP(B51,F:T,A51,FALSE)/T51)</f>
        <v/>
      </c>
      <c r="V51" s="189" t="n"/>
      <c r="W51" s="163">
        <f>YEAR(C51)</f>
        <v/>
      </c>
      <c r="X51" s="116">
        <f>MONTH(C51)</f>
        <v/>
      </c>
      <c r="Y51" s="116">
        <f>WEEKNUM(C51,21)</f>
        <v/>
      </c>
      <c r="Z51" s="122">
        <f>IFERROR(F51/$T51,0)</f>
        <v/>
      </c>
      <c r="AA51" s="122">
        <f>IFERROR(G51/$T51,0)</f>
        <v/>
      </c>
      <c r="AB51" s="122">
        <f>IFERROR(H51/$T51,0)</f>
        <v/>
      </c>
      <c r="AC51" s="122">
        <f>IFERROR(I51/$T51,0)</f>
        <v/>
      </c>
      <c r="AD51" s="122">
        <f>IFERROR(J51/$T51,0)</f>
        <v/>
      </c>
      <c r="AE51" s="122">
        <f>IFERROR(K51/$T51,0)</f>
        <v/>
      </c>
      <c r="AF51" s="122">
        <f>IFERROR(L51/$T51,0)</f>
        <v/>
      </c>
      <c r="AG51" s="122">
        <f>IFERROR(M51/$T51,0)</f>
        <v/>
      </c>
      <c r="AH51" s="122">
        <f>IFERROR(N51/$T51,0)</f>
        <v/>
      </c>
      <c r="AI51" s="122">
        <f>IFERROR(O51/$T51,0)</f>
        <v/>
      </c>
      <c r="AJ51" s="122">
        <f>IFERROR(P51/$T51,0)</f>
        <v/>
      </c>
      <c r="AK51" s="122">
        <f>IFERROR(Q51/$T51,0)</f>
        <v/>
      </c>
      <c r="AL51" s="122">
        <f>IFERROR(R51/$T51,0)</f>
        <v/>
      </c>
      <c r="AM51" s="122">
        <f>IFERROR(S51/$T51,0)</f>
        <v/>
      </c>
      <c r="AN51" s="122">
        <f>SUM(Z51:AC51)</f>
        <v/>
      </c>
      <c r="AO51" s="122">
        <f>SUM(AD51:AL51)</f>
        <v/>
      </c>
      <c r="AP51" s="122">
        <f>SUM(AM51,AB51)</f>
        <v/>
      </c>
      <c r="AQ51" s="122">
        <f>SUM(AA51)</f>
        <v/>
      </c>
      <c r="AR51" s="121">
        <f>(AP51+AQ51)-3%</f>
        <v/>
      </c>
      <c r="AS51" s="122">
        <f>SUM(AO51+AM51)</f>
        <v/>
      </c>
      <c r="AT51" s="122">
        <f>SUM(AH51+AN51)</f>
        <v/>
      </c>
      <c r="AU51" s="122">
        <f>SUM(AN51+AO51)</f>
        <v/>
      </c>
      <c r="AV51" s="122">
        <f>SUM(AN51+AD51+AE51+AF51+AG51+AH51+AJ51+AK51+AL51)</f>
        <v/>
      </c>
      <c r="AW51" s="122">
        <f>SUM(AD51+AE51+AF51+AG51+AI51+AJ51+AK51+AL51)</f>
        <v/>
      </c>
    </row>
    <row r="52" ht="14.1" customHeight="1" s="259">
      <c r="A52" s="174">
        <f>A51+1</f>
        <v/>
      </c>
      <c r="B52" s="204" t="n"/>
      <c r="C52" s="205" t="n"/>
      <c r="D52" s="204" t="n"/>
      <c r="E52" s="206" t="n"/>
      <c r="F52" s="206" t="n"/>
      <c r="G52" s="206" t="n"/>
      <c r="H52" s="206" t="n"/>
      <c r="I52" s="206" t="n"/>
      <c r="J52" s="206" t="n"/>
      <c r="K52" s="206" t="n"/>
      <c r="L52" s="206" t="n"/>
      <c r="M52" s="206" t="n"/>
      <c r="N52" s="206" t="n"/>
      <c r="O52" s="206" t="n"/>
      <c r="P52" s="206" t="n"/>
      <c r="Q52" s="206" t="n"/>
      <c r="R52" s="206" t="n"/>
      <c r="S52" s="206" t="n"/>
      <c r="T52" s="204">
        <f>SUM(F52:S52)</f>
        <v/>
      </c>
      <c r="U52" s="207">
        <f>(HLOOKUP(B52,F:T,A52,FALSE)/T52)</f>
        <v/>
      </c>
      <c r="V52" s="189" t="n"/>
      <c r="W52" s="163">
        <f>YEAR(C52)</f>
        <v/>
      </c>
      <c r="X52" s="116">
        <f>MONTH(C52)</f>
        <v/>
      </c>
      <c r="Y52" s="116">
        <f>WEEKNUM(C52,21)</f>
        <v/>
      </c>
      <c r="Z52" s="122">
        <f>IFERROR(F52/$T52,0)</f>
        <v/>
      </c>
      <c r="AA52" s="122">
        <f>IFERROR(G52/$T52,0)</f>
        <v/>
      </c>
      <c r="AB52" s="122">
        <f>IFERROR(H52/$T52,0)</f>
        <v/>
      </c>
      <c r="AC52" s="122">
        <f>IFERROR(I52/$T52,0)</f>
        <v/>
      </c>
      <c r="AD52" s="122">
        <f>IFERROR(J52/$T52,0)</f>
        <v/>
      </c>
      <c r="AE52" s="122">
        <f>IFERROR(K52/$T52,0)</f>
        <v/>
      </c>
      <c r="AF52" s="122">
        <f>IFERROR(L52/$T52,0)</f>
        <v/>
      </c>
      <c r="AG52" s="122">
        <f>IFERROR(M52/$T52,0)</f>
        <v/>
      </c>
      <c r="AH52" s="122">
        <f>IFERROR(N52/$T52,0)</f>
        <v/>
      </c>
      <c r="AI52" s="122">
        <f>IFERROR(O52/$T52,0)</f>
        <v/>
      </c>
      <c r="AJ52" s="122">
        <f>IFERROR(P52/$T52,0)</f>
        <v/>
      </c>
      <c r="AK52" s="122">
        <f>IFERROR(Q52/$T52,0)</f>
        <v/>
      </c>
      <c r="AL52" s="122">
        <f>IFERROR(R52/$T52,0)</f>
        <v/>
      </c>
      <c r="AM52" s="122">
        <f>IFERROR(S52/$T52,0)</f>
        <v/>
      </c>
      <c r="AN52" s="122">
        <f>SUM(Z52:AC52)</f>
        <v/>
      </c>
      <c r="AO52" s="122">
        <f>SUM(AD52:AL52)</f>
        <v/>
      </c>
      <c r="AP52" s="122">
        <f>SUM(AM52,AB52)</f>
        <v/>
      </c>
      <c r="AQ52" s="122">
        <f>SUM(AA52)</f>
        <v/>
      </c>
      <c r="AR52" s="121">
        <f>(AP52+AQ52)-3%</f>
        <v/>
      </c>
      <c r="AS52" s="122">
        <f>SUM(AO52+AM52)</f>
        <v/>
      </c>
      <c r="AT52" s="122">
        <f>SUM(AH52+AN52)</f>
        <v/>
      </c>
      <c r="AU52" s="122">
        <f>SUM(AN52+AO52)</f>
        <v/>
      </c>
      <c r="AV52" s="122">
        <f>SUM(AN52+AD52+AE52+AF52+AG52+AH52+AJ52+AK52+AL52)</f>
        <v/>
      </c>
      <c r="AW52" s="122">
        <f>SUM(AD52+AE52+AF52+AG52+AI52+AJ52+AK52+AL52)</f>
        <v/>
      </c>
    </row>
    <row r="53" ht="14.1" customHeight="1" s="259">
      <c r="A53" s="174">
        <f>A52+1</f>
        <v/>
      </c>
      <c r="B53" s="204" t="n"/>
      <c r="C53" s="205" t="n"/>
      <c r="D53" s="204" t="n"/>
      <c r="E53" s="206" t="n"/>
      <c r="F53" s="206" t="n"/>
      <c r="G53" s="206" t="n"/>
      <c r="H53" s="206" t="n"/>
      <c r="I53" s="206" t="n"/>
      <c r="J53" s="206" t="n"/>
      <c r="K53" s="206" t="n"/>
      <c r="L53" s="206" t="n"/>
      <c r="M53" s="206" t="n"/>
      <c r="N53" s="206" t="n"/>
      <c r="O53" s="206" t="n"/>
      <c r="P53" s="206" t="n"/>
      <c r="Q53" s="206" t="n"/>
      <c r="R53" s="206" t="n"/>
      <c r="S53" s="206" t="n"/>
      <c r="T53" s="204">
        <f>SUM(F53:S53)</f>
        <v/>
      </c>
      <c r="U53" s="207">
        <f>(HLOOKUP(B53,F:T,A53,FALSE)/T53)</f>
        <v/>
      </c>
      <c r="V53" s="189" t="n"/>
      <c r="W53" s="163">
        <f>YEAR(C53)</f>
        <v/>
      </c>
      <c r="X53" s="116">
        <f>MONTH(C53)</f>
        <v/>
      </c>
      <c r="Y53" s="116">
        <f>WEEKNUM(C53,21)</f>
        <v/>
      </c>
      <c r="Z53" s="122">
        <f>IFERROR(F53/$T53,0)</f>
        <v/>
      </c>
      <c r="AA53" s="122">
        <f>IFERROR(G53/$T53,0)</f>
        <v/>
      </c>
      <c r="AB53" s="122">
        <f>IFERROR(H53/$T53,0)</f>
        <v/>
      </c>
      <c r="AC53" s="122">
        <f>IFERROR(I53/$T53,0)</f>
        <v/>
      </c>
      <c r="AD53" s="122">
        <f>IFERROR(J53/$T53,0)</f>
        <v/>
      </c>
      <c r="AE53" s="122">
        <f>IFERROR(K53/$T53,0)</f>
        <v/>
      </c>
      <c r="AF53" s="122">
        <f>IFERROR(L53/$T53,0)</f>
        <v/>
      </c>
      <c r="AG53" s="122">
        <f>IFERROR(M53/$T53,0)</f>
        <v/>
      </c>
      <c r="AH53" s="122">
        <f>IFERROR(N53/$T53,0)</f>
        <v/>
      </c>
      <c r="AI53" s="122">
        <f>IFERROR(O53/$T53,0)</f>
        <v/>
      </c>
      <c r="AJ53" s="122">
        <f>IFERROR(P53/$T53,0)</f>
        <v/>
      </c>
      <c r="AK53" s="122">
        <f>IFERROR(Q53/$T53,0)</f>
        <v/>
      </c>
      <c r="AL53" s="122">
        <f>IFERROR(R53/$T53,0)</f>
        <v/>
      </c>
      <c r="AM53" s="122">
        <f>IFERROR(S53/$T53,0)</f>
        <v/>
      </c>
      <c r="AN53" s="122">
        <f>SUM(Z53:AC53)</f>
        <v/>
      </c>
      <c r="AO53" s="122">
        <f>SUM(AD53:AL53)</f>
        <v/>
      </c>
      <c r="AP53" s="122">
        <f>SUM(AM53,AB53)</f>
        <v/>
      </c>
      <c r="AQ53" s="122">
        <f>SUM(AA53)</f>
        <v/>
      </c>
      <c r="AR53" s="121">
        <f>(AP53+AQ53)-3%</f>
        <v/>
      </c>
      <c r="AS53" s="122">
        <f>SUM(AO53+AM53)</f>
        <v/>
      </c>
      <c r="AT53" s="122">
        <f>SUM(AH53+AN53)</f>
        <v/>
      </c>
      <c r="AU53" s="122">
        <f>SUM(AN53+AO53)</f>
        <v/>
      </c>
      <c r="AV53" s="122">
        <f>SUM(AN53+AD53+AE53+AF53+AG53+AH53+AJ53+AK53+AL53)</f>
        <v/>
      </c>
      <c r="AW53" s="122">
        <f>SUM(AD53+AE53+AF53+AG53+AI53+AJ53+AK53+AL53)</f>
        <v/>
      </c>
    </row>
    <row r="54" ht="14.1" customHeight="1" s="259">
      <c r="A54" s="174">
        <f>A53+1</f>
        <v/>
      </c>
      <c r="B54" s="204" t="n"/>
      <c r="C54" s="205" t="n"/>
      <c r="D54" s="204" t="n"/>
      <c r="E54" s="206" t="n"/>
      <c r="F54" s="206" t="n"/>
      <c r="G54" s="206" t="n"/>
      <c r="H54" s="206" t="n"/>
      <c r="I54" s="206" t="n"/>
      <c r="J54" s="206" t="n"/>
      <c r="K54" s="206" t="n"/>
      <c r="L54" s="206" t="n"/>
      <c r="M54" s="206" t="n"/>
      <c r="N54" s="206" t="n"/>
      <c r="O54" s="206" t="n"/>
      <c r="P54" s="206" t="n"/>
      <c r="Q54" s="206" t="n"/>
      <c r="R54" s="206" t="n"/>
      <c r="S54" s="206" t="n"/>
      <c r="T54" s="204">
        <f>SUM(F54:S54)</f>
        <v/>
      </c>
      <c r="U54" s="207">
        <f>(HLOOKUP(B54,F:T,A54,FALSE)/T54)</f>
        <v/>
      </c>
      <c r="V54" s="189" t="n"/>
      <c r="W54" s="163">
        <f>YEAR(C54)</f>
        <v/>
      </c>
      <c r="X54" s="116">
        <f>MONTH(C54)</f>
        <v/>
      </c>
      <c r="Y54" s="116">
        <f>WEEKNUM(C54,21)</f>
        <v/>
      </c>
      <c r="Z54" s="122">
        <f>IFERROR(F54/$T54,0)</f>
        <v/>
      </c>
      <c r="AA54" s="122">
        <f>IFERROR(G54/$T54,0)</f>
        <v/>
      </c>
      <c r="AB54" s="122">
        <f>IFERROR(H54/$T54,0)</f>
        <v/>
      </c>
      <c r="AC54" s="122">
        <f>IFERROR(I54/$T54,0)</f>
        <v/>
      </c>
      <c r="AD54" s="122">
        <f>IFERROR(J54/$T54,0)</f>
        <v/>
      </c>
      <c r="AE54" s="122">
        <f>IFERROR(K54/$T54,0)</f>
        <v/>
      </c>
      <c r="AF54" s="122">
        <f>IFERROR(L54/$T54,0)</f>
        <v/>
      </c>
      <c r="AG54" s="122">
        <f>IFERROR(M54/$T54,0)</f>
        <v/>
      </c>
      <c r="AH54" s="122">
        <f>IFERROR(N54/$T54,0)</f>
        <v/>
      </c>
      <c r="AI54" s="122">
        <f>IFERROR(O54/$T54,0)</f>
        <v/>
      </c>
      <c r="AJ54" s="122">
        <f>IFERROR(P54/$T54,0)</f>
        <v/>
      </c>
      <c r="AK54" s="122">
        <f>IFERROR(Q54/$T54,0)</f>
        <v/>
      </c>
      <c r="AL54" s="122">
        <f>IFERROR(R54/$T54,0)</f>
        <v/>
      </c>
      <c r="AM54" s="122">
        <f>IFERROR(S54/$T54,0)</f>
        <v/>
      </c>
      <c r="AN54" s="122">
        <f>SUM(Z54:AC54)</f>
        <v/>
      </c>
      <c r="AO54" s="122">
        <f>SUM(AD54:AL54)</f>
        <v/>
      </c>
      <c r="AP54" s="122">
        <f>SUM(AM54,AB54)</f>
        <v/>
      </c>
      <c r="AQ54" s="122">
        <f>SUM(AA54)</f>
        <v/>
      </c>
      <c r="AR54" s="121">
        <f>(AP54+AQ54)-3%</f>
        <v/>
      </c>
      <c r="AS54" s="122">
        <f>SUM(AO54+AM54)</f>
        <v/>
      </c>
      <c r="AT54" s="122">
        <f>SUM(AH54+AN54)</f>
        <v/>
      </c>
      <c r="AU54" s="122">
        <f>SUM(AN54+AO54)</f>
        <v/>
      </c>
      <c r="AV54" s="122">
        <f>SUM(AN54+AD54+AE54+AF54+AG54+AH54+AJ54+AK54+AL54)</f>
        <v/>
      </c>
      <c r="AW54" s="122">
        <f>SUM(AD54+AE54+AF54+AG54+AI54+AJ54+AK54+AL54)</f>
        <v/>
      </c>
    </row>
    <row r="55" ht="14.1" customHeight="1" s="259">
      <c r="A55" s="174">
        <f>A54+1</f>
        <v/>
      </c>
      <c r="B55" s="204" t="n"/>
      <c r="C55" s="205" t="n"/>
      <c r="D55" s="204" t="n"/>
      <c r="E55" s="206" t="n"/>
      <c r="F55" s="206" t="n"/>
      <c r="G55" s="206" t="n"/>
      <c r="H55" s="206" t="n"/>
      <c r="I55" s="206" t="n"/>
      <c r="J55" s="206" t="n"/>
      <c r="K55" s="206" t="n"/>
      <c r="L55" s="206" t="n"/>
      <c r="M55" s="206" t="n"/>
      <c r="N55" s="206" t="n"/>
      <c r="O55" s="206" t="n"/>
      <c r="P55" s="206" t="n"/>
      <c r="Q55" s="206" t="n"/>
      <c r="R55" s="206" t="n"/>
      <c r="S55" s="206" t="n"/>
      <c r="T55" s="204">
        <f>SUM(F55:S55)</f>
        <v/>
      </c>
      <c r="U55" s="207">
        <f>(HLOOKUP(B55,F:T,A55,FALSE)/T55)</f>
        <v/>
      </c>
      <c r="V55" s="189" t="n"/>
      <c r="W55" s="163">
        <f>YEAR(C55)</f>
        <v/>
      </c>
      <c r="X55" s="116">
        <f>MONTH(C55)</f>
        <v/>
      </c>
      <c r="Y55" s="116">
        <f>WEEKNUM(C55,21)</f>
        <v/>
      </c>
      <c r="Z55" s="122">
        <f>IFERROR(F55/$T55,0)</f>
        <v/>
      </c>
      <c r="AA55" s="122">
        <f>IFERROR(G55/$T55,0)</f>
        <v/>
      </c>
      <c r="AB55" s="122">
        <f>IFERROR(H55/$T55,0)</f>
        <v/>
      </c>
      <c r="AC55" s="122">
        <f>IFERROR(I55/$T55,0)</f>
        <v/>
      </c>
      <c r="AD55" s="122">
        <f>IFERROR(J55/$T55,0)</f>
        <v/>
      </c>
      <c r="AE55" s="122">
        <f>IFERROR(K55/$T55,0)</f>
        <v/>
      </c>
      <c r="AF55" s="122">
        <f>IFERROR(L55/$T55,0)</f>
        <v/>
      </c>
      <c r="AG55" s="122">
        <f>IFERROR(M55/$T55,0)</f>
        <v/>
      </c>
      <c r="AH55" s="122">
        <f>IFERROR(N55/$T55,0)</f>
        <v/>
      </c>
      <c r="AI55" s="122">
        <f>IFERROR(O55/$T55,0)</f>
        <v/>
      </c>
      <c r="AJ55" s="122">
        <f>IFERROR(P55/$T55,0)</f>
        <v/>
      </c>
      <c r="AK55" s="122">
        <f>IFERROR(Q55/$T55,0)</f>
        <v/>
      </c>
      <c r="AL55" s="122">
        <f>IFERROR(R55/$T55,0)</f>
        <v/>
      </c>
      <c r="AM55" s="122">
        <f>IFERROR(S55/$T55,0)</f>
        <v/>
      </c>
      <c r="AN55" s="122">
        <f>SUM(Z55:AC55)</f>
        <v/>
      </c>
      <c r="AO55" s="122">
        <f>SUM(AD55:AL55)</f>
        <v/>
      </c>
      <c r="AP55" s="122">
        <f>SUM(AM55,AB55)</f>
        <v/>
      </c>
      <c r="AQ55" s="122">
        <f>SUM(AA55)</f>
        <v/>
      </c>
      <c r="AR55" s="121">
        <f>(AP55+AQ55)-3%</f>
        <v/>
      </c>
      <c r="AS55" s="122">
        <f>SUM(AO55+AM55)</f>
        <v/>
      </c>
      <c r="AT55" s="122">
        <f>SUM(AH55+AN55)</f>
        <v/>
      </c>
      <c r="AU55" s="122">
        <f>SUM(AN55+AO55)</f>
        <v/>
      </c>
      <c r="AV55" s="122">
        <f>SUM(AN55+AD55+AE55+AF55+AG55+AH55+AJ55+AK55+AL55)</f>
        <v/>
      </c>
      <c r="AW55" s="122">
        <f>SUM(AD55+AE55+AF55+AG55+AI55+AJ55+AK55+AL55)</f>
        <v/>
      </c>
    </row>
    <row r="56" ht="14.1" customHeight="1" s="259">
      <c r="A56" s="174">
        <f>A55+1</f>
        <v/>
      </c>
      <c r="B56" s="204" t="n"/>
      <c r="C56" s="205" t="n"/>
      <c r="D56" s="204" t="n"/>
      <c r="E56" s="206" t="n"/>
      <c r="F56" s="206" t="n"/>
      <c r="G56" s="206" t="n"/>
      <c r="H56" s="206" t="n"/>
      <c r="I56" s="206" t="n"/>
      <c r="J56" s="206" t="n"/>
      <c r="K56" s="206" t="n"/>
      <c r="L56" s="206" t="n"/>
      <c r="M56" s="206" t="n"/>
      <c r="N56" s="206" t="n"/>
      <c r="O56" s="206" t="n"/>
      <c r="P56" s="206" t="n"/>
      <c r="Q56" s="206" t="n"/>
      <c r="R56" s="206" t="n"/>
      <c r="S56" s="206" t="n"/>
      <c r="T56" s="204">
        <f>SUM(F56:S56)</f>
        <v/>
      </c>
      <c r="U56" s="207">
        <f>(HLOOKUP(B56,F:T,A56,FALSE)/T56)</f>
        <v/>
      </c>
      <c r="V56" s="189" t="n"/>
      <c r="W56" s="163">
        <f>YEAR(C56)</f>
        <v/>
      </c>
      <c r="X56" s="116">
        <f>MONTH(C56)</f>
        <v/>
      </c>
      <c r="Y56" s="116">
        <f>WEEKNUM(C56,21)</f>
        <v/>
      </c>
      <c r="Z56" s="122">
        <f>IFERROR(F56/$T56,0)</f>
        <v/>
      </c>
      <c r="AA56" s="122">
        <f>IFERROR(G56/$T56,0)</f>
        <v/>
      </c>
      <c r="AB56" s="122">
        <f>IFERROR(H56/$T56,0)</f>
        <v/>
      </c>
      <c r="AC56" s="122">
        <f>IFERROR(I56/$T56,0)</f>
        <v/>
      </c>
      <c r="AD56" s="122">
        <f>IFERROR(J56/$T56,0)</f>
        <v/>
      </c>
      <c r="AE56" s="122">
        <f>IFERROR(K56/$T56,0)</f>
        <v/>
      </c>
      <c r="AF56" s="122">
        <f>IFERROR(L56/$T56,0)</f>
        <v/>
      </c>
      <c r="AG56" s="122">
        <f>IFERROR(M56/$T56,0)</f>
        <v/>
      </c>
      <c r="AH56" s="122">
        <f>IFERROR(N56/$T56,0)</f>
        <v/>
      </c>
      <c r="AI56" s="122">
        <f>IFERROR(O56/$T56,0)</f>
        <v/>
      </c>
      <c r="AJ56" s="122">
        <f>IFERROR(P56/$T56,0)</f>
        <v/>
      </c>
      <c r="AK56" s="122">
        <f>IFERROR(Q56/$T56,0)</f>
        <v/>
      </c>
      <c r="AL56" s="122">
        <f>IFERROR(R56/$T56,0)</f>
        <v/>
      </c>
      <c r="AM56" s="122">
        <f>IFERROR(S56/$T56,0)</f>
        <v/>
      </c>
      <c r="AN56" s="122">
        <f>SUM(Z56:AC56)</f>
        <v/>
      </c>
      <c r="AO56" s="122">
        <f>SUM(AD56:AL56)</f>
        <v/>
      </c>
      <c r="AP56" s="122">
        <f>SUM(AM56,AB56)</f>
        <v/>
      </c>
      <c r="AQ56" s="122">
        <f>SUM(AA56)</f>
        <v/>
      </c>
      <c r="AR56" s="121">
        <f>(AP56+AQ56)-3%</f>
        <v/>
      </c>
      <c r="AS56" s="122">
        <f>SUM(AO56+AM56)</f>
        <v/>
      </c>
      <c r="AT56" s="122">
        <f>SUM(AH56+AN56)</f>
        <v/>
      </c>
      <c r="AU56" s="122">
        <f>SUM(AN56+AO56)</f>
        <v/>
      </c>
      <c r="AV56" s="122">
        <f>SUM(AN56+AD56+AE56+AF56+AG56+AH56+AJ56+AK56+AL56)</f>
        <v/>
      </c>
      <c r="AW56" s="122">
        <f>SUM(AD56+AE56+AF56+AG56+AI56+AJ56+AK56+AL56)</f>
        <v/>
      </c>
    </row>
    <row r="57" ht="14.1" customHeight="1" s="259">
      <c r="A57" s="174">
        <f>A56+1</f>
        <v/>
      </c>
      <c r="B57" s="204" t="n"/>
      <c r="C57" s="205" t="n"/>
      <c r="D57" s="204" t="n"/>
      <c r="E57" s="206" t="n"/>
      <c r="F57" s="206" t="n"/>
      <c r="G57" s="206" t="n"/>
      <c r="H57" s="206" t="n"/>
      <c r="I57" s="206" t="n"/>
      <c r="J57" s="206" t="n"/>
      <c r="K57" s="206" t="n"/>
      <c r="L57" s="206" t="n"/>
      <c r="M57" s="206" t="n"/>
      <c r="N57" s="206" t="n"/>
      <c r="O57" s="206" t="n"/>
      <c r="P57" s="206" t="n"/>
      <c r="Q57" s="206" t="n"/>
      <c r="R57" s="206" t="n"/>
      <c r="S57" s="206" t="n"/>
      <c r="T57" s="204">
        <f>SUM(F57:S57)</f>
        <v/>
      </c>
      <c r="U57" s="207">
        <f>(HLOOKUP(B57,F:T,A57,FALSE)/T57)</f>
        <v/>
      </c>
      <c r="V57" s="189" t="n"/>
      <c r="W57" s="163">
        <f>YEAR(C57)</f>
        <v/>
      </c>
      <c r="X57" s="116">
        <f>MONTH(C57)</f>
        <v/>
      </c>
      <c r="Y57" s="116">
        <f>WEEKNUM(C57,21)</f>
        <v/>
      </c>
      <c r="Z57" s="122">
        <f>IFERROR(F57/$T57,0)</f>
        <v/>
      </c>
      <c r="AA57" s="122">
        <f>IFERROR(G57/$T57,0)</f>
        <v/>
      </c>
      <c r="AB57" s="122">
        <f>IFERROR(H57/$T57,0)</f>
        <v/>
      </c>
      <c r="AC57" s="122">
        <f>IFERROR(I57/$T57,0)</f>
        <v/>
      </c>
      <c r="AD57" s="122">
        <f>IFERROR(J57/$T57,0)</f>
        <v/>
      </c>
      <c r="AE57" s="122">
        <f>IFERROR(K57/$T57,0)</f>
        <v/>
      </c>
      <c r="AF57" s="122">
        <f>IFERROR(L57/$T57,0)</f>
        <v/>
      </c>
      <c r="AG57" s="122">
        <f>IFERROR(M57/$T57,0)</f>
        <v/>
      </c>
      <c r="AH57" s="122">
        <f>IFERROR(N57/$T57,0)</f>
        <v/>
      </c>
      <c r="AI57" s="122">
        <f>IFERROR(O57/$T57,0)</f>
        <v/>
      </c>
      <c r="AJ57" s="122">
        <f>IFERROR(P57/$T57,0)</f>
        <v/>
      </c>
      <c r="AK57" s="122">
        <f>IFERROR(Q57/$T57,0)</f>
        <v/>
      </c>
      <c r="AL57" s="122">
        <f>IFERROR(R57/$T57,0)</f>
        <v/>
      </c>
      <c r="AM57" s="122">
        <f>IFERROR(S57/$T57,0)</f>
        <v/>
      </c>
      <c r="AN57" s="122">
        <f>SUM(Z57:AC57)</f>
        <v/>
      </c>
      <c r="AO57" s="122">
        <f>SUM(AD57:AL57)</f>
        <v/>
      </c>
      <c r="AP57" s="122">
        <f>SUM(AM57,AB57)</f>
        <v/>
      </c>
      <c r="AQ57" s="122">
        <f>SUM(AA57)</f>
        <v/>
      </c>
      <c r="AR57" s="121">
        <f>(AP57+AQ57)-3%</f>
        <v/>
      </c>
      <c r="AS57" s="122">
        <f>SUM(AO57+AM57)</f>
        <v/>
      </c>
      <c r="AT57" s="122">
        <f>SUM(AH57+AN57)</f>
        <v/>
      </c>
      <c r="AU57" s="122">
        <f>SUM(AN57+AO57)</f>
        <v/>
      </c>
      <c r="AV57" s="122">
        <f>SUM(AN57+AD57+AE57+AF57+AG57+AH57+AJ57+AK57+AL57)</f>
        <v/>
      </c>
      <c r="AW57" s="122">
        <f>SUM(AD57+AE57+AF57+AG57+AI57+AJ57+AK57+AL57)</f>
        <v/>
      </c>
    </row>
    <row r="58" ht="14.1" customHeight="1" s="259">
      <c r="A58" s="174">
        <f>A57+1</f>
        <v/>
      </c>
      <c r="B58" s="204" t="n"/>
      <c r="C58" s="205" t="n"/>
      <c r="D58" s="204" t="n"/>
      <c r="E58" s="206" t="n"/>
      <c r="F58" s="206" t="n"/>
      <c r="G58" s="206" t="n"/>
      <c r="H58" s="206" t="n"/>
      <c r="I58" s="206" t="n"/>
      <c r="J58" s="206" t="n"/>
      <c r="K58" s="206" t="n"/>
      <c r="L58" s="206" t="n"/>
      <c r="M58" s="206" t="n"/>
      <c r="N58" s="206" t="n"/>
      <c r="O58" s="206" t="n"/>
      <c r="P58" s="206" t="n"/>
      <c r="Q58" s="206" t="n"/>
      <c r="R58" s="206" t="n"/>
      <c r="S58" s="206" t="n"/>
      <c r="T58" s="204">
        <f>SUM(F58:S58)</f>
        <v/>
      </c>
      <c r="U58" s="207">
        <f>(HLOOKUP(B58,F:T,A58,FALSE)/T58)</f>
        <v/>
      </c>
      <c r="V58" s="189" t="n"/>
      <c r="W58" s="163">
        <f>YEAR(C58)</f>
        <v/>
      </c>
      <c r="X58" s="116">
        <f>MONTH(C58)</f>
        <v/>
      </c>
      <c r="Y58" s="116">
        <f>WEEKNUM(C58,21)</f>
        <v/>
      </c>
      <c r="Z58" s="122">
        <f>IFERROR(F58/$T58,0)</f>
        <v/>
      </c>
      <c r="AA58" s="122">
        <f>IFERROR(G58/$T58,0)</f>
        <v/>
      </c>
      <c r="AB58" s="122">
        <f>IFERROR(H58/$T58,0)</f>
        <v/>
      </c>
      <c r="AC58" s="122">
        <f>IFERROR(I58/$T58,0)</f>
        <v/>
      </c>
      <c r="AD58" s="122">
        <f>IFERROR(J58/$T58,0)</f>
        <v/>
      </c>
      <c r="AE58" s="122">
        <f>IFERROR(K58/$T58,0)</f>
        <v/>
      </c>
      <c r="AF58" s="122">
        <f>IFERROR(L58/$T58,0)</f>
        <v/>
      </c>
      <c r="AG58" s="122">
        <f>IFERROR(M58/$T58,0)</f>
        <v/>
      </c>
      <c r="AH58" s="122">
        <f>IFERROR(N58/$T58,0)</f>
        <v/>
      </c>
      <c r="AI58" s="122">
        <f>IFERROR(O58/$T58,0)</f>
        <v/>
      </c>
      <c r="AJ58" s="122">
        <f>IFERROR(P58/$T58,0)</f>
        <v/>
      </c>
      <c r="AK58" s="122">
        <f>IFERROR(Q58/$T58,0)</f>
        <v/>
      </c>
      <c r="AL58" s="122">
        <f>IFERROR(R58/$T58,0)</f>
        <v/>
      </c>
      <c r="AM58" s="122">
        <f>IFERROR(S58/$T58,0)</f>
        <v/>
      </c>
      <c r="AN58" s="122">
        <f>SUM(Z58:AC58)</f>
        <v/>
      </c>
      <c r="AO58" s="122">
        <f>SUM(AD58:AL58)</f>
        <v/>
      </c>
      <c r="AP58" s="122">
        <f>SUM(AM58,AB58)</f>
        <v/>
      </c>
      <c r="AQ58" s="122">
        <f>SUM(AA58)</f>
        <v/>
      </c>
      <c r="AR58" s="121">
        <f>(AP58+AQ58)-3%</f>
        <v/>
      </c>
      <c r="AS58" s="122">
        <f>SUM(AO58+AM58)</f>
        <v/>
      </c>
      <c r="AT58" s="122">
        <f>SUM(AH58+AN58)</f>
        <v/>
      </c>
      <c r="AU58" s="122">
        <f>SUM(AN58+AO58)</f>
        <v/>
      </c>
      <c r="AV58" s="122">
        <f>SUM(AN58+AD58+AE58+AF58+AG58+AH58+AJ58+AK58+AL58)</f>
        <v/>
      </c>
      <c r="AW58" s="122">
        <f>SUM(AD58+AE58+AF58+AG58+AI58+AJ58+AK58+AL58)</f>
        <v/>
      </c>
    </row>
    <row r="59" ht="14.1" customHeight="1" s="259">
      <c r="A59" s="174">
        <f>A58+1</f>
        <v/>
      </c>
      <c r="B59" s="204" t="n"/>
      <c r="C59" s="205" t="n"/>
      <c r="D59" s="204" t="n"/>
      <c r="E59" s="206" t="n"/>
      <c r="F59" s="206" t="n"/>
      <c r="G59" s="206" t="n"/>
      <c r="H59" s="206" t="n"/>
      <c r="I59" s="206" t="n"/>
      <c r="J59" s="206" t="n"/>
      <c r="K59" s="206" t="n"/>
      <c r="L59" s="206" t="n"/>
      <c r="M59" s="206" t="n"/>
      <c r="N59" s="206" t="n"/>
      <c r="O59" s="206" t="n"/>
      <c r="P59" s="206" t="n"/>
      <c r="Q59" s="206" t="n"/>
      <c r="R59" s="206" t="n"/>
      <c r="S59" s="206" t="n"/>
      <c r="T59" s="204">
        <f>SUM(F59:S59)</f>
        <v/>
      </c>
      <c r="U59" s="207">
        <f>(HLOOKUP(B59,F:T,A59,FALSE)/T59)</f>
        <v/>
      </c>
      <c r="V59" s="189" t="n"/>
      <c r="W59" s="163">
        <f>YEAR(C59)</f>
        <v/>
      </c>
      <c r="X59" s="116">
        <f>MONTH(C59)</f>
        <v/>
      </c>
      <c r="Y59" s="116">
        <f>WEEKNUM(C59,21)</f>
        <v/>
      </c>
      <c r="Z59" s="122">
        <f>IFERROR(F59/$T59,0)</f>
        <v/>
      </c>
      <c r="AA59" s="122">
        <f>IFERROR(G59/$T59,0)</f>
        <v/>
      </c>
      <c r="AB59" s="122">
        <f>IFERROR(H59/$T59,0)</f>
        <v/>
      </c>
      <c r="AC59" s="122">
        <f>IFERROR(I59/$T59,0)</f>
        <v/>
      </c>
      <c r="AD59" s="122">
        <f>IFERROR(J59/$T59,0)</f>
        <v/>
      </c>
      <c r="AE59" s="122">
        <f>IFERROR(K59/$T59,0)</f>
        <v/>
      </c>
      <c r="AF59" s="122">
        <f>IFERROR(L59/$T59,0)</f>
        <v/>
      </c>
      <c r="AG59" s="122">
        <f>IFERROR(M59/$T59,0)</f>
        <v/>
      </c>
      <c r="AH59" s="122">
        <f>IFERROR(N59/$T59,0)</f>
        <v/>
      </c>
      <c r="AI59" s="122">
        <f>IFERROR(O59/$T59,0)</f>
        <v/>
      </c>
      <c r="AJ59" s="122">
        <f>IFERROR(P59/$T59,0)</f>
        <v/>
      </c>
      <c r="AK59" s="122">
        <f>IFERROR(Q59/$T59,0)</f>
        <v/>
      </c>
      <c r="AL59" s="122">
        <f>IFERROR(R59/$T59,0)</f>
        <v/>
      </c>
      <c r="AM59" s="122">
        <f>IFERROR(S59/$T59,0)</f>
        <v/>
      </c>
      <c r="AN59" s="122">
        <f>SUM(Z59:AC59)</f>
        <v/>
      </c>
      <c r="AO59" s="122">
        <f>SUM(AD59:AL59)</f>
        <v/>
      </c>
      <c r="AP59" s="122">
        <f>SUM(AM59,AB59)</f>
        <v/>
      </c>
      <c r="AQ59" s="122">
        <f>SUM(AA59)</f>
        <v/>
      </c>
      <c r="AR59" s="121">
        <f>(AP59+AQ59)-3%</f>
        <v/>
      </c>
      <c r="AS59" s="122">
        <f>SUM(AO59+AM59)</f>
        <v/>
      </c>
      <c r="AT59" s="122">
        <f>SUM(AH59+AN59)</f>
        <v/>
      </c>
      <c r="AU59" s="122">
        <f>SUM(AN59+AO59)</f>
        <v/>
      </c>
      <c r="AV59" s="122">
        <f>SUM(AN59+AD59+AE59+AF59+AG59+AH59+AJ59+AK59+AL59)</f>
        <v/>
      </c>
      <c r="AW59" s="122">
        <f>SUM(AD59+AE59+AF59+AG59+AI59+AJ59+AK59+AL59)</f>
        <v/>
      </c>
    </row>
    <row r="60" ht="14.1" customHeight="1" s="259">
      <c r="A60" s="174">
        <f>A59+1</f>
        <v/>
      </c>
      <c r="B60" s="204" t="n"/>
      <c r="C60" s="205" t="n"/>
      <c r="D60" s="204" t="n"/>
      <c r="E60" s="206" t="n"/>
      <c r="F60" s="206" t="n"/>
      <c r="G60" s="206" t="n"/>
      <c r="H60" s="206" t="n"/>
      <c r="I60" s="206" t="n"/>
      <c r="J60" s="206" t="n"/>
      <c r="K60" s="206" t="n"/>
      <c r="L60" s="206" t="n"/>
      <c r="M60" s="206" t="n"/>
      <c r="N60" s="206" t="n"/>
      <c r="O60" s="206" t="n"/>
      <c r="P60" s="206" t="n"/>
      <c r="Q60" s="206" t="n"/>
      <c r="R60" s="206" t="n"/>
      <c r="S60" s="206" t="n"/>
      <c r="T60" s="204">
        <f>SUM(F60:S60)</f>
        <v/>
      </c>
      <c r="U60" s="207">
        <f>(HLOOKUP(B60,F:T,A60,FALSE)/T60)</f>
        <v/>
      </c>
      <c r="V60" s="189" t="n"/>
      <c r="W60" s="163">
        <f>YEAR(C60)</f>
        <v/>
      </c>
      <c r="X60" s="116">
        <f>MONTH(C60)</f>
        <v/>
      </c>
      <c r="Y60" s="116">
        <f>WEEKNUM(C60,21)</f>
        <v/>
      </c>
      <c r="Z60" s="122">
        <f>IFERROR(F60/$T60,0)</f>
        <v/>
      </c>
      <c r="AA60" s="122">
        <f>IFERROR(G60/$T60,0)</f>
        <v/>
      </c>
      <c r="AB60" s="122">
        <f>IFERROR(H60/$T60,0)</f>
        <v/>
      </c>
      <c r="AC60" s="122">
        <f>IFERROR(I60/$T60,0)</f>
        <v/>
      </c>
      <c r="AD60" s="122">
        <f>IFERROR(J60/$T60,0)</f>
        <v/>
      </c>
      <c r="AE60" s="122">
        <f>IFERROR(K60/$T60,0)</f>
        <v/>
      </c>
      <c r="AF60" s="122">
        <f>IFERROR(L60/$T60,0)</f>
        <v/>
      </c>
      <c r="AG60" s="122">
        <f>IFERROR(M60/$T60,0)</f>
        <v/>
      </c>
      <c r="AH60" s="122">
        <f>IFERROR(N60/$T60,0)</f>
        <v/>
      </c>
      <c r="AI60" s="122">
        <f>IFERROR(O60/$T60,0)</f>
        <v/>
      </c>
      <c r="AJ60" s="122">
        <f>IFERROR(P60/$T60,0)</f>
        <v/>
      </c>
      <c r="AK60" s="122">
        <f>IFERROR(Q60/$T60,0)</f>
        <v/>
      </c>
      <c r="AL60" s="122">
        <f>IFERROR(R60/$T60,0)</f>
        <v/>
      </c>
      <c r="AM60" s="122">
        <f>IFERROR(S60/$T60,0)</f>
        <v/>
      </c>
      <c r="AN60" s="122">
        <f>SUM(Z60:AC60)</f>
        <v/>
      </c>
      <c r="AO60" s="122">
        <f>SUM(AD60:AL60)</f>
        <v/>
      </c>
      <c r="AP60" s="122">
        <f>SUM(AM60,AB60)</f>
        <v/>
      </c>
      <c r="AQ60" s="122">
        <f>SUM(AA60)</f>
        <v/>
      </c>
      <c r="AR60" s="121">
        <f>(AP60+AQ60)-3%</f>
        <v/>
      </c>
      <c r="AS60" s="122">
        <f>SUM(AO60+AM60)</f>
        <v/>
      </c>
      <c r="AT60" s="122">
        <f>SUM(AH60+AN60)</f>
        <v/>
      </c>
      <c r="AU60" s="122">
        <f>SUM(AN60+AO60)</f>
        <v/>
      </c>
      <c r="AV60" s="122">
        <f>SUM(AN60+AD60+AE60+AF60+AG60+AH60+AJ60+AK60+AL60)</f>
        <v/>
      </c>
      <c r="AW60" s="122">
        <f>SUM(AD60+AE60+AF60+AG60+AI60+AJ60+AK60+AL60)</f>
        <v/>
      </c>
    </row>
    <row r="61" ht="14.1" customHeight="1" s="259">
      <c r="A61" s="174">
        <f>A60+1</f>
        <v/>
      </c>
      <c r="B61" s="199" t="n"/>
      <c r="C61" s="200" t="n"/>
      <c r="D61" s="199" t="n"/>
      <c r="E61" s="201" t="n"/>
      <c r="F61" s="201" t="n"/>
      <c r="G61" s="201" t="n"/>
      <c r="H61" s="201" t="n"/>
      <c r="I61" s="201" t="n"/>
      <c r="J61" s="201" t="n"/>
      <c r="K61" s="201" t="n"/>
      <c r="L61" s="201" t="n"/>
      <c r="M61" s="201" t="n"/>
      <c r="N61" s="201" t="n"/>
      <c r="O61" s="201" t="n"/>
      <c r="P61" s="201" t="n"/>
      <c r="Q61" s="201" t="n"/>
      <c r="R61" s="201" t="n"/>
      <c r="S61" s="201" t="n"/>
      <c r="T61" s="204">
        <f>SUM(F61:S61)</f>
        <v/>
      </c>
      <c r="U61" s="202">
        <f>(HLOOKUP(B61,F:T,A61,FALSE)/T61)</f>
        <v/>
      </c>
      <c r="V61" s="189" t="n"/>
      <c r="W61" s="163">
        <f>YEAR(C61)</f>
        <v/>
      </c>
      <c r="X61" s="116">
        <f>MONTH(C61)</f>
        <v/>
      </c>
      <c r="Y61" s="116">
        <f>WEEKNUM(C61,21)</f>
        <v/>
      </c>
      <c r="Z61" s="122">
        <f>IFERROR(F61/$T61,0)</f>
        <v/>
      </c>
      <c r="AA61" s="122">
        <f>IFERROR(G61/$T61,0)</f>
        <v/>
      </c>
      <c r="AB61" s="122">
        <f>IFERROR(H61/$T61,0)</f>
        <v/>
      </c>
      <c r="AC61" s="122">
        <f>IFERROR(I61/$T61,0)</f>
        <v/>
      </c>
      <c r="AD61" s="122">
        <f>IFERROR(J61/$T61,0)</f>
        <v/>
      </c>
      <c r="AE61" s="122">
        <f>IFERROR(K61/$T61,0)</f>
        <v/>
      </c>
      <c r="AF61" s="122">
        <f>IFERROR(L61/$T61,0)</f>
        <v/>
      </c>
      <c r="AG61" s="122">
        <f>IFERROR(M61/$T61,0)</f>
        <v/>
      </c>
      <c r="AH61" s="122">
        <f>IFERROR(N61/$T61,0)</f>
        <v/>
      </c>
      <c r="AI61" s="122">
        <f>IFERROR(O61/$T61,0)</f>
        <v/>
      </c>
      <c r="AJ61" s="122">
        <f>IFERROR(P61/$T61,0)</f>
        <v/>
      </c>
      <c r="AK61" s="122">
        <f>IFERROR(Q61/$T61,0)</f>
        <v/>
      </c>
      <c r="AL61" s="122">
        <f>IFERROR(R61/$T61,0)</f>
        <v/>
      </c>
      <c r="AM61" s="122">
        <f>IFERROR(S61/$T61,0)</f>
        <v/>
      </c>
      <c r="AN61" s="122">
        <f>SUM(Z61:AC61)</f>
        <v/>
      </c>
      <c r="AO61" s="122">
        <f>SUM(AD61:AL61)</f>
        <v/>
      </c>
      <c r="AP61" s="122">
        <f>SUM(AM61,AB61)</f>
        <v/>
      </c>
      <c r="AQ61" s="122">
        <f>SUM(AA61)</f>
        <v/>
      </c>
      <c r="AR61" s="121">
        <f>(AP61+AQ61)-3%</f>
        <v/>
      </c>
      <c r="AS61" s="122">
        <f>SUM(AO61+AM61)</f>
        <v/>
      </c>
      <c r="AT61" s="122">
        <f>SUM(AH61+AN61)</f>
        <v/>
      </c>
      <c r="AU61" s="122">
        <f>SUM(AN61+AO61)</f>
        <v/>
      </c>
      <c r="AV61" s="122">
        <f>SUM(AN61+AD61+AE61+AF61+AG61+AH61+AJ61+AK61+AL61)</f>
        <v/>
      </c>
      <c r="AW61" s="122">
        <f>SUM(AD61+AE61+AF61+AG61+AI61+AJ61+AK61+AL61)</f>
        <v/>
      </c>
    </row>
    <row r="62" ht="14.1" customHeight="1" s="259">
      <c r="A62" s="174">
        <f>A61+1</f>
        <v/>
      </c>
      <c r="B62" s="199" t="n"/>
      <c r="C62" s="200" t="n"/>
      <c r="D62" s="199" t="n"/>
      <c r="E62" s="201" t="n"/>
      <c r="F62" s="201" t="n"/>
      <c r="G62" s="201" t="n"/>
      <c r="H62" s="201" t="n"/>
      <c r="I62" s="201" t="n"/>
      <c r="J62" s="201" t="n"/>
      <c r="K62" s="201" t="n"/>
      <c r="L62" s="201" t="n"/>
      <c r="M62" s="201" t="n"/>
      <c r="N62" s="201" t="n"/>
      <c r="O62" s="201" t="n"/>
      <c r="P62" s="201" t="n"/>
      <c r="Q62" s="201" t="n"/>
      <c r="R62" s="201" t="n"/>
      <c r="S62" s="201" t="n"/>
      <c r="T62" s="204">
        <f>SUM(F62:S62)</f>
        <v/>
      </c>
      <c r="U62" s="202">
        <f>(HLOOKUP(B62,F:T,A62,FALSE)/T62)</f>
        <v/>
      </c>
      <c r="V62" s="189" t="n"/>
      <c r="W62" s="163">
        <f>YEAR(C62)</f>
        <v/>
      </c>
      <c r="X62" s="116">
        <f>MONTH(C62)</f>
        <v/>
      </c>
      <c r="Y62" s="116">
        <f>WEEKNUM(C62,21)</f>
        <v/>
      </c>
      <c r="Z62" s="122">
        <f>IFERROR(F62/$T62,0)</f>
        <v/>
      </c>
      <c r="AA62" s="122">
        <f>IFERROR(G62/$T62,0)</f>
        <v/>
      </c>
      <c r="AB62" s="122">
        <f>IFERROR(H62/$T62,0)</f>
        <v/>
      </c>
      <c r="AC62" s="122">
        <f>IFERROR(I62/$T62,0)</f>
        <v/>
      </c>
      <c r="AD62" s="122">
        <f>IFERROR(J62/$T62,0)</f>
        <v/>
      </c>
      <c r="AE62" s="122">
        <f>IFERROR(K62/$T62,0)</f>
        <v/>
      </c>
      <c r="AF62" s="122">
        <f>IFERROR(L62/$T62,0)</f>
        <v/>
      </c>
      <c r="AG62" s="122">
        <f>IFERROR(M62/$T62,0)</f>
        <v/>
      </c>
      <c r="AH62" s="122">
        <f>IFERROR(N62/$T62,0)</f>
        <v/>
      </c>
      <c r="AI62" s="122">
        <f>IFERROR(O62/$T62,0)</f>
        <v/>
      </c>
      <c r="AJ62" s="122">
        <f>IFERROR(P62/$T62,0)</f>
        <v/>
      </c>
      <c r="AK62" s="122">
        <f>IFERROR(Q62/$T62,0)</f>
        <v/>
      </c>
      <c r="AL62" s="122">
        <f>IFERROR(R62/$T62,0)</f>
        <v/>
      </c>
      <c r="AM62" s="122">
        <f>IFERROR(S62/$T62,0)</f>
        <v/>
      </c>
      <c r="AN62" s="122">
        <f>SUM(Z62:AC62)</f>
        <v/>
      </c>
      <c r="AO62" s="122">
        <f>SUM(AD62:AL62)</f>
        <v/>
      </c>
      <c r="AP62" s="122">
        <f>SUM(AM62,AB62)</f>
        <v/>
      </c>
      <c r="AQ62" s="122">
        <f>SUM(AA62)</f>
        <v/>
      </c>
      <c r="AR62" s="121">
        <f>(AP62+AQ62)-3%</f>
        <v/>
      </c>
      <c r="AS62" s="122">
        <f>SUM(AO62+AM62)</f>
        <v/>
      </c>
      <c r="AT62" s="122">
        <f>SUM(AH62+AN62)</f>
        <v/>
      </c>
      <c r="AU62" s="122">
        <f>SUM(AN62+AO62)</f>
        <v/>
      </c>
      <c r="AV62" s="122">
        <f>SUM(AN62+AD62+AE62+AF62+AG62+AH62+AJ62+AK62+AL62)</f>
        <v/>
      </c>
      <c r="AW62" s="122">
        <f>SUM(AD62+AE62+AF62+AG62+AI62+AJ62+AK62+AL62)</f>
        <v/>
      </c>
    </row>
    <row r="63" ht="14.1" customHeight="1" s="259">
      <c r="A63" s="174">
        <f>A62+1</f>
        <v/>
      </c>
      <c r="B63" s="204" t="n"/>
      <c r="C63" s="205" t="n"/>
      <c r="D63" s="204" t="n"/>
      <c r="E63" s="206" t="n"/>
      <c r="F63" s="206" t="n"/>
      <c r="G63" s="206" t="n"/>
      <c r="H63" s="206" t="n"/>
      <c r="I63" s="206" t="n"/>
      <c r="J63" s="206" t="n"/>
      <c r="K63" s="206" t="n"/>
      <c r="L63" s="206" t="n"/>
      <c r="M63" s="206" t="n"/>
      <c r="N63" s="206" t="n"/>
      <c r="O63" s="206" t="n"/>
      <c r="P63" s="206" t="n"/>
      <c r="Q63" s="206" t="n"/>
      <c r="R63" s="206" t="n"/>
      <c r="S63" s="206" t="n"/>
      <c r="T63" s="204">
        <f>SUM(F63:S63)</f>
        <v/>
      </c>
      <c r="U63" s="207">
        <f>(HLOOKUP(B63,F:T,A63,FALSE)/T63)</f>
        <v/>
      </c>
      <c r="V63" s="189" t="n"/>
      <c r="W63" s="163">
        <f>YEAR(C63)</f>
        <v/>
      </c>
      <c r="X63" s="116">
        <f>MONTH(C63)</f>
        <v/>
      </c>
      <c r="Y63" s="116">
        <f>WEEKNUM(C63,21)</f>
        <v/>
      </c>
      <c r="Z63" s="122">
        <f>IFERROR(F63/$T63,0)</f>
        <v/>
      </c>
      <c r="AA63" s="122">
        <f>IFERROR(G63/$T63,0)</f>
        <v/>
      </c>
      <c r="AB63" s="122">
        <f>IFERROR(H63/$T63,0)</f>
        <v/>
      </c>
      <c r="AC63" s="122">
        <f>IFERROR(I63/$T63,0)</f>
        <v/>
      </c>
      <c r="AD63" s="122">
        <f>IFERROR(J63/$T63,0)</f>
        <v/>
      </c>
      <c r="AE63" s="122">
        <f>IFERROR(K63/$T63,0)</f>
        <v/>
      </c>
      <c r="AF63" s="122">
        <f>IFERROR(L63/$T63,0)</f>
        <v/>
      </c>
      <c r="AG63" s="122">
        <f>IFERROR(M63/$T63,0)</f>
        <v/>
      </c>
      <c r="AH63" s="122">
        <f>IFERROR(N63/$T63,0)</f>
        <v/>
      </c>
      <c r="AI63" s="122">
        <f>IFERROR(O63/$T63,0)</f>
        <v/>
      </c>
      <c r="AJ63" s="122">
        <f>IFERROR(P63/$T63,0)</f>
        <v/>
      </c>
      <c r="AK63" s="122">
        <f>IFERROR(Q63/$T63,0)</f>
        <v/>
      </c>
      <c r="AL63" s="122">
        <f>IFERROR(R63/$T63,0)</f>
        <v/>
      </c>
      <c r="AM63" s="122">
        <f>IFERROR(S63/$T63,0)</f>
        <v/>
      </c>
      <c r="AN63" s="122">
        <f>SUM(Z63:AC63)</f>
        <v/>
      </c>
      <c r="AO63" s="122">
        <f>SUM(AD63:AL63)</f>
        <v/>
      </c>
      <c r="AP63" s="122">
        <f>SUM(AM63,AB63)</f>
        <v/>
      </c>
      <c r="AQ63" s="122">
        <f>SUM(AA63)</f>
        <v/>
      </c>
      <c r="AR63" s="121">
        <f>(AP63+AQ63)-3%</f>
        <v/>
      </c>
      <c r="AS63" s="122">
        <f>SUM(AO63+AM63)</f>
        <v/>
      </c>
      <c r="AT63" s="122">
        <f>SUM(AH63+AN63)</f>
        <v/>
      </c>
      <c r="AU63" s="122">
        <f>SUM(AN63+AO63)</f>
        <v/>
      </c>
      <c r="AV63" s="122">
        <f>SUM(AN63+AD63+AE63+AF63+AG63+AH63+AJ63+AK63+AL63)</f>
        <v/>
      </c>
      <c r="AW63" s="122">
        <f>SUM(AD63+AE63+AF63+AG63+AI63+AJ63+AK63+AL63)</f>
        <v/>
      </c>
    </row>
    <row r="64" ht="14.1" customHeight="1" s="259">
      <c r="A64" s="174">
        <f>A63+1</f>
        <v/>
      </c>
      <c r="B64" s="204" t="n"/>
      <c r="C64" s="205" t="n"/>
      <c r="D64" s="204" t="n"/>
      <c r="E64" s="206" t="n"/>
      <c r="F64" s="206" t="n"/>
      <c r="G64" s="206" t="n"/>
      <c r="H64" s="206" t="n"/>
      <c r="I64" s="206" t="n"/>
      <c r="J64" s="206" t="n"/>
      <c r="K64" s="206" t="n"/>
      <c r="L64" s="206" t="n"/>
      <c r="M64" s="206" t="n"/>
      <c r="N64" s="206" t="n"/>
      <c r="O64" s="206" t="n"/>
      <c r="P64" s="206" t="n"/>
      <c r="Q64" s="206" t="n"/>
      <c r="R64" s="206" t="n"/>
      <c r="S64" s="206" t="n"/>
      <c r="T64" s="204">
        <f>SUM(F64:S64)</f>
        <v/>
      </c>
      <c r="U64" s="207">
        <f>(HLOOKUP(B64,F:T,A64,FALSE)/T64)</f>
        <v/>
      </c>
      <c r="V64" s="189" t="n"/>
      <c r="W64" s="163">
        <f>YEAR(C64)</f>
        <v/>
      </c>
      <c r="X64" s="116">
        <f>MONTH(C64)</f>
        <v/>
      </c>
      <c r="Y64" s="116">
        <f>WEEKNUM(C64,21)</f>
        <v/>
      </c>
      <c r="Z64" s="122">
        <f>IFERROR(F64/$T64,0)</f>
        <v/>
      </c>
      <c r="AA64" s="122">
        <f>IFERROR(G64/$T64,0)</f>
        <v/>
      </c>
      <c r="AB64" s="122">
        <f>IFERROR(H64/$T64,0)</f>
        <v/>
      </c>
      <c r="AC64" s="122">
        <f>IFERROR(I64/$T64,0)</f>
        <v/>
      </c>
      <c r="AD64" s="122">
        <f>IFERROR(J64/$T64,0)</f>
        <v/>
      </c>
      <c r="AE64" s="122">
        <f>IFERROR(K64/$T64,0)</f>
        <v/>
      </c>
      <c r="AF64" s="122">
        <f>IFERROR(L64/$T64,0)</f>
        <v/>
      </c>
      <c r="AG64" s="122">
        <f>IFERROR(M64/$T64,0)</f>
        <v/>
      </c>
      <c r="AH64" s="122">
        <f>IFERROR(N64/$T64,0)</f>
        <v/>
      </c>
      <c r="AI64" s="122">
        <f>IFERROR(O64/$T64,0)</f>
        <v/>
      </c>
      <c r="AJ64" s="122">
        <f>IFERROR(P64/$T64,0)</f>
        <v/>
      </c>
      <c r="AK64" s="122">
        <f>IFERROR(Q64/$T64,0)</f>
        <v/>
      </c>
      <c r="AL64" s="122">
        <f>IFERROR(R64/$T64,0)</f>
        <v/>
      </c>
      <c r="AM64" s="122">
        <f>IFERROR(S64/$T64,0)</f>
        <v/>
      </c>
      <c r="AN64" s="122">
        <f>SUM(Z64:AC64)</f>
        <v/>
      </c>
      <c r="AO64" s="122">
        <f>SUM(AD64:AL64)</f>
        <v/>
      </c>
      <c r="AP64" s="122">
        <f>SUM(AM64,AB64)</f>
        <v/>
      </c>
      <c r="AQ64" s="122">
        <f>SUM(AA64)</f>
        <v/>
      </c>
      <c r="AR64" s="121">
        <f>(AP64+AQ64)-3%</f>
        <v/>
      </c>
      <c r="AS64" s="122">
        <f>SUM(AO64+AM64)</f>
        <v/>
      </c>
      <c r="AT64" s="122">
        <f>SUM(AH64+AN64)</f>
        <v/>
      </c>
      <c r="AU64" s="122">
        <f>SUM(AN64+AO64)</f>
        <v/>
      </c>
      <c r="AV64" s="122">
        <f>SUM(AN64+AD64+AE64+AF64+AG64+AH64+AJ64+AK64+AL64)</f>
        <v/>
      </c>
      <c r="AW64" s="122">
        <f>SUM(AD64+AE64+AF64+AG64+AI64+AJ64+AK64+AL64)</f>
        <v/>
      </c>
    </row>
    <row r="65" ht="14.1" customHeight="1" s="259">
      <c r="A65" s="174">
        <f>A64+1</f>
        <v/>
      </c>
      <c r="B65" s="204" t="n"/>
      <c r="C65" s="205" t="n"/>
      <c r="D65" s="204" t="n"/>
      <c r="E65" s="206" t="n"/>
      <c r="F65" s="206" t="n"/>
      <c r="G65" s="206" t="n"/>
      <c r="H65" s="206" t="n"/>
      <c r="I65" s="206" t="n"/>
      <c r="J65" s="206" t="n"/>
      <c r="K65" s="206" t="n"/>
      <c r="L65" s="206" t="n"/>
      <c r="M65" s="206" t="n"/>
      <c r="N65" s="206" t="n"/>
      <c r="O65" s="206" t="n"/>
      <c r="P65" s="206" t="n"/>
      <c r="Q65" s="206" t="n"/>
      <c r="R65" s="206" t="n"/>
      <c r="S65" s="206" t="n"/>
      <c r="T65" s="204">
        <f>SUM(F65:S65)</f>
        <v/>
      </c>
      <c r="U65" s="207">
        <f>(HLOOKUP(B65,F:T,A65,FALSE)/T65)</f>
        <v/>
      </c>
      <c r="V65" s="189" t="n"/>
      <c r="W65" s="163">
        <f>YEAR(C65)</f>
        <v/>
      </c>
      <c r="X65" s="116">
        <f>MONTH(C65)</f>
        <v/>
      </c>
      <c r="Y65" s="116">
        <f>WEEKNUM(C65,21)</f>
        <v/>
      </c>
      <c r="Z65" s="122">
        <f>IFERROR(F65/$T65,0)</f>
        <v/>
      </c>
      <c r="AA65" s="122">
        <f>IFERROR(G65/$T65,0)</f>
        <v/>
      </c>
      <c r="AB65" s="122">
        <f>IFERROR(H65/$T65,0)</f>
        <v/>
      </c>
      <c r="AC65" s="122">
        <f>IFERROR(I65/$T65,0)</f>
        <v/>
      </c>
      <c r="AD65" s="122">
        <f>IFERROR(J65/$T65,0)</f>
        <v/>
      </c>
      <c r="AE65" s="122">
        <f>IFERROR(K65/$T65,0)</f>
        <v/>
      </c>
      <c r="AF65" s="122">
        <f>IFERROR(L65/$T65,0)</f>
        <v/>
      </c>
      <c r="AG65" s="122">
        <f>IFERROR(M65/$T65,0)</f>
        <v/>
      </c>
      <c r="AH65" s="122">
        <f>IFERROR(N65/$T65,0)</f>
        <v/>
      </c>
      <c r="AI65" s="122">
        <f>IFERROR(O65/$T65,0)</f>
        <v/>
      </c>
      <c r="AJ65" s="122">
        <f>IFERROR(P65/$T65,0)</f>
        <v/>
      </c>
      <c r="AK65" s="122">
        <f>IFERROR(Q65/$T65,0)</f>
        <v/>
      </c>
      <c r="AL65" s="122">
        <f>IFERROR(R65/$T65,0)</f>
        <v/>
      </c>
      <c r="AM65" s="122">
        <f>IFERROR(S65/$T65,0)</f>
        <v/>
      </c>
      <c r="AN65" s="122">
        <f>SUM(Z65:AC65)</f>
        <v/>
      </c>
      <c r="AO65" s="122">
        <f>SUM(AD65:AL65)</f>
        <v/>
      </c>
      <c r="AP65" s="122">
        <f>SUM(AM65,AB65)</f>
        <v/>
      </c>
      <c r="AQ65" s="122">
        <f>SUM(AA65)</f>
        <v/>
      </c>
      <c r="AR65" s="121">
        <f>(AP65+AQ65)-3%</f>
        <v/>
      </c>
      <c r="AS65" s="122">
        <f>SUM(AO65+AM65)</f>
        <v/>
      </c>
      <c r="AT65" s="122">
        <f>SUM(AH65+AN65)</f>
        <v/>
      </c>
      <c r="AU65" s="122">
        <f>SUM(AN65+AO65)</f>
        <v/>
      </c>
      <c r="AV65" s="122">
        <f>SUM(AN65+AD65+AE65+AF65+AG65+AH65+AJ65+AK65+AL65)</f>
        <v/>
      </c>
      <c r="AW65" s="122">
        <f>SUM(AD65+AE65+AF65+AG65+AI65+AJ65+AK65+AL65)</f>
        <v/>
      </c>
    </row>
    <row r="66" ht="14.1" customHeight="1" s="259">
      <c r="A66" s="174">
        <f>A65+1</f>
        <v/>
      </c>
      <c r="B66" s="204" t="n"/>
      <c r="C66" s="205" t="n"/>
      <c r="D66" s="204" t="n"/>
      <c r="E66" s="206" t="n"/>
      <c r="F66" s="206" t="n"/>
      <c r="G66" s="206" t="n"/>
      <c r="H66" s="206" t="n"/>
      <c r="I66" s="206" t="n"/>
      <c r="J66" s="206" t="n"/>
      <c r="K66" s="206" t="n"/>
      <c r="L66" s="206" t="n"/>
      <c r="M66" s="206" t="n"/>
      <c r="N66" s="206" t="n"/>
      <c r="O66" s="206" t="n"/>
      <c r="P66" s="206" t="n"/>
      <c r="Q66" s="206" t="n"/>
      <c r="R66" s="206" t="n"/>
      <c r="S66" s="206" t="n"/>
      <c r="T66" s="204">
        <f>SUM(F66:S66)</f>
        <v/>
      </c>
      <c r="U66" s="207">
        <f>(HLOOKUP(B66,F:T,A66,FALSE)/T66)</f>
        <v/>
      </c>
      <c r="V66" s="189" t="n"/>
      <c r="W66" s="163">
        <f>YEAR(C66)</f>
        <v/>
      </c>
      <c r="X66" s="116">
        <f>MONTH(C66)</f>
        <v/>
      </c>
      <c r="Y66" s="116">
        <f>WEEKNUM(C66,21)</f>
        <v/>
      </c>
      <c r="Z66" s="122">
        <f>IFERROR(F66/$T66,0)</f>
        <v/>
      </c>
      <c r="AA66" s="122">
        <f>IFERROR(G66/$T66,0)</f>
        <v/>
      </c>
      <c r="AB66" s="122">
        <f>IFERROR(H66/$T66,0)</f>
        <v/>
      </c>
      <c r="AC66" s="122">
        <f>IFERROR(I66/$T66,0)</f>
        <v/>
      </c>
      <c r="AD66" s="122">
        <f>IFERROR(J66/$T66,0)</f>
        <v/>
      </c>
      <c r="AE66" s="122">
        <f>IFERROR(K66/$T66,0)</f>
        <v/>
      </c>
      <c r="AF66" s="122">
        <f>IFERROR(L66/$T66,0)</f>
        <v/>
      </c>
      <c r="AG66" s="122">
        <f>IFERROR(M66/$T66,0)</f>
        <v/>
      </c>
      <c r="AH66" s="122">
        <f>IFERROR(N66/$T66,0)</f>
        <v/>
      </c>
      <c r="AI66" s="122">
        <f>IFERROR(O66/$T66,0)</f>
        <v/>
      </c>
      <c r="AJ66" s="122">
        <f>IFERROR(P66/$T66,0)</f>
        <v/>
      </c>
      <c r="AK66" s="122">
        <f>IFERROR(Q66/$T66,0)</f>
        <v/>
      </c>
      <c r="AL66" s="122">
        <f>IFERROR(R66/$T66,0)</f>
        <v/>
      </c>
      <c r="AM66" s="122">
        <f>IFERROR(S66/$T66,0)</f>
        <v/>
      </c>
      <c r="AN66" s="122">
        <f>SUM(Z66:AC66)</f>
        <v/>
      </c>
      <c r="AO66" s="122">
        <f>SUM(AD66:AL66)</f>
        <v/>
      </c>
      <c r="AP66" s="122">
        <f>SUM(AM66,AB66)</f>
        <v/>
      </c>
      <c r="AQ66" s="122">
        <f>SUM(AA66)</f>
        <v/>
      </c>
      <c r="AR66" s="121">
        <f>(AP66+AQ66)-3%</f>
        <v/>
      </c>
      <c r="AS66" s="122">
        <f>SUM(AO66+AM66)</f>
        <v/>
      </c>
      <c r="AT66" s="122">
        <f>SUM(AH66+AN66)</f>
        <v/>
      </c>
      <c r="AU66" s="122">
        <f>SUM(AN66+AO66)</f>
        <v/>
      </c>
      <c r="AV66" s="122">
        <f>SUM(AN66+AD66+AE66+AF66+AG66+AH66+AJ66+AK66+AL66)</f>
        <v/>
      </c>
      <c r="AW66" s="122">
        <f>SUM(AD66+AE66+AF66+AG66+AI66+AJ66+AK66+AL66)</f>
        <v/>
      </c>
    </row>
    <row r="67" ht="14.1" customHeight="1" s="259">
      <c r="A67" s="174">
        <f>A66+1</f>
        <v/>
      </c>
      <c r="B67" s="204" t="n"/>
      <c r="C67" s="205" t="n"/>
      <c r="D67" s="204" t="n"/>
      <c r="E67" s="206" t="n"/>
      <c r="F67" s="206" t="n"/>
      <c r="G67" s="206" t="n"/>
      <c r="H67" s="206" t="n"/>
      <c r="I67" s="206" t="n"/>
      <c r="J67" s="206" t="n"/>
      <c r="K67" s="206" t="n"/>
      <c r="L67" s="206" t="n"/>
      <c r="M67" s="206" t="n"/>
      <c r="N67" s="206" t="n"/>
      <c r="O67" s="206" t="n"/>
      <c r="P67" s="206" t="n"/>
      <c r="Q67" s="206" t="n"/>
      <c r="R67" s="206" t="n"/>
      <c r="S67" s="206" t="n"/>
      <c r="T67" s="204">
        <f>SUM(F67:S67)</f>
        <v/>
      </c>
      <c r="U67" s="207">
        <f>(HLOOKUP(B67,F:T,A67,FALSE)/T67)</f>
        <v/>
      </c>
      <c r="V67" s="189" t="n"/>
      <c r="W67" s="163">
        <f>YEAR(C67)</f>
        <v/>
      </c>
      <c r="X67" s="116">
        <f>MONTH(C67)</f>
        <v/>
      </c>
      <c r="Y67" s="116">
        <f>WEEKNUM(C67,21)</f>
        <v/>
      </c>
      <c r="Z67" s="122">
        <f>IFERROR(F67/$T67,0)</f>
        <v/>
      </c>
      <c r="AA67" s="122">
        <f>IFERROR(G67/$T67,0)</f>
        <v/>
      </c>
      <c r="AB67" s="122">
        <f>IFERROR(H67/$T67,0)</f>
        <v/>
      </c>
      <c r="AC67" s="122">
        <f>IFERROR(I67/$T67,0)</f>
        <v/>
      </c>
      <c r="AD67" s="122">
        <f>IFERROR(J67/$T67,0)</f>
        <v/>
      </c>
      <c r="AE67" s="122">
        <f>IFERROR(K67/$T67,0)</f>
        <v/>
      </c>
      <c r="AF67" s="122">
        <f>IFERROR(L67/$T67,0)</f>
        <v/>
      </c>
      <c r="AG67" s="122">
        <f>IFERROR(M67/$T67,0)</f>
        <v/>
      </c>
      <c r="AH67" s="122">
        <f>IFERROR(N67/$T67,0)</f>
        <v/>
      </c>
      <c r="AI67" s="122">
        <f>IFERROR(O67/$T67,0)</f>
        <v/>
      </c>
      <c r="AJ67" s="122">
        <f>IFERROR(P67/$T67,0)</f>
        <v/>
      </c>
      <c r="AK67" s="122">
        <f>IFERROR(Q67/$T67,0)</f>
        <v/>
      </c>
      <c r="AL67" s="122">
        <f>IFERROR(R67/$T67,0)</f>
        <v/>
      </c>
      <c r="AM67" s="122">
        <f>IFERROR(S67/$T67,0)</f>
        <v/>
      </c>
      <c r="AN67" s="122">
        <f>SUM(Z67:AC67)</f>
        <v/>
      </c>
      <c r="AO67" s="122">
        <f>SUM(AD67:AL67)</f>
        <v/>
      </c>
      <c r="AP67" s="122">
        <f>SUM(AM67,AB67)</f>
        <v/>
      </c>
      <c r="AQ67" s="122">
        <f>SUM(AA67)</f>
        <v/>
      </c>
      <c r="AR67" s="121">
        <f>(AP67+AQ67)-3%</f>
        <v/>
      </c>
      <c r="AS67" s="122">
        <f>SUM(AO67+AM67)</f>
        <v/>
      </c>
      <c r="AT67" s="122">
        <f>SUM(AH67+AN67)</f>
        <v/>
      </c>
      <c r="AU67" s="122">
        <f>SUM(AN67+AO67)</f>
        <v/>
      </c>
      <c r="AV67" s="122">
        <f>SUM(AN67+AD67+AE67+AF67+AG67+AH67+AJ67+AK67+AL67)</f>
        <v/>
      </c>
      <c r="AW67" s="122">
        <f>SUM(AD67+AE67+AF67+AG67+AI67+AJ67+AK67+AL67)</f>
        <v/>
      </c>
    </row>
    <row r="68" ht="14.1" customHeight="1" s="259">
      <c r="A68" s="174">
        <f>A67+1</f>
        <v/>
      </c>
      <c r="B68" s="204" t="n"/>
      <c r="C68" s="205" t="n"/>
      <c r="D68" s="204" t="n"/>
      <c r="E68" s="206" t="n"/>
      <c r="F68" s="206" t="n"/>
      <c r="G68" s="206" t="n"/>
      <c r="H68" s="206" t="n"/>
      <c r="I68" s="206" t="n"/>
      <c r="J68" s="206" t="n"/>
      <c r="K68" s="206" t="n"/>
      <c r="L68" s="206" t="n"/>
      <c r="M68" s="206" t="n"/>
      <c r="N68" s="206" t="n"/>
      <c r="O68" s="206" t="n"/>
      <c r="P68" s="206" t="n"/>
      <c r="Q68" s="206" t="n"/>
      <c r="R68" s="206" t="n"/>
      <c r="S68" s="206" t="n"/>
      <c r="T68" s="204">
        <f>SUM(F68:S68)</f>
        <v/>
      </c>
      <c r="U68" s="207">
        <f>(HLOOKUP(B68,F:T,A68,FALSE)/T68)</f>
        <v/>
      </c>
      <c r="V68" s="189" t="n"/>
      <c r="W68" s="163">
        <f>YEAR(C68)</f>
        <v/>
      </c>
      <c r="X68" s="116">
        <f>MONTH(C68)</f>
        <v/>
      </c>
      <c r="Y68" s="116">
        <f>WEEKNUM(C68,21)</f>
        <v/>
      </c>
      <c r="Z68" s="122">
        <f>IFERROR(F68/$T68,0)</f>
        <v/>
      </c>
      <c r="AA68" s="122">
        <f>IFERROR(G68/$T68,0)</f>
        <v/>
      </c>
      <c r="AB68" s="122">
        <f>IFERROR(H68/$T68,0)</f>
        <v/>
      </c>
      <c r="AC68" s="122">
        <f>IFERROR(I68/$T68,0)</f>
        <v/>
      </c>
      <c r="AD68" s="122">
        <f>IFERROR(J68/$T68,0)</f>
        <v/>
      </c>
      <c r="AE68" s="122">
        <f>IFERROR(K68/$T68,0)</f>
        <v/>
      </c>
      <c r="AF68" s="122">
        <f>IFERROR(L68/$T68,0)</f>
        <v/>
      </c>
      <c r="AG68" s="122">
        <f>IFERROR(M68/$T68,0)</f>
        <v/>
      </c>
      <c r="AH68" s="122">
        <f>IFERROR(N68/$T68,0)</f>
        <v/>
      </c>
      <c r="AI68" s="122">
        <f>IFERROR(O68/$T68,0)</f>
        <v/>
      </c>
      <c r="AJ68" s="122">
        <f>IFERROR(P68/$T68,0)</f>
        <v/>
      </c>
      <c r="AK68" s="122">
        <f>IFERROR(Q68/$T68,0)</f>
        <v/>
      </c>
      <c r="AL68" s="122">
        <f>IFERROR(R68/$T68,0)</f>
        <v/>
      </c>
      <c r="AM68" s="122">
        <f>IFERROR(S68/$T68,0)</f>
        <v/>
      </c>
      <c r="AN68" s="122">
        <f>SUM(Z68:AC68)</f>
        <v/>
      </c>
      <c r="AO68" s="122">
        <f>SUM(AD68:AL68)</f>
        <v/>
      </c>
      <c r="AP68" s="122">
        <f>SUM(AM68,AB68)</f>
        <v/>
      </c>
      <c r="AQ68" s="122">
        <f>SUM(AA68)</f>
        <v/>
      </c>
      <c r="AR68" s="121">
        <f>(AP68+AQ68)-3%</f>
        <v/>
      </c>
      <c r="AS68" s="122">
        <f>SUM(AO68+AM68)</f>
        <v/>
      </c>
      <c r="AT68" s="122">
        <f>SUM(AH68+AN68)</f>
        <v/>
      </c>
      <c r="AU68" s="122">
        <f>SUM(AN68+AO68)</f>
        <v/>
      </c>
      <c r="AV68" s="122">
        <f>SUM(AN68+AD68+AE68+AF68+AG68+AH68+AJ68+AK68+AL68)</f>
        <v/>
      </c>
      <c r="AW68" s="122">
        <f>SUM(AD68+AE68+AF68+AG68+AI68+AJ68+AK68+AL68)</f>
        <v/>
      </c>
    </row>
    <row r="69" ht="14.1" customHeight="1" s="259">
      <c r="A69" s="174">
        <f>A68+1</f>
        <v/>
      </c>
      <c r="B69" s="204" t="n"/>
      <c r="C69" s="205" t="n"/>
      <c r="D69" s="204" t="n"/>
      <c r="E69" s="206" t="n"/>
      <c r="F69" s="206" t="n"/>
      <c r="G69" s="206" t="n"/>
      <c r="H69" s="206" t="n"/>
      <c r="I69" s="206" t="n"/>
      <c r="J69" s="206" t="n"/>
      <c r="K69" s="206" t="n"/>
      <c r="L69" s="206" t="n"/>
      <c r="M69" s="206" t="n"/>
      <c r="N69" s="206" t="n"/>
      <c r="O69" s="206" t="n"/>
      <c r="P69" s="206" t="n"/>
      <c r="Q69" s="206" t="n"/>
      <c r="R69" s="206" t="n"/>
      <c r="S69" s="206" t="n"/>
      <c r="T69" s="204">
        <f>SUM(F69:S69)</f>
        <v/>
      </c>
      <c r="U69" s="207">
        <f>(HLOOKUP(B69,F:T,A69,FALSE)/T69)</f>
        <v/>
      </c>
      <c r="V69" s="189" t="n"/>
      <c r="W69" s="163">
        <f>YEAR(C69)</f>
        <v/>
      </c>
      <c r="X69" s="116">
        <f>MONTH(C69)</f>
        <v/>
      </c>
      <c r="Y69" s="116">
        <f>WEEKNUM(C69,21)</f>
        <v/>
      </c>
      <c r="Z69" s="122">
        <f>IFERROR(F69/$T69,0)</f>
        <v/>
      </c>
      <c r="AA69" s="122">
        <f>IFERROR(G69/$T69,0)</f>
        <v/>
      </c>
      <c r="AB69" s="122">
        <f>IFERROR(H69/$T69,0)</f>
        <v/>
      </c>
      <c r="AC69" s="122">
        <f>IFERROR(I69/$T69,0)</f>
        <v/>
      </c>
      <c r="AD69" s="122">
        <f>IFERROR(J69/$T69,0)</f>
        <v/>
      </c>
      <c r="AE69" s="122">
        <f>IFERROR(K69/$T69,0)</f>
        <v/>
      </c>
      <c r="AF69" s="122">
        <f>IFERROR(L69/$T69,0)</f>
        <v/>
      </c>
      <c r="AG69" s="122">
        <f>IFERROR(M69/$T69,0)</f>
        <v/>
      </c>
      <c r="AH69" s="122">
        <f>IFERROR(N69/$T69,0)</f>
        <v/>
      </c>
      <c r="AI69" s="122">
        <f>IFERROR(O69/$T69,0)</f>
        <v/>
      </c>
      <c r="AJ69" s="122">
        <f>IFERROR(P69/$T69,0)</f>
        <v/>
      </c>
      <c r="AK69" s="122">
        <f>IFERROR(Q69/$T69,0)</f>
        <v/>
      </c>
      <c r="AL69" s="122">
        <f>IFERROR(R69/$T69,0)</f>
        <v/>
      </c>
      <c r="AM69" s="122">
        <f>IFERROR(S69/$T69,0)</f>
        <v/>
      </c>
      <c r="AN69" s="122">
        <f>SUM(Z69:AC69)</f>
        <v/>
      </c>
      <c r="AO69" s="122">
        <f>SUM(AD69:AL69)</f>
        <v/>
      </c>
      <c r="AP69" s="122">
        <f>SUM(AM69,AB69)</f>
        <v/>
      </c>
      <c r="AQ69" s="122">
        <f>SUM(AA69)</f>
        <v/>
      </c>
      <c r="AR69" s="121">
        <f>(AP69+AQ69)-3%</f>
        <v/>
      </c>
      <c r="AS69" s="122">
        <f>SUM(AO69+AM69)</f>
        <v/>
      </c>
      <c r="AT69" s="122">
        <f>SUM(AH69+AN69)</f>
        <v/>
      </c>
      <c r="AU69" s="122">
        <f>SUM(AN69+AO69)</f>
        <v/>
      </c>
      <c r="AV69" s="122">
        <f>SUM(AN69+AD69+AE69+AF69+AG69+AH69+AJ69+AK69+AL69)</f>
        <v/>
      </c>
      <c r="AW69" s="122">
        <f>SUM(AD69+AE69+AF69+AG69+AI69+AJ69+AK69+AL69)</f>
        <v/>
      </c>
    </row>
    <row r="70" ht="14.1" customHeight="1" s="259">
      <c r="A70" s="174">
        <f>A69+1</f>
        <v/>
      </c>
      <c r="B70" s="204" t="n"/>
      <c r="C70" s="205" t="n"/>
      <c r="D70" s="204" t="n"/>
      <c r="E70" s="206" t="n"/>
      <c r="F70" s="206" t="n"/>
      <c r="G70" s="206" t="n"/>
      <c r="H70" s="206" t="n"/>
      <c r="I70" s="206" t="n"/>
      <c r="J70" s="206" t="n"/>
      <c r="K70" s="206" t="n"/>
      <c r="L70" s="206" t="n"/>
      <c r="M70" s="206" t="n"/>
      <c r="N70" s="206" t="n"/>
      <c r="O70" s="206" t="n"/>
      <c r="P70" s="206" t="n"/>
      <c r="Q70" s="206" t="n"/>
      <c r="R70" s="206" t="n"/>
      <c r="S70" s="206" t="n"/>
      <c r="T70" s="204">
        <f>SUM(F70:S70)</f>
        <v/>
      </c>
      <c r="U70" s="207">
        <f>(HLOOKUP(B70,F:T,A70,FALSE)/T70)</f>
        <v/>
      </c>
      <c r="V70" s="189" t="n"/>
      <c r="W70" s="163">
        <f>YEAR(C70)</f>
        <v/>
      </c>
      <c r="X70" s="116">
        <f>MONTH(C70)</f>
        <v/>
      </c>
      <c r="Y70" s="116">
        <f>WEEKNUM(C70,21)</f>
        <v/>
      </c>
      <c r="Z70" s="122">
        <f>IFERROR(F70/$T70,0)</f>
        <v/>
      </c>
      <c r="AA70" s="122">
        <f>IFERROR(G70/$T70,0)</f>
        <v/>
      </c>
      <c r="AB70" s="122">
        <f>IFERROR(H70/$T70,0)</f>
        <v/>
      </c>
      <c r="AC70" s="122">
        <f>IFERROR(I70/$T70,0)</f>
        <v/>
      </c>
      <c r="AD70" s="122">
        <f>IFERROR(J70/$T70,0)</f>
        <v/>
      </c>
      <c r="AE70" s="122">
        <f>IFERROR(K70/$T70,0)</f>
        <v/>
      </c>
      <c r="AF70" s="122">
        <f>IFERROR(L70/$T70,0)</f>
        <v/>
      </c>
      <c r="AG70" s="122">
        <f>IFERROR(M70/$T70,0)</f>
        <v/>
      </c>
      <c r="AH70" s="122">
        <f>IFERROR(N70/$T70,0)</f>
        <v/>
      </c>
      <c r="AI70" s="122">
        <f>IFERROR(O70/$T70,0)</f>
        <v/>
      </c>
      <c r="AJ70" s="122">
        <f>IFERROR(P70/$T70,0)</f>
        <v/>
      </c>
      <c r="AK70" s="122">
        <f>IFERROR(Q70/$T70,0)</f>
        <v/>
      </c>
      <c r="AL70" s="122">
        <f>IFERROR(R70/$T70,0)</f>
        <v/>
      </c>
      <c r="AM70" s="122">
        <f>IFERROR(S70/$T70,0)</f>
        <v/>
      </c>
      <c r="AN70" s="122">
        <f>SUM(Z70:AC70)</f>
        <v/>
      </c>
      <c r="AO70" s="122">
        <f>SUM(AD70:AL70)</f>
        <v/>
      </c>
      <c r="AP70" s="122">
        <f>SUM(AM70,AB70)</f>
        <v/>
      </c>
      <c r="AQ70" s="122">
        <f>SUM(AA70)</f>
        <v/>
      </c>
      <c r="AR70" s="121">
        <f>(AP70+AQ70)-3%</f>
        <v/>
      </c>
      <c r="AS70" s="122">
        <f>SUM(AO70+AM70)</f>
        <v/>
      </c>
      <c r="AT70" s="122">
        <f>SUM(AH70+AN70)</f>
        <v/>
      </c>
      <c r="AU70" s="122">
        <f>SUM(AN70+AO70)</f>
        <v/>
      </c>
      <c r="AV70" s="122">
        <f>SUM(AN70+AD70+AE70+AF70+AG70+AH70+AJ70+AK70+AL70)</f>
        <v/>
      </c>
      <c r="AW70" s="122">
        <f>SUM(AD70+AE70+AF70+AG70+AI70+AJ70+AK70+AL70)</f>
        <v/>
      </c>
    </row>
    <row r="71" ht="14.1" customHeight="1" s="259">
      <c r="A71" s="174">
        <f>A70+1</f>
        <v/>
      </c>
      <c r="B71" s="204" t="n"/>
      <c r="C71" s="205" t="n"/>
      <c r="D71" s="204" t="n"/>
      <c r="E71" s="206" t="n"/>
      <c r="F71" s="206" t="n"/>
      <c r="G71" s="206" t="n"/>
      <c r="H71" s="206" t="n"/>
      <c r="I71" s="206" t="n"/>
      <c r="J71" s="206" t="n"/>
      <c r="K71" s="206" t="n"/>
      <c r="L71" s="206" t="n"/>
      <c r="M71" s="206" t="n"/>
      <c r="N71" s="206" t="n"/>
      <c r="O71" s="206" t="n"/>
      <c r="P71" s="206" t="n"/>
      <c r="Q71" s="206" t="n"/>
      <c r="R71" s="206" t="n"/>
      <c r="S71" s="206" t="n"/>
      <c r="T71" s="204">
        <f>SUM(F71:S71)</f>
        <v/>
      </c>
      <c r="U71" s="207">
        <f>(HLOOKUP(B71,F:T,A71,FALSE)/T71)</f>
        <v/>
      </c>
      <c r="V71" s="189" t="n"/>
      <c r="W71" s="163">
        <f>YEAR(C71)</f>
        <v/>
      </c>
      <c r="X71" s="116">
        <f>MONTH(C71)</f>
        <v/>
      </c>
      <c r="Y71" s="116">
        <f>WEEKNUM(C71,21)</f>
        <v/>
      </c>
      <c r="Z71" s="122">
        <f>IFERROR(F71/$T71,0)</f>
        <v/>
      </c>
      <c r="AA71" s="122">
        <f>IFERROR(G71/$T71,0)</f>
        <v/>
      </c>
      <c r="AB71" s="122">
        <f>IFERROR(H71/$T71,0)</f>
        <v/>
      </c>
      <c r="AC71" s="122">
        <f>IFERROR(I71/$T71,0)</f>
        <v/>
      </c>
      <c r="AD71" s="122">
        <f>IFERROR(J71/$T71,0)</f>
        <v/>
      </c>
      <c r="AE71" s="122">
        <f>IFERROR(K71/$T71,0)</f>
        <v/>
      </c>
      <c r="AF71" s="122">
        <f>IFERROR(L71/$T71,0)</f>
        <v/>
      </c>
      <c r="AG71" s="122">
        <f>IFERROR(M71/$T71,0)</f>
        <v/>
      </c>
      <c r="AH71" s="122">
        <f>IFERROR(N71/$T71,0)</f>
        <v/>
      </c>
      <c r="AI71" s="122">
        <f>IFERROR(O71/$T71,0)</f>
        <v/>
      </c>
      <c r="AJ71" s="122">
        <f>IFERROR(P71/$T71,0)</f>
        <v/>
      </c>
      <c r="AK71" s="122">
        <f>IFERROR(Q71/$T71,0)</f>
        <v/>
      </c>
      <c r="AL71" s="122">
        <f>IFERROR(R71/$T71,0)</f>
        <v/>
      </c>
      <c r="AM71" s="122">
        <f>IFERROR(S71/$T71,0)</f>
        <v/>
      </c>
      <c r="AN71" s="122">
        <f>SUM(Z71:AC71)</f>
        <v/>
      </c>
      <c r="AO71" s="122">
        <f>SUM(AD71:AL71)</f>
        <v/>
      </c>
      <c r="AP71" s="122">
        <f>SUM(AM71,AB71)</f>
        <v/>
      </c>
      <c r="AQ71" s="122">
        <f>SUM(AA71)</f>
        <v/>
      </c>
      <c r="AR71" s="121">
        <f>(AP71+AQ71)-3%</f>
        <v/>
      </c>
      <c r="AS71" s="122">
        <f>SUM(AO71+AM71)</f>
        <v/>
      </c>
      <c r="AT71" s="122">
        <f>SUM(AH71+AN71)</f>
        <v/>
      </c>
      <c r="AU71" s="122">
        <f>SUM(AN71+AO71)</f>
        <v/>
      </c>
      <c r="AV71" s="122">
        <f>SUM(AN71+AD71+AE71+AF71+AG71+AH71+AJ71+AK71+AL71)</f>
        <v/>
      </c>
      <c r="AW71" s="122">
        <f>SUM(AD71+AE71+AF71+AG71+AI71+AJ71+AK71+AL71)</f>
        <v/>
      </c>
    </row>
    <row r="72" ht="14.1" customHeight="1" s="259">
      <c r="A72" s="174">
        <f>A71+1</f>
        <v/>
      </c>
      <c r="B72" s="199" t="n"/>
      <c r="C72" s="200" t="n"/>
      <c r="D72" s="199" t="n"/>
      <c r="E72" s="201" t="n"/>
      <c r="F72" s="201" t="n"/>
      <c r="G72" s="201" t="n"/>
      <c r="H72" s="201" t="n"/>
      <c r="I72" s="201" t="n"/>
      <c r="J72" s="201" t="n"/>
      <c r="K72" s="201" t="n"/>
      <c r="L72" s="201" t="n"/>
      <c r="M72" s="201" t="n"/>
      <c r="N72" s="201" t="n"/>
      <c r="O72" s="201" t="n"/>
      <c r="P72" s="201" t="n"/>
      <c r="Q72" s="201" t="n"/>
      <c r="R72" s="201" t="n"/>
      <c r="S72" s="201" t="n"/>
      <c r="T72" s="199">
        <f>SUM(F72:S72)</f>
        <v/>
      </c>
      <c r="U72" s="202">
        <f>(HLOOKUP(B72,F:T,A72,FALSE)/T72)</f>
        <v/>
      </c>
      <c r="V72" s="189" t="n"/>
      <c r="W72" s="163">
        <f>YEAR(C72)</f>
        <v/>
      </c>
      <c r="X72" s="116">
        <f>MONTH(C72)</f>
        <v/>
      </c>
      <c r="Y72" s="116">
        <f>WEEKNUM(C72,21)</f>
        <v/>
      </c>
      <c r="Z72" s="122">
        <f>IFERROR(F72/$T72,0)</f>
        <v/>
      </c>
      <c r="AA72" s="122">
        <f>IFERROR(G72/$T72,0)</f>
        <v/>
      </c>
      <c r="AB72" s="122">
        <f>IFERROR(H72/$T72,0)</f>
        <v/>
      </c>
      <c r="AC72" s="122">
        <f>IFERROR(I72/$T72,0)</f>
        <v/>
      </c>
      <c r="AD72" s="122">
        <f>IFERROR(J72/$T72,0)</f>
        <v/>
      </c>
      <c r="AE72" s="122">
        <f>IFERROR(K72/$T72,0)</f>
        <v/>
      </c>
      <c r="AF72" s="122">
        <f>IFERROR(L72/$T72,0)</f>
        <v/>
      </c>
      <c r="AG72" s="122">
        <f>IFERROR(M72/$T72,0)</f>
        <v/>
      </c>
      <c r="AH72" s="122">
        <f>IFERROR(N72/$T72,0)</f>
        <v/>
      </c>
      <c r="AI72" s="122">
        <f>IFERROR(O72/$T72,0)</f>
        <v/>
      </c>
      <c r="AJ72" s="122">
        <f>IFERROR(P72/$T72,0)</f>
        <v/>
      </c>
      <c r="AK72" s="122">
        <f>IFERROR(Q72/$T72,0)</f>
        <v/>
      </c>
      <c r="AL72" s="122">
        <f>IFERROR(R72/$T72,0)</f>
        <v/>
      </c>
      <c r="AM72" s="122">
        <f>IFERROR(S72/$T72,0)</f>
        <v/>
      </c>
      <c r="AN72" s="122">
        <f>SUM(Z72:AC72)</f>
        <v/>
      </c>
      <c r="AO72" s="122">
        <f>SUM(AD72:AL72)</f>
        <v/>
      </c>
      <c r="AP72" s="122">
        <f>SUM(AM72,AB72)</f>
        <v/>
      </c>
      <c r="AQ72" s="122">
        <f>SUM(AA72)</f>
        <v/>
      </c>
      <c r="AR72" s="121">
        <f>(AP72+AQ72)-3%</f>
        <v/>
      </c>
      <c r="AS72" s="122">
        <f>SUM(AO72+AM72)</f>
        <v/>
      </c>
      <c r="AT72" s="122">
        <f>SUM(AH72+AN72)</f>
        <v/>
      </c>
      <c r="AU72" s="122">
        <f>SUM(AN72+AO72)</f>
        <v/>
      </c>
      <c r="AV72" s="122">
        <f>SUM(AN72+AD72+AE72+AF72+AG72+AH72+AJ72+AK72+AL72)</f>
        <v/>
      </c>
      <c r="AW72" s="122">
        <f>SUM(AD72+AE72+AF72+AG72+AI72+AJ72+AK72+AL72)</f>
        <v/>
      </c>
    </row>
    <row r="73" ht="14.1" customHeight="1" s="259">
      <c r="A73" s="174">
        <f>A72+1</f>
        <v/>
      </c>
      <c r="B73" s="199" t="n"/>
      <c r="C73" s="200" t="n"/>
      <c r="D73" s="199" t="n"/>
      <c r="E73" s="201" t="n"/>
      <c r="F73" s="201" t="n"/>
      <c r="G73" s="201" t="n"/>
      <c r="H73" s="201" t="n"/>
      <c r="I73" s="201" t="n"/>
      <c r="J73" s="201" t="n"/>
      <c r="K73" s="201" t="n"/>
      <c r="L73" s="201" t="n"/>
      <c r="M73" s="201" t="n"/>
      <c r="N73" s="201" t="n"/>
      <c r="O73" s="201" t="n"/>
      <c r="P73" s="201" t="n"/>
      <c r="Q73" s="201" t="n"/>
      <c r="R73" s="201" t="n"/>
      <c r="S73" s="201" t="n"/>
      <c r="T73" s="199">
        <f>SUM(F73:S73)</f>
        <v/>
      </c>
      <c r="U73" s="202">
        <f>(HLOOKUP(B73,F:T,A73,FALSE)/T73)</f>
        <v/>
      </c>
      <c r="V73" s="189" t="n"/>
      <c r="W73" s="163">
        <f>YEAR(C73)</f>
        <v/>
      </c>
      <c r="X73" s="116">
        <f>MONTH(C73)</f>
        <v/>
      </c>
      <c r="Y73" s="116">
        <f>WEEKNUM(C73,21)</f>
        <v/>
      </c>
      <c r="Z73" s="122">
        <f>IFERROR(F73/$T73,0)</f>
        <v/>
      </c>
      <c r="AA73" s="122">
        <f>IFERROR(G73/$T73,0)</f>
        <v/>
      </c>
      <c r="AB73" s="122">
        <f>IFERROR(H73/$T73,0)</f>
        <v/>
      </c>
      <c r="AC73" s="122">
        <f>IFERROR(I73/$T73,0)</f>
        <v/>
      </c>
      <c r="AD73" s="122">
        <f>IFERROR(J73/$T73,0)</f>
        <v/>
      </c>
      <c r="AE73" s="122">
        <f>IFERROR(K73/$T73,0)</f>
        <v/>
      </c>
      <c r="AF73" s="122">
        <f>IFERROR(L73/$T73,0)</f>
        <v/>
      </c>
      <c r="AG73" s="122">
        <f>IFERROR(M73/$T73,0)</f>
        <v/>
      </c>
      <c r="AH73" s="122">
        <f>IFERROR(N73/$T73,0)</f>
        <v/>
      </c>
      <c r="AI73" s="122">
        <f>IFERROR(O73/$T73,0)</f>
        <v/>
      </c>
      <c r="AJ73" s="122">
        <f>IFERROR(P73/$T73,0)</f>
        <v/>
      </c>
      <c r="AK73" s="122">
        <f>IFERROR(Q73/$T73,0)</f>
        <v/>
      </c>
      <c r="AL73" s="122">
        <f>IFERROR(R73/$T73,0)</f>
        <v/>
      </c>
      <c r="AM73" s="122">
        <f>IFERROR(S73/$T73,0)</f>
        <v/>
      </c>
      <c r="AN73" s="122">
        <f>SUM(Z73:AC73)</f>
        <v/>
      </c>
      <c r="AO73" s="122">
        <f>SUM(AD73:AL73)</f>
        <v/>
      </c>
      <c r="AP73" s="122">
        <f>SUM(AM73,AB73)</f>
        <v/>
      </c>
      <c r="AQ73" s="122">
        <f>SUM(AA73)</f>
        <v/>
      </c>
      <c r="AR73" s="121">
        <f>(AP73+AQ73)-3%</f>
        <v/>
      </c>
      <c r="AS73" s="122">
        <f>SUM(AO73+AM73)</f>
        <v/>
      </c>
      <c r="AT73" s="122">
        <f>SUM(AH73+AN73)</f>
        <v/>
      </c>
      <c r="AU73" s="122">
        <f>SUM(AN73+AO73)</f>
        <v/>
      </c>
      <c r="AV73" s="122">
        <f>SUM(AN73+AD73+AE73+AF73+AG73+AH73+AJ73+AK73+AL73)</f>
        <v/>
      </c>
      <c r="AW73" s="122">
        <f>SUM(AD73+AE73+AF73+AG73+AI73+AJ73+AK73+AL73)</f>
        <v/>
      </c>
    </row>
    <row r="74" ht="14.1" customHeight="1" s="259">
      <c r="A74" s="174">
        <f>A73+1</f>
        <v/>
      </c>
      <c r="B74" s="204" t="n"/>
      <c r="C74" s="205" t="n"/>
      <c r="D74" s="204" t="n"/>
      <c r="E74" s="206" t="n"/>
      <c r="F74" s="206" t="n"/>
      <c r="G74" s="206" t="n"/>
      <c r="H74" s="206" t="n"/>
      <c r="I74" s="206" t="n"/>
      <c r="J74" s="206" t="n"/>
      <c r="K74" s="206" t="n"/>
      <c r="L74" s="206" t="n"/>
      <c r="M74" s="206" t="n"/>
      <c r="N74" s="206" t="n"/>
      <c r="O74" s="206" t="n"/>
      <c r="P74" s="206" t="n"/>
      <c r="Q74" s="206" t="n"/>
      <c r="R74" s="206" t="n"/>
      <c r="S74" s="206" t="n"/>
      <c r="T74" s="204">
        <f>SUM(F74:S74)</f>
        <v/>
      </c>
      <c r="U74" s="207">
        <f>(HLOOKUP(B74,F:T,A74,FALSE)/T74)</f>
        <v/>
      </c>
      <c r="V74" s="189" t="n"/>
      <c r="W74" s="163">
        <f>YEAR(C74)</f>
        <v/>
      </c>
      <c r="X74" s="116">
        <f>MONTH(C74)</f>
        <v/>
      </c>
      <c r="Y74" s="116">
        <f>WEEKNUM(C74,21)</f>
        <v/>
      </c>
      <c r="Z74" s="122">
        <f>IFERROR(F74/$T74,0)</f>
        <v/>
      </c>
      <c r="AA74" s="122">
        <f>IFERROR(G74/$T74,0)</f>
        <v/>
      </c>
      <c r="AB74" s="122">
        <f>IFERROR(H74/$T74,0)</f>
        <v/>
      </c>
      <c r="AC74" s="122">
        <f>IFERROR(I74/$T74,0)</f>
        <v/>
      </c>
      <c r="AD74" s="122">
        <f>IFERROR(J74/$T74,0)</f>
        <v/>
      </c>
      <c r="AE74" s="122">
        <f>IFERROR(K74/$T74,0)</f>
        <v/>
      </c>
      <c r="AF74" s="122">
        <f>IFERROR(L74/$T74,0)</f>
        <v/>
      </c>
      <c r="AG74" s="122">
        <f>IFERROR(M74/$T74,0)</f>
        <v/>
      </c>
      <c r="AH74" s="122">
        <f>IFERROR(N74/$T74,0)</f>
        <v/>
      </c>
      <c r="AI74" s="122">
        <f>IFERROR(O74/$T74,0)</f>
        <v/>
      </c>
      <c r="AJ74" s="122">
        <f>IFERROR(P74/$T74,0)</f>
        <v/>
      </c>
      <c r="AK74" s="122">
        <f>IFERROR(Q74/$T74,0)</f>
        <v/>
      </c>
      <c r="AL74" s="122">
        <f>IFERROR(R74/$T74,0)</f>
        <v/>
      </c>
      <c r="AM74" s="122">
        <f>IFERROR(S74/$T74,0)</f>
        <v/>
      </c>
      <c r="AN74" s="122">
        <f>SUM(Z74:AC74)</f>
        <v/>
      </c>
      <c r="AO74" s="122">
        <f>SUM(AD74:AL74)</f>
        <v/>
      </c>
      <c r="AP74" s="122">
        <f>SUM(AM74,AB74)</f>
        <v/>
      </c>
      <c r="AQ74" s="122">
        <f>SUM(AA74)</f>
        <v/>
      </c>
      <c r="AR74" s="121">
        <f>(AP74+AQ74)-3%</f>
        <v/>
      </c>
      <c r="AS74" s="122">
        <f>SUM(AO74+AM74)</f>
        <v/>
      </c>
      <c r="AT74" s="122">
        <f>SUM(AH74+AN74)</f>
        <v/>
      </c>
      <c r="AU74" s="122">
        <f>SUM(AN74+AO74)</f>
        <v/>
      </c>
      <c r="AV74" s="122">
        <f>SUM(AN74+AD74+AE74+AF74+AG74+AH74+AJ74+AK74+AL74)</f>
        <v/>
      </c>
      <c r="AW74" s="122">
        <f>SUM(AD74+AE74+AF74+AG74+AI74+AJ74+AK74+AL74)</f>
        <v/>
      </c>
    </row>
    <row r="75" ht="14.1" customHeight="1" s="259">
      <c r="A75" s="174">
        <f>A74+1</f>
        <v/>
      </c>
      <c r="B75" s="204" t="n"/>
      <c r="C75" s="205" t="n"/>
      <c r="D75" s="204" t="n"/>
      <c r="E75" s="206" t="n"/>
      <c r="F75" s="206" t="n"/>
      <c r="G75" s="206" t="n"/>
      <c r="H75" s="206" t="n"/>
      <c r="I75" s="206" t="n"/>
      <c r="J75" s="206" t="n"/>
      <c r="K75" s="206" t="n"/>
      <c r="L75" s="206" t="n"/>
      <c r="M75" s="206" t="n"/>
      <c r="N75" s="206" t="n"/>
      <c r="O75" s="206" t="n"/>
      <c r="P75" s="206" t="n"/>
      <c r="Q75" s="206" t="n"/>
      <c r="R75" s="206" t="n"/>
      <c r="S75" s="206" t="n"/>
      <c r="T75" s="204">
        <f>SUM(F75:S75)</f>
        <v/>
      </c>
      <c r="U75" s="207">
        <f>(HLOOKUP(B75,F:T,A75,FALSE)/T75)</f>
        <v/>
      </c>
      <c r="V75" s="189" t="n"/>
      <c r="W75" s="163">
        <f>YEAR(C75)</f>
        <v/>
      </c>
      <c r="X75" s="116">
        <f>MONTH(C75)</f>
        <v/>
      </c>
      <c r="Y75" s="116">
        <f>WEEKNUM(C75,21)</f>
        <v/>
      </c>
      <c r="Z75" s="122">
        <f>IFERROR(F75/$T75,0)</f>
        <v/>
      </c>
      <c r="AA75" s="122">
        <f>IFERROR(G75/$T75,0)</f>
        <v/>
      </c>
      <c r="AB75" s="122">
        <f>IFERROR(H75/$T75,0)</f>
        <v/>
      </c>
      <c r="AC75" s="122">
        <f>IFERROR(I75/$T75,0)</f>
        <v/>
      </c>
      <c r="AD75" s="122">
        <f>IFERROR(J75/$T75,0)</f>
        <v/>
      </c>
      <c r="AE75" s="122">
        <f>IFERROR(K75/$T75,0)</f>
        <v/>
      </c>
      <c r="AF75" s="122">
        <f>IFERROR(L75/$T75,0)</f>
        <v/>
      </c>
      <c r="AG75" s="122">
        <f>IFERROR(M75/$T75,0)</f>
        <v/>
      </c>
      <c r="AH75" s="122">
        <f>IFERROR(N75/$T75,0)</f>
        <v/>
      </c>
      <c r="AI75" s="122">
        <f>IFERROR(O75/$T75,0)</f>
        <v/>
      </c>
      <c r="AJ75" s="122">
        <f>IFERROR(P75/$T75,0)</f>
        <v/>
      </c>
      <c r="AK75" s="122">
        <f>IFERROR(Q75/$T75,0)</f>
        <v/>
      </c>
      <c r="AL75" s="122">
        <f>IFERROR(R75/$T75,0)</f>
        <v/>
      </c>
      <c r="AM75" s="122">
        <f>IFERROR(S75/$T75,0)</f>
        <v/>
      </c>
      <c r="AN75" s="122">
        <f>SUM(Z75:AC75)</f>
        <v/>
      </c>
      <c r="AO75" s="122">
        <f>SUM(AD75:AL75)</f>
        <v/>
      </c>
      <c r="AP75" s="122">
        <f>SUM(AM75,AB75)</f>
        <v/>
      </c>
      <c r="AQ75" s="122">
        <f>SUM(AA75)</f>
        <v/>
      </c>
      <c r="AR75" s="121">
        <f>(AP75+AQ75)-3%</f>
        <v/>
      </c>
      <c r="AS75" s="122">
        <f>SUM(AO75+AM75)</f>
        <v/>
      </c>
      <c r="AT75" s="122">
        <f>SUM(AH75+AN75)</f>
        <v/>
      </c>
      <c r="AU75" s="122">
        <f>SUM(AN75+AO75)</f>
        <v/>
      </c>
      <c r="AV75" s="122">
        <f>SUM(AN75+AD75+AE75+AF75+AG75+AH75+AJ75+AK75+AL75)</f>
        <v/>
      </c>
      <c r="AW75" s="122">
        <f>SUM(AD75+AE75+AF75+AG75+AI75+AJ75+AK75+AL75)</f>
        <v/>
      </c>
    </row>
    <row r="76" ht="14.1" customHeight="1" s="259">
      <c r="A76" s="174">
        <f>A75+1</f>
        <v/>
      </c>
      <c r="B76" s="204" t="n"/>
      <c r="C76" s="205" t="n"/>
      <c r="D76" s="204" t="n"/>
      <c r="E76" s="206" t="n"/>
      <c r="F76" s="206" t="n"/>
      <c r="G76" s="206" t="n"/>
      <c r="H76" s="206" t="n"/>
      <c r="I76" s="206" t="n"/>
      <c r="J76" s="206" t="n"/>
      <c r="K76" s="206" t="n"/>
      <c r="L76" s="206" t="n"/>
      <c r="M76" s="206" t="n"/>
      <c r="N76" s="206" t="n"/>
      <c r="O76" s="206" t="n"/>
      <c r="P76" s="206" t="n"/>
      <c r="Q76" s="206" t="n"/>
      <c r="R76" s="206" t="n"/>
      <c r="S76" s="206" t="n"/>
      <c r="T76" s="204">
        <f>SUM(F76:S76)</f>
        <v/>
      </c>
      <c r="U76" s="207">
        <f>(HLOOKUP(B76,F:T,A76,FALSE)/T76)</f>
        <v/>
      </c>
      <c r="V76" s="189" t="n"/>
      <c r="W76" s="163">
        <f>YEAR(C76)</f>
        <v/>
      </c>
      <c r="X76" s="116">
        <f>MONTH(C76)</f>
        <v/>
      </c>
      <c r="Y76" s="116">
        <f>WEEKNUM(C76,21)</f>
        <v/>
      </c>
      <c r="Z76" s="122">
        <f>IFERROR(F76/$T76,0)</f>
        <v/>
      </c>
      <c r="AA76" s="122">
        <f>IFERROR(G76/$T76,0)</f>
        <v/>
      </c>
      <c r="AB76" s="122">
        <f>IFERROR(H76/$T76,0)</f>
        <v/>
      </c>
      <c r="AC76" s="122">
        <f>IFERROR(I76/$T76,0)</f>
        <v/>
      </c>
      <c r="AD76" s="122">
        <f>IFERROR(J76/$T76,0)</f>
        <v/>
      </c>
      <c r="AE76" s="122">
        <f>IFERROR(K76/$T76,0)</f>
        <v/>
      </c>
      <c r="AF76" s="122">
        <f>IFERROR(L76/$T76,0)</f>
        <v/>
      </c>
      <c r="AG76" s="122">
        <f>IFERROR(M76/$T76,0)</f>
        <v/>
      </c>
      <c r="AH76" s="122">
        <f>IFERROR(N76/$T76,0)</f>
        <v/>
      </c>
      <c r="AI76" s="122">
        <f>IFERROR(O76/$T76,0)</f>
        <v/>
      </c>
      <c r="AJ76" s="122">
        <f>IFERROR(P76/$T76,0)</f>
        <v/>
      </c>
      <c r="AK76" s="122">
        <f>IFERROR(Q76/$T76,0)</f>
        <v/>
      </c>
      <c r="AL76" s="122">
        <f>IFERROR(R76/$T76,0)</f>
        <v/>
      </c>
      <c r="AM76" s="122">
        <f>IFERROR(S76/$T76,0)</f>
        <v/>
      </c>
      <c r="AN76" s="122">
        <f>SUM(Z76:AC76)</f>
        <v/>
      </c>
      <c r="AO76" s="122">
        <f>SUM(AD76:AL76)</f>
        <v/>
      </c>
      <c r="AP76" s="122">
        <f>SUM(AM76,AB76)</f>
        <v/>
      </c>
      <c r="AQ76" s="122">
        <f>SUM(AA76)</f>
        <v/>
      </c>
      <c r="AR76" s="121">
        <f>(AP76+AQ76)-3%</f>
        <v/>
      </c>
      <c r="AS76" s="122">
        <f>SUM(AO76+AM76)</f>
        <v/>
      </c>
      <c r="AT76" s="122">
        <f>SUM(AH76+AN76)</f>
        <v/>
      </c>
      <c r="AU76" s="122">
        <f>SUM(AN76+AO76)</f>
        <v/>
      </c>
      <c r="AV76" s="122">
        <f>SUM(AN76+AD76+AE76+AF76+AG76+AH76+AJ76+AK76+AL76)</f>
        <v/>
      </c>
      <c r="AW76" s="122">
        <f>SUM(AD76+AE76+AF76+AG76+AI76+AJ76+AK76+AL76)</f>
        <v/>
      </c>
    </row>
    <row r="77" ht="14.1" customHeight="1" s="259">
      <c r="A77" s="174">
        <f>A76+1</f>
        <v/>
      </c>
      <c r="B77" s="204" t="n"/>
      <c r="C77" s="205" t="n"/>
      <c r="D77" s="204" t="n"/>
      <c r="E77" s="206" t="n"/>
      <c r="F77" s="206" t="n"/>
      <c r="G77" s="206" t="n"/>
      <c r="H77" s="206" t="n"/>
      <c r="I77" s="206" t="n"/>
      <c r="J77" s="206" t="n"/>
      <c r="K77" s="206" t="n"/>
      <c r="L77" s="206" t="n"/>
      <c r="M77" s="206" t="n"/>
      <c r="N77" s="206" t="n"/>
      <c r="O77" s="206" t="n"/>
      <c r="P77" s="206" t="n"/>
      <c r="Q77" s="206" t="n"/>
      <c r="R77" s="206" t="n"/>
      <c r="S77" s="206" t="n"/>
      <c r="T77" s="204">
        <f>SUM(F77:S77)</f>
        <v/>
      </c>
      <c r="U77" s="207">
        <f>(HLOOKUP(B77,F:T,A77,FALSE)/T77)</f>
        <v/>
      </c>
      <c r="V77" s="189" t="n"/>
      <c r="W77" s="163">
        <f>YEAR(C77)</f>
        <v/>
      </c>
      <c r="X77" s="116">
        <f>MONTH(C77)</f>
        <v/>
      </c>
      <c r="Y77" s="116">
        <f>WEEKNUM(C77,21)</f>
        <v/>
      </c>
      <c r="Z77" s="122">
        <f>IFERROR(F77/$T77,0)</f>
        <v/>
      </c>
      <c r="AA77" s="122">
        <f>IFERROR(G77/$T77,0)</f>
        <v/>
      </c>
      <c r="AB77" s="122">
        <f>IFERROR(H77/$T77,0)</f>
        <v/>
      </c>
      <c r="AC77" s="122">
        <f>IFERROR(I77/$T77,0)</f>
        <v/>
      </c>
      <c r="AD77" s="122">
        <f>IFERROR(J77/$T77,0)</f>
        <v/>
      </c>
      <c r="AE77" s="122">
        <f>IFERROR(K77/$T77,0)</f>
        <v/>
      </c>
      <c r="AF77" s="122">
        <f>IFERROR(L77/$T77,0)</f>
        <v/>
      </c>
      <c r="AG77" s="122">
        <f>IFERROR(M77/$T77,0)</f>
        <v/>
      </c>
      <c r="AH77" s="122">
        <f>IFERROR(N77/$T77,0)</f>
        <v/>
      </c>
      <c r="AI77" s="122">
        <f>IFERROR(O77/$T77,0)</f>
        <v/>
      </c>
      <c r="AJ77" s="122">
        <f>IFERROR(P77/$T77,0)</f>
        <v/>
      </c>
      <c r="AK77" s="122">
        <f>IFERROR(Q77/$T77,0)</f>
        <v/>
      </c>
      <c r="AL77" s="122">
        <f>IFERROR(R77/$T77,0)</f>
        <v/>
      </c>
      <c r="AM77" s="122">
        <f>IFERROR(S77/$T77,0)</f>
        <v/>
      </c>
      <c r="AN77" s="122">
        <f>SUM(Z77:AC77)</f>
        <v/>
      </c>
      <c r="AO77" s="122">
        <f>SUM(AD77:AL77)</f>
        <v/>
      </c>
      <c r="AP77" s="122">
        <f>SUM(AM77,AB77)</f>
        <v/>
      </c>
      <c r="AQ77" s="122">
        <f>SUM(AA77)</f>
        <v/>
      </c>
      <c r="AR77" s="121">
        <f>(AP77+AQ77)-3%</f>
        <v/>
      </c>
      <c r="AS77" s="122">
        <f>SUM(AO77+AM77)</f>
        <v/>
      </c>
      <c r="AT77" s="122">
        <f>SUM(AH77+AN77)</f>
        <v/>
      </c>
      <c r="AU77" s="122">
        <f>SUM(AN77+AO77)</f>
        <v/>
      </c>
      <c r="AV77" s="122">
        <f>SUM(AN77+AD77+AE77+AF77+AG77+AH77+AJ77+AK77+AL77)</f>
        <v/>
      </c>
      <c r="AW77" s="122">
        <f>SUM(AD77+AE77+AF77+AG77+AI77+AJ77+AK77+AL77)</f>
        <v/>
      </c>
    </row>
    <row r="78" ht="14.1" customHeight="1" s="259">
      <c r="A78" s="174">
        <f>A77+1</f>
        <v/>
      </c>
      <c r="B78" s="204" t="n"/>
      <c r="C78" s="205" t="n"/>
      <c r="D78" s="204" t="n"/>
      <c r="E78" s="206" t="n"/>
      <c r="F78" s="206" t="n"/>
      <c r="G78" s="206" t="n"/>
      <c r="H78" s="206" t="n"/>
      <c r="I78" s="206" t="n"/>
      <c r="J78" s="206" t="n"/>
      <c r="K78" s="206" t="n"/>
      <c r="L78" s="206" t="n"/>
      <c r="M78" s="206" t="n"/>
      <c r="N78" s="206" t="n"/>
      <c r="O78" s="206" t="n"/>
      <c r="P78" s="206" t="n"/>
      <c r="Q78" s="206" t="n"/>
      <c r="R78" s="206" t="n"/>
      <c r="S78" s="206" t="n"/>
      <c r="T78" s="204">
        <f>SUM(F78:S78)</f>
        <v/>
      </c>
      <c r="U78" s="207">
        <f>(HLOOKUP(B78,F:T,A78,FALSE)/T78)</f>
        <v/>
      </c>
      <c r="V78" s="189" t="n"/>
      <c r="W78" s="163">
        <f>YEAR(C78)</f>
        <v/>
      </c>
      <c r="X78" s="116">
        <f>MONTH(C78)</f>
        <v/>
      </c>
      <c r="Y78" s="116">
        <f>WEEKNUM(C78,21)</f>
        <v/>
      </c>
      <c r="Z78" s="122">
        <f>IFERROR(F78/$T78,0)</f>
        <v/>
      </c>
      <c r="AA78" s="122">
        <f>IFERROR(G78/$T78,0)</f>
        <v/>
      </c>
      <c r="AB78" s="122">
        <f>IFERROR(H78/$T78,0)</f>
        <v/>
      </c>
      <c r="AC78" s="122">
        <f>IFERROR(I78/$T78,0)</f>
        <v/>
      </c>
      <c r="AD78" s="122">
        <f>IFERROR(J78/$T78,0)</f>
        <v/>
      </c>
      <c r="AE78" s="122">
        <f>IFERROR(K78/$T78,0)</f>
        <v/>
      </c>
      <c r="AF78" s="122">
        <f>IFERROR(L78/$T78,0)</f>
        <v/>
      </c>
      <c r="AG78" s="122">
        <f>IFERROR(M78/$T78,0)</f>
        <v/>
      </c>
      <c r="AH78" s="122">
        <f>IFERROR(N78/$T78,0)</f>
        <v/>
      </c>
      <c r="AI78" s="122">
        <f>IFERROR(O78/$T78,0)</f>
        <v/>
      </c>
      <c r="AJ78" s="122">
        <f>IFERROR(P78/$T78,0)</f>
        <v/>
      </c>
      <c r="AK78" s="122">
        <f>IFERROR(Q78/$T78,0)</f>
        <v/>
      </c>
      <c r="AL78" s="122">
        <f>IFERROR(R78/$T78,0)</f>
        <v/>
      </c>
      <c r="AM78" s="122">
        <f>IFERROR(S78/$T78,0)</f>
        <v/>
      </c>
      <c r="AN78" s="122">
        <f>SUM(Z78:AC78)</f>
        <v/>
      </c>
      <c r="AO78" s="122">
        <f>SUM(AD78:AL78)</f>
        <v/>
      </c>
      <c r="AP78" s="122">
        <f>SUM(AM78,AB78)</f>
        <v/>
      </c>
      <c r="AQ78" s="122">
        <f>SUM(AA78)</f>
        <v/>
      </c>
      <c r="AR78" s="121">
        <f>(AP78+AQ78)-3%</f>
        <v/>
      </c>
      <c r="AS78" s="122">
        <f>SUM(AO78+AM78)</f>
        <v/>
      </c>
      <c r="AT78" s="122">
        <f>SUM(AH78+AN78)</f>
        <v/>
      </c>
      <c r="AU78" s="122">
        <f>SUM(AN78+AO78)</f>
        <v/>
      </c>
      <c r="AV78" s="122">
        <f>SUM(AN78+AD78+AE78+AF78+AG78+AH78+AJ78+AK78+AL78)</f>
        <v/>
      </c>
      <c r="AW78" s="122">
        <f>SUM(AD78+AE78+AF78+AG78+AI78+AJ78+AK78+AL78)</f>
        <v/>
      </c>
    </row>
    <row r="79" ht="14.1" customHeight="1" s="259">
      <c r="A79" s="174">
        <f>A78+1</f>
        <v/>
      </c>
      <c r="B79" s="204" t="n"/>
      <c r="C79" s="205" t="n"/>
      <c r="D79" s="204" t="n"/>
      <c r="E79" s="206" t="n"/>
      <c r="F79" s="206" t="n"/>
      <c r="G79" s="206" t="n"/>
      <c r="H79" s="206" t="n"/>
      <c r="I79" s="206" t="n"/>
      <c r="J79" s="206" t="n"/>
      <c r="K79" s="206" t="n"/>
      <c r="L79" s="206" t="n"/>
      <c r="M79" s="206" t="n"/>
      <c r="N79" s="206" t="n"/>
      <c r="O79" s="206" t="n"/>
      <c r="P79" s="206" t="n"/>
      <c r="Q79" s="206" t="n"/>
      <c r="R79" s="206" t="n"/>
      <c r="S79" s="206" t="n"/>
      <c r="T79" s="204">
        <f>SUM(F79:S79)</f>
        <v/>
      </c>
      <c r="U79" s="207">
        <f>(HLOOKUP(B79,F:T,A79,FALSE)/T79)</f>
        <v/>
      </c>
      <c r="V79" s="189" t="n"/>
      <c r="W79" s="163">
        <f>YEAR(C79)</f>
        <v/>
      </c>
      <c r="X79" s="116">
        <f>MONTH(C79)</f>
        <v/>
      </c>
      <c r="Y79" s="116">
        <f>WEEKNUM(C79,21)</f>
        <v/>
      </c>
      <c r="Z79" s="122">
        <f>IFERROR(F79/$T79,0)</f>
        <v/>
      </c>
      <c r="AA79" s="122">
        <f>IFERROR(G79/$T79,0)</f>
        <v/>
      </c>
      <c r="AB79" s="122">
        <f>IFERROR(H79/$T79,0)</f>
        <v/>
      </c>
      <c r="AC79" s="122">
        <f>IFERROR(I79/$T79,0)</f>
        <v/>
      </c>
      <c r="AD79" s="122">
        <f>IFERROR(J79/$T79,0)</f>
        <v/>
      </c>
      <c r="AE79" s="122">
        <f>IFERROR(K79/$T79,0)</f>
        <v/>
      </c>
      <c r="AF79" s="122">
        <f>IFERROR(L79/$T79,0)</f>
        <v/>
      </c>
      <c r="AG79" s="122">
        <f>IFERROR(M79/$T79,0)</f>
        <v/>
      </c>
      <c r="AH79" s="122">
        <f>IFERROR(N79/$T79,0)</f>
        <v/>
      </c>
      <c r="AI79" s="122">
        <f>IFERROR(O79/$T79,0)</f>
        <v/>
      </c>
      <c r="AJ79" s="122">
        <f>IFERROR(P79/$T79,0)</f>
        <v/>
      </c>
      <c r="AK79" s="122">
        <f>IFERROR(Q79/$T79,0)</f>
        <v/>
      </c>
      <c r="AL79" s="122">
        <f>IFERROR(R79/$T79,0)</f>
        <v/>
      </c>
      <c r="AM79" s="122">
        <f>IFERROR(S79/$T79,0)</f>
        <v/>
      </c>
      <c r="AN79" s="122">
        <f>SUM(Z79:AC79)</f>
        <v/>
      </c>
      <c r="AO79" s="122">
        <f>SUM(AD79:AL79)</f>
        <v/>
      </c>
      <c r="AP79" s="122">
        <f>SUM(AM79,AB79)</f>
        <v/>
      </c>
      <c r="AQ79" s="122">
        <f>SUM(AA79)</f>
        <v/>
      </c>
      <c r="AR79" s="121">
        <f>(AP79+AQ79)-3%</f>
        <v/>
      </c>
      <c r="AS79" s="122">
        <f>SUM(AO79+AM79)</f>
        <v/>
      </c>
      <c r="AT79" s="122">
        <f>SUM(AH79+AN79)</f>
        <v/>
      </c>
      <c r="AU79" s="122">
        <f>SUM(AN79+AO79)</f>
        <v/>
      </c>
      <c r="AV79" s="122">
        <f>SUM(AN79+AD79+AE79+AF79+AG79+AH79+AJ79+AK79+AL79)</f>
        <v/>
      </c>
      <c r="AW79" s="122">
        <f>SUM(AD79+AE79+AF79+AG79+AI79+AJ79+AK79+AL79)</f>
        <v/>
      </c>
    </row>
    <row r="80" ht="14.1" customHeight="1" s="259">
      <c r="A80" s="174">
        <f>A79+1</f>
        <v/>
      </c>
      <c r="B80" s="204" t="n"/>
      <c r="C80" s="205" t="n"/>
      <c r="D80" s="204" t="n"/>
      <c r="E80" s="206" t="n"/>
      <c r="F80" s="206" t="n"/>
      <c r="G80" s="206" t="n"/>
      <c r="H80" s="206" t="n"/>
      <c r="I80" s="206" t="n"/>
      <c r="J80" s="206" t="n"/>
      <c r="K80" s="206" t="n"/>
      <c r="L80" s="206" t="n"/>
      <c r="M80" s="206" t="n"/>
      <c r="N80" s="206" t="n"/>
      <c r="O80" s="206" t="n"/>
      <c r="P80" s="206" t="n"/>
      <c r="Q80" s="206" t="n"/>
      <c r="R80" s="206" t="n"/>
      <c r="S80" s="206" t="n"/>
      <c r="T80" s="204">
        <f>SUM(F80:S80)</f>
        <v/>
      </c>
      <c r="U80" s="207">
        <f>(HLOOKUP(B80,F:T,A80,FALSE)/T80)</f>
        <v/>
      </c>
      <c r="V80" s="189" t="n"/>
      <c r="W80" s="163">
        <f>YEAR(C80)</f>
        <v/>
      </c>
      <c r="X80" s="116">
        <f>MONTH(C80)</f>
        <v/>
      </c>
      <c r="Y80" s="116">
        <f>WEEKNUM(C80,21)</f>
        <v/>
      </c>
      <c r="Z80" s="122">
        <f>IFERROR(F80/$T80,0)</f>
        <v/>
      </c>
      <c r="AA80" s="122">
        <f>IFERROR(G80/$T80,0)</f>
        <v/>
      </c>
      <c r="AB80" s="122">
        <f>IFERROR(H80/$T80,0)</f>
        <v/>
      </c>
      <c r="AC80" s="122">
        <f>IFERROR(I80/$T80,0)</f>
        <v/>
      </c>
      <c r="AD80" s="122">
        <f>IFERROR(J80/$T80,0)</f>
        <v/>
      </c>
      <c r="AE80" s="122">
        <f>IFERROR(K80/$T80,0)</f>
        <v/>
      </c>
      <c r="AF80" s="122">
        <f>IFERROR(L80/$T80,0)</f>
        <v/>
      </c>
      <c r="AG80" s="122">
        <f>IFERROR(M80/$T80,0)</f>
        <v/>
      </c>
      <c r="AH80" s="122">
        <f>IFERROR(N80/$T80,0)</f>
        <v/>
      </c>
      <c r="AI80" s="122">
        <f>IFERROR(O80/$T80,0)</f>
        <v/>
      </c>
      <c r="AJ80" s="122">
        <f>IFERROR(P80/$T80,0)</f>
        <v/>
      </c>
      <c r="AK80" s="122">
        <f>IFERROR(Q80/$T80,0)</f>
        <v/>
      </c>
      <c r="AL80" s="122">
        <f>IFERROR(R80/$T80,0)</f>
        <v/>
      </c>
      <c r="AM80" s="122">
        <f>IFERROR(S80/$T80,0)</f>
        <v/>
      </c>
      <c r="AN80" s="122">
        <f>SUM(Z80:AC80)</f>
        <v/>
      </c>
      <c r="AO80" s="122">
        <f>SUM(AD80:AL80)</f>
        <v/>
      </c>
      <c r="AP80" s="122">
        <f>SUM(AM80,AB80)</f>
        <v/>
      </c>
      <c r="AQ80" s="122">
        <f>SUM(AA80)</f>
        <v/>
      </c>
      <c r="AR80" s="121">
        <f>(AP80+AQ80)-3%</f>
        <v/>
      </c>
      <c r="AS80" s="122">
        <f>SUM(AO80+AM80)</f>
        <v/>
      </c>
      <c r="AT80" s="122">
        <f>SUM(AH80+AN80)</f>
        <v/>
      </c>
      <c r="AU80" s="122">
        <f>SUM(AN80+AO80)</f>
        <v/>
      </c>
      <c r="AV80" s="122">
        <f>SUM(AN80+AD80+AE80+AF80+AG80+AH80+AJ80+AK80+AL80)</f>
        <v/>
      </c>
      <c r="AW80" s="122">
        <f>SUM(AD80+AE80+AF80+AG80+AI80+AJ80+AK80+AL80)</f>
        <v/>
      </c>
    </row>
    <row r="81" ht="14.1" customHeight="1" s="259">
      <c r="A81" s="174">
        <f>A80+1</f>
        <v/>
      </c>
      <c r="B81" s="204" t="n"/>
      <c r="C81" s="205" t="n"/>
      <c r="D81" s="204" t="n"/>
      <c r="E81" s="206" t="n"/>
      <c r="F81" s="206" t="n"/>
      <c r="G81" s="206" t="n"/>
      <c r="H81" s="206" t="n"/>
      <c r="I81" s="206" t="n"/>
      <c r="J81" s="206" t="n"/>
      <c r="K81" s="206" t="n"/>
      <c r="L81" s="206" t="n"/>
      <c r="M81" s="206" t="n"/>
      <c r="N81" s="206" t="n"/>
      <c r="O81" s="206" t="n"/>
      <c r="P81" s="206" t="n"/>
      <c r="Q81" s="206" t="n"/>
      <c r="R81" s="206" t="n"/>
      <c r="S81" s="206" t="n"/>
      <c r="T81" s="204">
        <f>SUM(F81:S81)</f>
        <v/>
      </c>
      <c r="U81" s="207">
        <f>(HLOOKUP(B81,F:T,A81,FALSE)/T81)</f>
        <v/>
      </c>
      <c r="V81" s="189" t="n"/>
      <c r="W81" s="163">
        <f>YEAR(C81)</f>
        <v/>
      </c>
      <c r="X81" s="116">
        <f>MONTH(C81)</f>
        <v/>
      </c>
      <c r="Y81" s="116">
        <f>WEEKNUM(C81,21)</f>
        <v/>
      </c>
      <c r="Z81" s="122">
        <f>IFERROR(F81/$T81,0)</f>
        <v/>
      </c>
      <c r="AA81" s="122">
        <f>IFERROR(G81/$T81,0)</f>
        <v/>
      </c>
      <c r="AB81" s="122">
        <f>IFERROR(H81/$T81,0)</f>
        <v/>
      </c>
      <c r="AC81" s="122">
        <f>IFERROR(I81/$T81,0)</f>
        <v/>
      </c>
      <c r="AD81" s="122">
        <f>IFERROR(J81/$T81,0)</f>
        <v/>
      </c>
      <c r="AE81" s="122">
        <f>IFERROR(K81/$T81,0)</f>
        <v/>
      </c>
      <c r="AF81" s="122">
        <f>IFERROR(L81/$T81,0)</f>
        <v/>
      </c>
      <c r="AG81" s="122">
        <f>IFERROR(M81/$T81,0)</f>
        <v/>
      </c>
      <c r="AH81" s="122">
        <f>IFERROR(N81/$T81,0)</f>
        <v/>
      </c>
      <c r="AI81" s="122">
        <f>IFERROR(O81/$T81,0)</f>
        <v/>
      </c>
      <c r="AJ81" s="122">
        <f>IFERROR(P81/$T81,0)</f>
        <v/>
      </c>
      <c r="AK81" s="122">
        <f>IFERROR(Q81/$T81,0)</f>
        <v/>
      </c>
      <c r="AL81" s="122">
        <f>IFERROR(R81/$T81,0)</f>
        <v/>
      </c>
      <c r="AM81" s="122">
        <f>IFERROR(S81/$T81,0)</f>
        <v/>
      </c>
      <c r="AN81" s="122">
        <f>SUM(Z81:AC81)</f>
        <v/>
      </c>
      <c r="AO81" s="122">
        <f>SUM(AD81:AL81)</f>
        <v/>
      </c>
      <c r="AP81" s="122">
        <f>SUM(AM81,AB81)</f>
        <v/>
      </c>
      <c r="AQ81" s="122">
        <f>SUM(AA81)</f>
        <v/>
      </c>
      <c r="AR81" s="121">
        <f>(AP81+AQ81)-3%</f>
        <v/>
      </c>
      <c r="AS81" s="122">
        <f>SUM(AO81+AM81)</f>
        <v/>
      </c>
      <c r="AT81" s="122">
        <f>SUM(AH81+AN81)</f>
        <v/>
      </c>
      <c r="AU81" s="122">
        <f>SUM(AN81+AO81)</f>
        <v/>
      </c>
      <c r="AV81" s="122">
        <f>SUM(AN81+AD81+AE81+AF81+AG81+AH81+AJ81+AK81+AL81)</f>
        <v/>
      </c>
      <c r="AW81" s="122">
        <f>SUM(AD81+AE81+AF81+AG81+AI81+AJ81+AK81+AL81)</f>
        <v/>
      </c>
    </row>
    <row r="82" ht="14.1" customHeight="1" s="259">
      <c r="A82" s="174">
        <f>A81+1</f>
        <v/>
      </c>
      <c r="B82" s="204" t="n"/>
      <c r="C82" s="205" t="n"/>
      <c r="D82" s="204" t="n"/>
      <c r="E82" s="206" t="n"/>
      <c r="F82" s="206" t="n"/>
      <c r="G82" s="206" t="n"/>
      <c r="H82" s="206" t="n"/>
      <c r="I82" s="206" t="n"/>
      <c r="J82" s="206" t="n"/>
      <c r="K82" s="206" t="n"/>
      <c r="L82" s="206" t="n"/>
      <c r="M82" s="206" t="n"/>
      <c r="N82" s="206" t="n"/>
      <c r="O82" s="206" t="n"/>
      <c r="P82" s="206" t="n"/>
      <c r="Q82" s="206" t="n"/>
      <c r="R82" s="206" t="n"/>
      <c r="S82" s="206" t="n"/>
      <c r="T82" s="204">
        <f>SUM(F82:S82)</f>
        <v/>
      </c>
      <c r="U82" s="207">
        <f>(HLOOKUP(B82,F:T,A82,FALSE)/T82)</f>
        <v/>
      </c>
      <c r="V82" s="189" t="n"/>
      <c r="W82" s="163">
        <f>YEAR(C82)</f>
        <v/>
      </c>
      <c r="X82" s="116">
        <f>MONTH(C82)</f>
        <v/>
      </c>
      <c r="Y82" s="116">
        <f>WEEKNUM(C82,21)</f>
        <v/>
      </c>
      <c r="Z82" s="122">
        <f>IFERROR(F82/$T82,0)</f>
        <v/>
      </c>
      <c r="AA82" s="122">
        <f>IFERROR(G82/$T82,0)</f>
        <v/>
      </c>
      <c r="AB82" s="122">
        <f>IFERROR(H82/$T82,0)</f>
        <v/>
      </c>
      <c r="AC82" s="122">
        <f>IFERROR(I82/$T82,0)</f>
        <v/>
      </c>
      <c r="AD82" s="122">
        <f>IFERROR(J82/$T82,0)</f>
        <v/>
      </c>
      <c r="AE82" s="122">
        <f>IFERROR(K82/$T82,0)</f>
        <v/>
      </c>
      <c r="AF82" s="122">
        <f>IFERROR(L82/$T82,0)</f>
        <v/>
      </c>
      <c r="AG82" s="122">
        <f>IFERROR(M82/$T82,0)</f>
        <v/>
      </c>
      <c r="AH82" s="122">
        <f>IFERROR(N82/$T82,0)</f>
        <v/>
      </c>
      <c r="AI82" s="122">
        <f>IFERROR(O82/$T82,0)</f>
        <v/>
      </c>
      <c r="AJ82" s="122">
        <f>IFERROR(P82/$T82,0)</f>
        <v/>
      </c>
      <c r="AK82" s="122">
        <f>IFERROR(Q82/$T82,0)</f>
        <v/>
      </c>
      <c r="AL82" s="122">
        <f>IFERROR(R82/$T82,0)</f>
        <v/>
      </c>
      <c r="AM82" s="122">
        <f>IFERROR(S82/$T82,0)</f>
        <v/>
      </c>
      <c r="AN82" s="122">
        <f>SUM(Z82:AC82)</f>
        <v/>
      </c>
      <c r="AO82" s="122">
        <f>SUM(AD82:AL82)</f>
        <v/>
      </c>
      <c r="AP82" s="122">
        <f>SUM(AM82,AB82)</f>
        <v/>
      </c>
      <c r="AQ82" s="122">
        <f>SUM(AA82)</f>
        <v/>
      </c>
      <c r="AR82" s="121">
        <f>(AP82+AQ82)-3%</f>
        <v/>
      </c>
      <c r="AS82" s="122">
        <f>SUM(AO82+AM82)</f>
        <v/>
      </c>
      <c r="AT82" s="122">
        <f>SUM(AH82+AN82)</f>
        <v/>
      </c>
      <c r="AU82" s="122">
        <f>SUM(AN82+AO82)</f>
        <v/>
      </c>
      <c r="AV82" s="122">
        <f>SUM(AN82+AD82+AE82+AF82+AG82+AH82+AJ82+AK82+AL82)</f>
        <v/>
      </c>
      <c r="AW82" s="122">
        <f>SUM(AD82+AE82+AF82+AG82+AI82+AJ82+AK82+AL82)</f>
        <v/>
      </c>
    </row>
    <row r="83" ht="14.1" customHeight="1" s="259">
      <c r="A83" s="174">
        <f>A82+1</f>
        <v/>
      </c>
      <c r="B83" s="199" t="n"/>
      <c r="C83" s="200" t="n"/>
      <c r="D83" s="199" t="n"/>
      <c r="E83" s="201" t="n"/>
      <c r="F83" s="201" t="n"/>
      <c r="G83" s="201" t="n"/>
      <c r="H83" s="201" t="n"/>
      <c r="I83" s="201" t="n"/>
      <c r="J83" s="201" t="n"/>
      <c r="K83" s="201" t="n"/>
      <c r="L83" s="201" t="n"/>
      <c r="M83" s="201" t="n"/>
      <c r="N83" s="201" t="n"/>
      <c r="O83" s="201" t="n"/>
      <c r="P83" s="201" t="n"/>
      <c r="Q83" s="201" t="n"/>
      <c r="R83" s="201" t="n"/>
      <c r="S83" s="201" t="n"/>
      <c r="T83" s="199">
        <f>SUM(F83:S83)</f>
        <v/>
      </c>
      <c r="U83" s="202">
        <f>(HLOOKUP(B83,F:T,A83,FALSE)/T83)</f>
        <v/>
      </c>
      <c r="V83" s="189" t="n"/>
      <c r="W83" s="163">
        <f>YEAR(C83)</f>
        <v/>
      </c>
      <c r="X83" s="116">
        <f>MONTH(C83)</f>
        <v/>
      </c>
      <c r="Y83" s="116">
        <f>WEEKNUM(C83,21)</f>
        <v/>
      </c>
      <c r="Z83" s="122">
        <f>IFERROR(F83/$T83,0)</f>
        <v/>
      </c>
      <c r="AA83" s="122">
        <f>IFERROR(G83/$T83,0)</f>
        <v/>
      </c>
      <c r="AB83" s="122">
        <f>IFERROR(H83/$T83,0)</f>
        <v/>
      </c>
      <c r="AC83" s="122">
        <f>IFERROR(I83/$T83,0)</f>
        <v/>
      </c>
      <c r="AD83" s="122">
        <f>IFERROR(J83/$T83,0)</f>
        <v/>
      </c>
      <c r="AE83" s="122">
        <f>IFERROR(K83/$T83,0)</f>
        <v/>
      </c>
      <c r="AF83" s="122">
        <f>IFERROR(L83/$T83,0)</f>
        <v/>
      </c>
      <c r="AG83" s="122">
        <f>IFERROR(M83/$T83,0)</f>
        <v/>
      </c>
      <c r="AH83" s="122">
        <f>IFERROR(N83/$T83,0)</f>
        <v/>
      </c>
      <c r="AI83" s="122">
        <f>IFERROR(O83/$T83,0)</f>
        <v/>
      </c>
      <c r="AJ83" s="122">
        <f>IFERROR(P83/$T83,0)</f>
        <v/>
      </c>
      <c r="AK83" s="122">
        <f>IFERROR(Q83/$T83,0)</f>
        <v/>
      </c>
      <c r="AL83" s="122">
        <f>IFERROR(R83/$T83,0)</f>
        <v/>
      </c>
      <c r="AM83" s="122">
        <f>IFERROR(S83/$T83,0)</f>
        <v/>
      </c>
      <c r="AN83" s="122">
        <f>SUM(Z83:AC83)</f>
        <v/>
      </c>
      <c r="AO83" s="122">
        <f>SUM(AD83:AL83)</f>
        <v/>
      </c>
      <c r="AP83" s="122">
        <f>SUM(AM83,AB83)</f>
        <v/>
      </c>
      <c r="AQ83" s="122">
        <f>SUM(AA83)</f>
        <v/>
      </c>
      <c r="AR83" s="121">
        <f>(AP83+AQ83)-3%</f>
        <v/>
      </c>
      <c r="AS83" s="122">
        <f>SUM(AO83+AM83)</f>
        <v/>
      </c>
      <c r="AT83" s="122">
        <f>SUM(AH83+AN83)</f>
        <v/>
      </c>
      <c r="AU83" s="122">
        <f>SUM(AN83+AO83)</f>
        <v/>
      </c>
      <c r="AV83" s="122">
        <f>SUM(AN83+AD83+AE83+AF83+AG83+AH83+AJ83+AK83+AL83)</f>
        <v/>
      </c>
      <c r="AW83" s="122">
        <f>SUM(AD83+AE83+AF83+AG83+AI83+AJ83+AK83+AL83)</f>
        <v/>
      </c>
    </row>
    <row r="84" ht="14.1" customHeight="1" s="259">
      <c r="A84" s="174">
        <f>A83+1</f>
        <v/>
      </c>
      <c r="B84" s="199" t="n"/>
      <c r="C84" s="200" t="n"/>
      <c r="D84" s="199" t="n"/>
      <c r="E84" s="201" t="n"/>
      <c r="F84" s="201" t="n"/>
      <c r="G84" s="201" t="n"/>
      <c r="H84" s="201" t="n"/>
      <c r="I84" s="201" t="n"/>
      <c r="J84" s="201" t="n"/>
      <c r="K84" s="201" t="n"/>
      <c r="L84" s="201" t="n"/>
      <c r="M84" s="201" t="n"/>
      <c r="N84" s="201" t="n"/>
      <c r="O84" s="201" t="n"/>
      <c r="P84" s="201" t="n"/>
      <c r="Q84" s="201" t="n"/>
      <c r="R84" s="201" t="n"/>
      <c r="S84" s="201" t="n"/>
      <c r="T84" s="199">
        <f>SUM(F84:S84)</f>
        <v/>
      </c>
      <c r="U84" s="202">
        <f>(HLOOKUP(B84,F:T,A84,FALSE)/T84)</f>
        <v/>
      </c>
      <c r="V84" s="189" t="n"/>
      <c r="W84" s="163">
        <f>YEAR(C84)</f>
        <v/>
      </c>
      <c r="X84" s="116">
        <f>MONTH(C84)</f>
        <v/>
      </c>
      <c r="Y84" s="116">
        <f>WEEKNUM(C84,21)</f>
        <v/>
      </c>
      <c r="Z84" s="122">
        <f>IFERROR(F84/$T84,0)</f>
        <v/>
      </c>
      <c r="AA84" s="122">
        <f>IFERROR(G84/$T84,0)</f>
        <v/>
      </c>
      <c r="AB84" s="122">
        <f>IFERROR(H84/$T84,0)</f>
        <v/>
      </c>
      <c r="AC84" s="122">
        <f>IFERROR(I84/$T84,0)</f>
        <v/>
      </c>
      <c r="AD84" s="122">
        <f>IFERROR(J84/$T84,0)</f>
        <v/>
      </c>
      <c r="AE84" s="122">
        <f>IFERROR(K84/$T84,0)</f>
        <v/>
      </c>
      <c r="AF84" s="122">
        <f>IFERROR(L84/$T84,0)</f>
        <v/>
      </c>
      <c r="AG84" s="122">
        <f>IFERROR(M84/$T84,0)</f>
        <v/>
      </c>
      <c r="AH84" s="122">
        <f>IFERROR(N84/$T84,0)</f>
        <v/>
      </c>
      <c r="AI84" s="122">
        <f>IFERROR(O84/$T84,0)</f>
        <v/>
      </c>
      <c r="AJ84" s="122">
        <f>IFERROR(P84/$T84,0)</f>
        <v/>
      </c>
      <c r="AK84" s="122">
        <f>IFERROR(Q84/$T84,0)</f>
        <v/>
      </c>
      <c r="AL84" s="122">
        <f>IFERROR(R84/$T84,0)</f>
        <v/>
      </c>
      <c r="AM84" s="122">
        <f>IFERROR(S84/$T84,0)</f>
        <v/>
      </c>
      <c r="AN84" s="122">
        <f>SUM(Z84:AC84)</f>
        <v/>
      </c>
      <c r="AO84" s="122">
        <f>SUM(AD84:AL84)</f>
        <v/>
      </c>
      <c r="AP84" s="122">
        <f>SUM(AM84,AB84)</f>
        <v/>
      </c>
      <c r="AQ84" s="122">
        <f>SUM(AA84)</f>
        <v/>
      </c>
      <c r="AR84" s="121">
        <f>(AP84+AQ84)-3%</f>
        <v/>
      </c>
      <c r="AS84" s="122">
        <f>SUM(AO84+AM84)</f>
        <v/>
      </c>
      <c r="AT84" s="122">
        <f>SUM(AH84+AN84)</f>
        <v/>
      </c>
      <c r="AU84" s="122">
        <f>SUM(AN84+AO84)</f>
        <v/>
      </c>
      <c r="AV84" s="122">
        <f>SUM(AN84+AD84+AE84+AF84+AG84+AH84+AJ84+AK84+AL84)</f>
        <v/>
      </c>
      <c r="AW84" s="122">
        <f>SUM(AD84+AE84+AF84+AG84+AI84+AJ84+AK84+AL84)</f>
        <v/>
      </c>
    </row>
    <row r="85" ht="14.1" customHeight="1" s="259">
      <c r="A85" s="174">
        <f>A84+1</f>
        <v/>
      </c>
      <c r="B85" s="204" t="n"/>
      <c r="C85" s="205" t="n"/>
      <c r="D85" s="204" t="n"/>
      <c r="E85" s="206" t="n"/>
      <c r="F85" s="206" t="n"/>
      <c r="G85" s="206" t="n"/>
      <c r="H85" s="206" t="n"/>
      <c r="I85" s="206" t="n"/>
      <c r="J85" s="206" t="n"/>
      <c r="K85" s="206" t="n"/>
      <c r="L85" s="206" t="n"/>
      <c r="M85" s="206" t="n"/>
      <c r="N85" s="206" t="n"/>
      <c r="O85" s="206" t="n"/>
      <c r="P85" s="206" t="n"/>
      <c r="Q85" s="206" t="n"/>
      <c r="R85" s="206" t="n"/>
      <c r="S85" s="206" t="n"/>
      <c r="T85" s="204">
        <f>SUM(F85:S85)</f>
        <v/>
      </c>
      <c r="U85" s="207">
        <f>(HLOOKUP(B85,F:T,A85,FALSE)/T85)</f>
        <v/>
      </c>
      <c r="V85" s="189" t="n"/>
      <c r="W85" s="163">
        <f>YEAR(C85)</f>
        <v/>
      </c>
      <c r="X85" s="116">
        <f>MONTH(C85)</f>
        <v/>
      </c>
      <c r="Y85" s="116">
        <f>WEEKNUM(C85,21)</f>
        <v/>
      </c>
      <c r="Z85" s="122">
        <f>IFERROR(F85/$T85,0)</f>
        <v/>
      </c>
      <c r="AA85" s="122">
        <f>IFERROR(G85/$T85,0)</f>
        <v/>
      </c>
      <c r="AB85" s="122">
        <f>IFERROR(H85/$T85,0)</f>
        <v/>
      </c>
      <c r="AC85" s="122">
        <f>IFERROR(I85/$T85,0)</f>
        <v/>
      </c>
      <c r="AD85" s="122">
        <f>IFERROR(J85/$T85,0)</f>
        <v/>
      </c>
      <c r="AE85" s="122">
        <f>IFERROR(K85/$T85,0)</f>
        <v/>
      </c>
      <c r="AF85" s="122">
        <f>IFERROR(L85/$T85,0)</f>
        <v/>
      </c>
      <c r="AG85" s="122">
        <f>IFERROR(M85/$T85,0)</f>
        <v/>
      </c>
      <c r="AH85" s="122">
        <f>IFERROR(N85/$T85,0)</f>
        <v/>
      </c>
      <c r="AI85" s="122">
        <f>IFERROR(O85/$T85,0)</f>
        <v/>
      </c>
      <c r="AJ85" s="122">
        <f>IFERROR(P85/$T85,0)</f>
        <v/>
      </c>
      <c r="AK85" s="122">
        <f>IFERROR(Q85/$T85,0)</f>
        <v/>
      </c>
      <c r="AL85" s="122">
        <f>IFERROR(R85/$T85,0)</f>
        <v/>
      </c>
      <c r="AM85" s="122">
        <f>IFERROR(S85/$T85,0)</f>
        <v/>
      </c>
      <c r="AN85" s="122">
        <f>SUM(Z85:AC85)</f>
        <v/>
      </c>
      <c r="AO85" s="122">
        <f>SUM(AD85:AL85)</f>
        <v/>
      </c>
      <c r="AP85" s="122">
        <f>SUM(AM85,AB85)</f>
        <v/>
      </c>
      <c r="AQ85" s="122">
        <f>SUM(AA85)</f>
        <v/>
      </c>
      <c r="AR85" s="121">
        <f>(AP85+AQ85)-3%</f>
        <v/>
      </c>
      <c r="AS85" s="122">
        <f>SUM(AO85+AM85)</f>
        <v/>
      </c>
      <c r="AT85" s="122">
        <f>SUM(AH85+AN85)</f>
        <v/>
      </c>
      <c r="AU85" s="122">
        <f>SUM(AN85+AO85)</f>
        <v/>
      </c>
      <c r="AV85" s="122">
        <f>SUM(AN85+AD85+AE85+AF85+AG85+AH85+AJ85+AK85+AL85)</f>
        <v/>
      </c>
      <c r="AW85" s="122">
        <f>SUM(AD85+AE85+AF85+AG85+AI85+AJ85+AK85+AL85)</f>
        <v/>
      </c>
    </row>
    <row r="86" ht="14.1" customHeight="1" s="259">
      <c r="A86" s="174">
        <f>A85+1</f>
        <v/>
      </c>
      <c r="B86" s="204" t="n"/>
      <c r="C86" s="205" t="n"/>
      <c r="D86" s="204" t="n"/>
      <c r="E86" s="206" t="n"/>
      <c r="F86" s="206" t="n"/>
      <c r="G86" s="206" t="n"/>
      <c r="H86" s="206" t="n"/>
      <c r="I86" s="206" t="n"/>
      <c r="J86" s="206" t="n"/>
      <c r="K86" s="206" t="n"/>
      <c r="L86" s="206" t="n"/>
      <c r="M86" s="206" t="n"/>
      <c r="N86" s="206" t="n"/>
      <c r="O86" s="206" t="n"/>
      <c r="P86" s="206" t="n"/>
      <c r="Q86" s="206" t="n"/>
      <c r="R86" s="206" t="n"/>
      <c r="S86" s="206" t="n"/>
      <c r="T86" s="204">
        <f>SUM(F86:S86)</f>
        <v/>
      </c>
      <c r="U86" s="207">
        <f>(HLOOKUP(B86,F:T,A86,FALSE)/T86)</f>
        <v/>
      </c>
      <c r="V86" s="189" t="n"/>
      <c r="W86" s="163">
        <f>YEAR(C86)</f>
        <v/>
      </c>
      <c r="X86" s="116">
        <f>MONTH(C86)</f>
        <v/>
      </c>
      <c r="Y86" s="116">
        <f>WEEKNUM(C86,21)</f>
        <v/>
      </c>
      <c r="Z86" s="122">
        <f>IFERROR(F86/$T86,0)</f>
        <v/>
      </c>
      <c r="AA86" s="122">
        <f>IFERROR(G86/$T86,0)</f>
        <v/>
      </c>
      <c r="AB86" s="122">
        <f>IFERROR(H86/$T86,0)</f>
        <v/>
      </c>
      <c r="AC86" s="122">
        <f>IFERROR(I86/$T86,0)</f>
        <v/>
      </c>
      <c r="AD86" s="122">
        <f>IFERROR(J86/$T86,0)</f>
        <v/>
      </c>
      <c r="AE86" s="122">
        <f>IFERROR(K86/$T86,0)</f>
        <v/>
      </c>
      <c r="AF86" s="122">
        <f>IFERROR(L86/$T86,0)</f>
        <v/>
      </c>
      <c r="AG86" s="122">
        <f>IFERROR(M86/$T86,0)</f>
        <v/>
      </c>
      <c r="AH86" s="122">
        <f>IFERROR(N86/$T86,0)</f>
        <v/>
      </c>
      <c r="AI86" s="122">
        <f>IFERROR(O86/$T86,0)</f>
        <v/>
      </c>
      <c r="AJ86" s="122">
        <f>IFERROR(P86/$T86,0)</f>
        <v/>
      </c>
      <c r="AK86" s="122">
        <f>IFERROR(Q86/$T86,0)</f>
        <v/>
      </c>
      <c r="AL86" s="122">
        <f>IFERROR(R86/$T86,0)</f>
        <v/>
      </c>
      <c r="AM86" s="122">
        <f>IFERROR(S86/$T86,0)</f>
        <v/>
      </c>
      <c r="AN86" s="122">
        <f>SUM(Z86:AC86)</f>
        <v/>
      </c>
      <c r="AO86" s="122">
        <f>SUM(AD86:AL86)</f>
        <v/>
      </c>
      <c r="AP86" s="122">
        <f>SUM(AM86,AB86)</f>
        <v/>
      </c>
      <c r="AQ86" s="122">
        <f>SUM(AA86)</f>
        <v/>
      </c>
      <c r="AR86" s="121">
        <f>(AP86+AQ86)-3%</f>
        <v/>
      </c>
      <c r="AS86" s="122">
        <f>SUM(AO86+AM86)</f>
        <v/>
      </c>
      <c r="AT86" s="122">
        <f>SUM(AH86+AN86)</f>
        <v/>
      </c>
      <c r="AU86" s="122">
        <f>SUM(AN86+AO86)</f>
        <v/>
      </c>
      <c r="AV86" s="122">
        <f>SUM(AN86+AD86+AE86+AF86+AG86+AH86+AJ86+AK86+AL86)</f>
        <v/>
      </c>
      <c r="AW86" s="122">
        <f>SUM(AD86+AE86+AF86+AG86+AI86+AJ86+AK86+AL86)</f>
        <v/>
      </c>
    </row>
    <row r="87" ht="14.1" customHeight="1" s="259">
      <c r="A87" s="174">
        <f>A86+1</f>
        <v/>
      </c>
      <c r="B87" s="204" t="n"/>
      <c r="C87" s="205" t="n"/>
      <c r="D87" s="204" t="n"/>
      <c r="E87" s="206" t="n"/>
      <c r="F87" s="206" t="n"/>
      <c r="G87" s="206" t="n"/>
      <c r="H87" s="206" t="n"/>
      <c r="I87" s="206" t="n"/>
      <c r="J87" s="206" t="n"/>
      <c r="K87" s="206" t="n"/>
      <c r="L87" s="206" t="n"/>
      <c r="M87" s="206" t="n"/>
      <c r="N87" s="206" t="n"/>
      <c r="O87" s="206" t="n"/>
      <c r="P87" s="206" t="n"/>
      <c r="Q87" s="206" t="n"/>
      <c r="R87" s="206" t="n"/>
      <c r="S87" s="206" t="n"/>
      <c r="T87" s="204">
        <f>SUM(F87:S87)</f>
        <v/>
      </c>
      <c r="U87" s="207">
        <f>(HLOOKUP(B87,F:T,A87,FALSE)/T87)</f>
        <v/>
      </c>
      <c r="V87" s="189" t="n"/>
      <c r="W87" s="163">
        <f>YEAR(C87)</f>
        <v/>
      </c>
      <c r="X87" s="116">
        <f>MONTH(C87)</f>
        <v/>
      </c>
      <c r="Y87" s="116">
        <f>WEEKNUM(C87,21)</f>
        <v/>
      </c>
      <c r="Z87" s="122">
        <f>IFERROR(F87/$T87,0)</f>
        <v/>
      </c>
      <c r="AA87" s="122">
        <f>IFERROR(G87/$T87,0)</f>
        <v/>
      </c>
      <c r="AB87" s="122">
        <f>IFERROR(H87/$T87,0)</f>
        <v/>
      </c>
      <c r="AC87" s="122">
        <f>IFERROR(I87/$T87,0)</f>
        <v/>
      </c>
      <c r="AD87" s="122">
        <f>IFERROR(J87/$T87,0)</f>
        <v/>
      </c>
      <c r="AE87" s="122">
        <f>IFERROR(K87/$T87,0)</f>
        <v/>
      </c>
      <c r="AF87" s="122">
        <f>IFERROR(L87/$T87,0)</f>
        <v/>
      </c>
      <c r="AG87" s="122">
        <f>IFERROR(M87/$T87,0)</f>
        <v/>
      </c>
      <c r="AH87" s="122">
        <f>IFERROR(N87/$T87,0)</f>
        <v/>
      </c>
      <c r="AI87" s="122">
        <f>IFERROR(O87/$T87,0)</f>
        <v/>
      </c>
      <c r="AJ87" s="122">
        <f>IFERROR(P87/$T87,0)</f>
        <v/>
      </c>
      <c r="AK87" s="122">
        <f>IFERROR(Q87/$T87,0)</f>
        <v/>
      </c>
      <c r="AL87" s="122">
        <f>IFERROR(R87/$T87,0)</f>
        <v/>
      </c>
      <c r="AM87" s="122">
        <f>IFERROR(S87/$T87,0)</f>
        <v/>
      </c>
      <c r="AN87" s="122">
        <f>SUM(Z87:AC87)</f>
        <v/>
      </c>
      <c r="AO87" s="122">
        <f>SUM(AD87:AL87)</f>
        <v/>
      </c>
      <c r="AP87" s="122">
        <f>SUM(AM87,AB87)</f>
        <v/>
      </c>
      <c r="AQ87" s="122">
        <f>SUM(AA87)</f>
        <v/>
      </c>
      <c r="AR87" s="121">
        <f>(AP87+AQ87)-3%</f>
        <v/>
      </c>
      <c r="AS87" s="122">
        <f>SUM(AO87+AM87)</f>
        <v/>
      </c>
      <c r="AT87" s="122">
        <f>SUM(AH87+AN87)</f>
        <v/>
      </c>
      <c r="AU87" s="122">
        <f>SUM(AN87+AO87)</f>
        <v/>
      </c>
      <c r="AV87" s="122">
        <f>SUM(AN87+AD87+AE87+AF87+AG87+AH87+AJ87+AK87+AL87)</f>
        <v/>
      </c>
      <c r="AW87" s="122">
        <f>SUM(AD87+AE87+AF87+AG87+AI87+AJ87+AK87+AL87)</f>
        <v/>
      </c>
    </row>
    <row r="88" ht="14.1" customHeight="1" s="259">
      <c r="A88" s="174">
        <f>A87+1</f>
        <v/>
      </c>
      <c r="B88" s="204" t="n"/>
      <c r="C88" s="205" t="n"/>
      <c r="D88" s="204" t="n"/>
      <c r="E88" s="206" t="n"/>
      <c r="F88" s="206" t="n"/>
      <c r="G88" s="206" t="n"/>
      <c r="H88" s="206" t="n"/>
      <c r="I88" s="206" t="n"/>
      <c r="J88" s="206" t="n"/>
      <c r="K88" s="206" t="n"/>
      <c r="L88" s="206" t="n"/>
      <c r="M88" s="206" t="n"/>
      <c r="N88" s="206" t="n"/>
      <c r="O88" s="206" t="n"/>
      <c r="P88" s="206" t="n"/>
      <c r="Q88" s="206" t="n"/>
      <c r="R88" s="206" t="n"/>
      <c r="S88" s="206" t="n"/>
      <c r="T88" s="204">
        <f>SUM(F88:S88)</f>
        <v/>
      </c>
      <c r="U88" s="207">
        <f>(HLOOKUP(B88,F:T,A88,FALSE)/T88)</f>
        <v/>
      </c>
      <c r="V88" s="189" t="n"/>
      <c r="W88" s="163">
        <f>YEAR(C88)</f>
        <v/>
      </c>
      <c r="X88" s="116">
        <f>MONTH(C88)</f>
        <v/>
      </c>
      <c r="Y88" s="116">
        <f>WEEKNUM(C88,21)</f>
        <v/>
      </c>
      <c r="Z88" s="122">
        <f>IFERROR(F88/$T88,0)</f>
        <v/>
      </c>
      <c r="AA88" s="122">
        <f>IFERROR(G88/$T88,0)</f>
        <v/>
      </c>
      <c r="AB88" s="122">
        <f>IFERROR(H88/$T88,0)</f>
        <v/>
      </c>
      <c r="AC88" s="122">
        <f>IFERROR(I88/$T88,0)</f>
        <v/>
      </c>
      <c r="AD88" s="122">
        <f>IFERROR(J88/$T88,0)</f>
        <v/>
      </c>
      <c r="AE88" s="122">
        <f>IFERROR(K88/$T88,0)</f>
        <v/>
      </c>
      <c r="AF88" s="122">
        <f>IFERROR(L88/$T88,0)</f>
        <v/>
      </c>
      <c r="AG88" s="122">
        <f>IFERROR(M88/$T88,0)</f>
        <v/>
      </c>
      <c r="AH88" s="122">
        <f>IFERROR(N88/$T88,0)</f>
        <v/>
      </c>
      <c r="AI88" s="122">
        <f>IFERROR(O88/$T88,0)</f>
        <v/>
      </c>
      <c r="AJ88" s="122">
        <f>IFERROR(P88/$T88,0)</f>
        <v/>
      </c>
      <c r="AK88" s="122">
        <f>IFERROR(Q88/$T88,0)</f>
        <v/>
      </c>
      <c r="AL88" s="122">
        <f>IFERROR(R88/$T88,0)</f>
        <v/>
      </c>
      <c r="AM88" s="122">
        <f>IFERROR(S88/$T88,0)</f>
        <v/>
      </c>
      <c r="AN88" s="122">
        <f>SUM(Z88:AC88)</f>
        <v/>
      </c>
      <c r="AO88" s="122">
        <f>SUM(AD88:AL88)</f>
        <v/>
      </c>
      <c r="AP88" s="122">
        <f>SUM(AM88,AB88)</f>
        <v/>
      </c>
      <c r="AQ88" s="122">
        <f>SUM(AA88)</f>
        <v/>
      </c>
      <c r="AR88" s="121">
        <f>(AP88+AQ88)-3%</f>
        <v/>
      </c>
      <c r="AS88" s="122">
        <f>SUM(AO88+AM88)</f>
        <v/>
      </c>
      <c r="AT88" s="122">
        <f>SUM(AH88+AN88)</f>
        <v/>
      </c>
      <c r="AU88" s="122">
        <f>SUM(AN88+AO88)</f>
        <v/>
      </c>
      <c r="AV88" s="122">
        <f>SUM(AN88+AD88+AE88+AF88+AG88+AH88+AJ88+AK88+AL88)</f>
        <v/>
      </c>
      <c r="AW88" s="122">
        <f>SUM(AD88+AE88+AF88+AG88+AI88+AJ88+AK88+AL88)</f>
        <v/>
      </c>
    </row>
    <row r="89" ht="14.1" customHeight="1" s="259">
      <c r="A89" s="174">
        <f>A88+1</f>
        <v/>
      </c>
      <c r="B89" s="204" t="n"/>
      <c r="C89" s="205" t="n"/>
      <c r="D89" s="204" t="n"/>
      <c r="E89" s="206" t="n"/>
      <c r="F89" s="206" t="n"/>
      <c r="G89" s="206" t="n"/>
      <c r="H89" s="206" t="n"/>
      <c r="I89" s="206" t="n"/>
      <c r="J89" s="206" t="n"/>
      <c r="K89" s="206" t="n"/>
      <c r="L89" s="206" t="n"/>
      <c r="M89" s="206" t="n"/>
      <c r="N89" s="206" t="n"/>
      <c r="O89" s="206" t="n"/>
      <c r="P89" s="206" t="n"/>
      <c r="Q89" s="206" t="n"/>
      <c r="R89" s="206" t="n"/>
      <c r="S89" s="206" t="n"/>
      <c r="T89" s="204">
        <f>SUM(F89:S89)</f>
        <v/>
      </c>
      <c r="U89" s="207">
        <f>(HLOOKUP(B89,F:T,A89,FALSE)/T89)</f>
        <v/>
      </c>
      <c r="V89" s="189" t="n"/>
      <c r="W89" s="163">
        <f>YEAR(C89)</f>
        <v/>
      </c>
      <c r="X89" s="116">
        <f>MONTH(C89)</f>
        <v/>
      </c>
      <c r="Y89" s="116">
        <f>WEEKNUM(C89,21)</f>
        <v/>
      </c>
      <c r="Z89" s="122">
        <f>IFERROR(F89/$T89,0)</f>
        <v/>
      </c>
      <c r="AA89" s="122">
        <f>IFERROR(G89/$T89,0)</f>
        <v/>
      </c>
      <c r="AB89" s="122">
        <f>IFERROR(H89/$T89,0)</f>
        <v/>
      </c>
      <c r="AC89" s="122">
        <f>IFERROR(I89/$T89,0)</f>
        <v/>
      </c>
      <c r="AD89" s="122">
        <f>IFERROR(J89/$T89,0)</f>
        <v/>
      </c>
      <c r="AE89" s="122">
        <f>IFERROR(K89/$T89,0)</f>
        <v/>
      </c>
      <c r="AF89" s="122">
        <f>IFERROR(L89/$T89,0)</f>
        <v/>
      </c>
      <c r="AG89" s="122">
        <f>IFERROR(M89/$T89,0)</f>
        <v/>
      </c>
      <c r="AH89" s="122">
        <f>IFERROR(N89/$T89,0)</f>
        <v/>
      </c>
      <c r="AI89" s="122">
        <f>IFERROR(O89/$T89,0)</f>
        <v/>
      </c>
      <c r="AJ89" s="122">
        <f>IFERROR(P89/$T89,0)</f>
        <v/>
      </c>
      <c r="AK89" s="122">
        <f>IFERROR(Q89/$T89,0)</f>
        <v/>
      </c>
      <c r="AL89" s="122">
        <f>IFERROR(R89/$T89,0)</f>
        <v/>
      </c>
      <c r="AM89" s="122">
        <f>IFERROR(S89/$T89,0)</f>
        <v/>
      </c>
      <c r="AN89" s="122">
        <f>SUM(Z89:AC89)</f>
        <v/>
      </c>
      <c r="AO89" s="122">
        <f>SUM(AD89:AL89)</f>
        <v/>
      </c>
      <c r="AP89" s="122">
        <f>SUM(AM89,AB89)</f>
        <v/>
      </c>
      <c r="AQ89" s="122">
        <f>SUM(AA89)</f>
        <v/>
      </c>
      <c r="AR89" s="121">
        <f>(AP89+AQ89)-3%</f>
        <v/>
      </c>
      <c r="AS89" s="122">
        <f>SUM(AO89+AM89)</f>
        <v/>
      </c>
      <c r="AT89" s="122">
        <f>SUM(AH89+AN89)</f>
        <v/>
      </c>
      <c r="AU89" s="122">
        <f>SUM(AN89+AO89)</f>
        <v/>
      </c>
      <c r="AV89" s="122">
        <f>SUM(AN89+AD89+AE89+AF89+AG89+AH89+AJ89+AK89+AL89)</f>
        <v/>
      </c>
      <c r="AW89" s="122">
        <f>SUM(AD89+AE89+AF89+AG89+AI89+AJ89+AK89+AL89)</f>
        <v/>
      </c>
    </row>
    <row r="90" ht="14.1" customHeight="1" s="259">
      <c r="A90" s="174">
        <f>A89+1</f>
        <v/>
      </c>
      <c r="B90" s="204" t="n"/>
      <c r="C90" s="205" t="n"/>
      <c r="D90" s="204" t="n"/>
      <c r="E90" s="206" t="n"/>
      <c r="F90" s="206" t="n"/>
      <c r="G90" s="206" t="n"/>
      <c r="H90" s="206" t="n"/>
      <c r="I90" s="206" t="n"/>
      <c r="J90" s="206" t="n"/>
      <c r="K90" s="206" t="n"/>
      <c r="L90" s="206" t="n"/>
      <c r="M90" s="206" t="n"/>
      <c r="N90" s="206" t="n"/>
      <c r="O90" s="206" t="n"/>
      <c r="P90" s="206" t="n"/>
      <c r="Q90" s="206" t="n"/>
      <c r="R90" s="206" t="n"/>
      <c r="S90" s="206" t="n"/>
      <c r="T90" s="204">
        <f>SUM(F90:S90)</f>
        <v/>
      </c>
      <c r="U90" s="207">
        <f>(HLOOKUP(B90,F:T,A90,FALSE)/T90)</f>
        <v/>
      </c>
      <c r="V90" s="189" t="n"/>
      <c r="W90" s="163">
        <f>YEAR(C90)</f>
        <v/>
      </c>
      <c r="X90" s="116">
        <f>MONTH(C90)</f>
        <v/>
      </c>
      <c r="Y90" s="116">
        <f>WEEKNUM(C90,21)</f>
        <v/>
      </c>
      <c r="Z90" s="122">
        <f>IFERROR(F90/$T90,0)</f>
        <v/>
      </c>
      <c r="AA90" s="122">
        <f>IFERROR(G90/$T90,0)</f>
        <v/>
      </c>
      <c r="AB90" s="122">
        <f>IFERROR(H90/$T90,0)</f>
        <v/>
      </c>
      <c r="AC90" s="122">
        <f>IFERROR(I90/$T90,0)</f>
        <v/>
      </c>
      <c r="AD90" s="122">
        <f>IFERROR(J90/$T90,0)</f>
        <v/>
      </c>
      <c r="AE90" s="122">
        <f>IFERROR(K90/$T90,0)</f>
        <v/>
      </c>
      <c r="AF90" s="122">
        <f>IFERROR(L90/$T90,0)</f>
        <v/>
      </c>
      <c r="AG90" s="122">
        <f>IFERROR(M90/$T90,0)</f>
        <v/>
      </c>
      <c r="AH90" s="122">
        <f>IFERROR(N90/$T90,0)</f>
        <v/>
      </c>
      <c r="AI90" s="122">
        <f>IFERROR(O90/$T90,0)</f>
        <v/>
      </c>
      <c r="AJ90" s="122">
        <f>IFERROR(P90/$T90,0)</f>
        <v/>
      </c>
      <c r="AK90" s="122">
        <f>IFERROR(Q90/$T90,0)</f>
        <v/>
      </c>
      <c r="AL90" s="122">
        <f>IFERROR(R90/$T90,0)</f>
        <v/>
      </c>
      <c r="AM90" s="122">
        <f>IFERROR(S90/$T90,0)</f>
        <v/>
      </c>
      <c r="AN90" s="122">
        <f>SUM(Z90:AC90)</f>
        <v/>
      </c>
      <c r="AO90" s="122">
        <f>SUM(AD90:AL90)</f>
        <v/>
      </c>
      <c r="AP90" s="122">
        <f>SUM(AM90,AB90)</f>
        <v/>
      </c>
      <c r="AQ90" s="122">
        <f>SUM(AA90)</f>
        <v/>
      </c>
      <c r="AR90" s="121">
        <f>(AP90+AQ90)-3%</f>
        <v/>
      </c>
      <c r="AS90" s="122">
        <f>SUM(AO90+AM90)</f>
        <v/>
      </c>
      <c r="AT90" s="122">
        <f>SUM(AH90+AN90)</f>
        <v/>
      </c>
      <c r="AU90" s="122">
        <f>SUM(AN90+AO90)</f>
        <v/>
      </c>
      <c r="AV90" s="122">
        <f>SUM(AN90+AD90+AE90+AF90+AG90+AH90+AJ90+AK90+AL90)</f>
        <v/>
      </c>
      <c r="AW90" s="122">
        <f>SUM(AD90+AE90+AF90+AG90+AI90+AJ90+AK90+AL90)</f>
        <v/>
      </c>
    </row>
    <row r="91" ht="14.1" customHeight="1" s="259">
      <c r="A91" s="174">
        <f>A90+1</f>
        <v/>
      </c>
      <c r="B91" s="204" t="n"/>
      <c r="C91" s="205" t="n"/>
      <c r="D91" s="204" t="n"/>
      <c r="E91" s="206" t="n"/>
      <c r="F91" s="206" t="n"/>
      <c r="G91" s="206" t="n"/>
      <c r="H91" s="206" t="n"/>
      <c r="I91" s="206" t="n"/>
      <c r="J91" s="206" t="n"/>
      <c r="K91" s="206" t="n"/>
      <c r="L91" s="206" t="n"/>
      <c r="M91" s="206" t="n"/>
      <c r="N91" s="206" t="n"/>
      <c r="O91" s="206" t="n"/>
      <c r="P91" s="206" t="n"/>
      <c r="Q91" s="206" t="n"/>
      <c r="R91" s="206" t="n"/>
      <c r="S91" s="206" t="n"/>
      <c r="T91" s="204">
        <f>SUM(F91:S91)</f>
        <v/>
      </c>
      <c r="U91" s="207">
        <f>(HLOOKUP(B91,F:T,A91,FALSE)/T91)</f>
        <v/>
      </c>
      <c r="V91" s="189" t="n"/>
      <c r="W91" s="163">
        <f>YEAR(C91)</f>
        <v/>
      </c>
      <c r="X91" s="116">
        <f>MONTH(C91)</f>
        <v/>
      </c>
      <c r="Y91" s="116">
        <f>WEEKNUM(C91,21)</f>
        <v/>
      </c>
      <c r="Z91" s="122">
        <f>IFERROR(F91/$T91,0)</f>
        <v/>
      </c>
      <c r="AA91" s="122">
        <f>IFERROR(G91/$T91,0)</f>
        <v/>
      </c>
      <c r="AB91" s="122">
        <f>IFERROR(H91/$T91,0)</f>
        <v/>
      </c>
      <c r="AC91" s="122">
        <f>IFERROR(I91/$T91,0)</f>
        <v/>
      </c>
      <c r="AD91" s="122">
        <f>IFERROR(J91/$T91,0)</f>
        <v/>
      </c>
      <c r="AE91" s="122">
        <f>IFERROR(K91/$T91,0)</f>
        <v/>
      </c>
      <c r="AF91" s="122">
        <f>IFERROR(L91/$T91,0)</f>
        <v/>
      </c>
      <c r="AG91" s="122">
        <f>IFERROR(M91/$T91,0)</f>
        <v/>
      </c>
      <c r="AH91" s="122">
        <f>IFERROR(N91/$T91,0)</f>
        <v/>
      </c>
      <c r="AI91" s="122">
        <f>IFERROR(O91/$T91,0)</f>
        <v/>
      </c>
      <c r="AJ91" s="122">
        <f>IFERROR(P91/$T91,0)</f>
        <v/>
      </c>
      <c r="AK91" s="122">
        <f>IFERROR(Q91/$T91,0)</f>
        <v/>
      </c>
      <c r="AL91" s="122">
        <f>IFERROR(R91/$T91,0)</f>
        <v/>
      </c>
      <c r="AM91" s="122">
        <f>IFERROR(S91/$T91,0)</f>
        <v/>
      </c>
      <c r="AN91" s="122">
        <f>SUM(Z91:AC91)</f>
        <v/>
      </c>
      <c r="AO91" s="122">
        <f>SUM(AD91:AL91)</f>
        <v/>
      </c>
      <c r="AP91" s="122">
        <f>SUM(AM91,AB91)</f>
        <v/>
      </c>
      <c r="AQ91" s="122">
        <f>SUM(AA91)</f>
        <v/>
      </c>
      <c r="AR91" s="121">
        <f>(AP91+AQ91)-3%</f>
        <v/>
      </c>
      <c r="AS91" s="122">
        <f>SUM(AO91+AM91)</f>
        <v/>
      </c>
      <c r="AT91" s="122">
        <f>SUM(AH91+AN91)</f>
        <v/>
      </c>
      <c r="AU91" s="122">
        <f>SUM(AN91+AO91)</f>
        <v/>
      </c>
      <c r="AV91" s="122">
        <f>SUM(AN91+AD91+AE91+AF91+AG91+AH91+AJ91+AK91+AL91)</f>
        <v/>
      </c>
      <c r="AW91" s="122">
        <f>SUM(AD91+AE91+AF91+AG91+AI91+AJ91+AK91+AL91)</f>
        <v/>
      </c>
    </row>
    <row r="92" ht="14.1" customHeight="1" s="259">
      <c r="A92" s="174">
        <f>A91+1</f>
        <v/>
      </c>
      <c r="B92" s="204" t="n"/>
      <c r="C92" s="205" t="n"/>
      <c r="D92" s="204" t="n"/>
      <c r="E92" s="206" t="n"/>
      <c r="F92" s="206" t="n"/>
      <c r="G92" s="206" t="n"/>
      <c r="H92" s="206" t="n"/>
      <c r="I92" s="206" t="n"/>
      <c r="J92" s="206" t="n"/>
      <c r="K92" s="206" t="n"/>
      <c r="L92" s="206" t="n"/>
      <c r="M92" s="206" t="n"/>
      <c r="N92" s="206" t="n"/>
      <c r="O92" s="206" t="n"/>
      <c r="P92" s="206" t="n"/>
      <c r="Q92" s="206" t="n"/>
      <c r="R92" s="206" t="n"/>
      <c r="S92" s="206" t="n"/>
      <c r="T92" s="204">
        <f>SUM(F92:S92)</f>
        <v/>
      </c>
      <c r="U92" s="207">
        <f>(HLOOKUP(B92,F:T,A92,FALSE)/T92)</f>
        <v/>
      </c>
      <c r="V92" s="189" t="n"/>
      <c r="W92" s="163">
        <f>YEAR(C92)</f>
        <v/>
      </c>
      <c r="X92" s="116">
        <f>MONTH(C92)</f>
        <v/>
      </c>
      <c r="Y92" s="116">
        <f>WEEKNUM(C92,21)</f>
        <v/>
      </c>
      <c r="Z92" s="122">
        <f>IFERROR(F92/$T92,0)</f>
        <v/>
      </c>
      <c r="AA92" s="122">
        <f>IFERROR(G92/$T92,0)</f>
        <v/>
      </c>
      <c r="AB92" s="122">
        <f>IFERROR(H92/$T92,0)</f>
        <v/>
      </c>
      <c r="AC92" s="122">
        <f>IFERROR(I92/$T92,0)</f>
        <v/>
      </c>
      <c r="AD92" s="122">
        <f>IFERROR(J92/$T92,0)</f>
        <v/>
      </c>
      <c r="AE92" s="122">
        <f>IFERROR(K92/$T92,0)</f>
        <v/>
      </c>
      <c r="AF92" s="122">
        <f>IFERROR(L92/$T92,0)</f>
        <v/>
      </c>
      <c r="AG92" s="122">
        <f>IFERROR(M92/$T92,0)</f>
        <v/>
      </c>
      <c r="AH92" s="122">
        <f>IFERROR(N92/$T92,0)</f>
        <v/>
      </c>
      <c r="AI92" s="122">
        <f>IFERROR(O92/$T92,0)</f>
        <v/>
      </c>
      <c r="AJ92" s="122">
        <f>IFERROR(P92/$T92,0)</f>
        <v/>
      </c>
      <c r="AK92" s="122">
        <f>IFERROR(Q92/$T92,0)</f>
        <v/>
      </c>
      <c r="AL92" s="122">
        <f>IFERROR(R92/$T92,0)</f>
        <v/>
      </c>
      <c r="AM92" s="122">
        <f>IFERROR(S92/$T92,0)</f>
        <v/>
      </c>
      <c r="AN92" s="122">
        <f>SUM(Z92:AC92)</f>
        <v/>
      </c>
      <c r="AO92" s="122">
        <f>SUM(AD92:AL92)</f>
        <v/>
      </c>
      <c r="AP92" s="122">
        <f>SUM(AM92,AB92)</f>
        <v/>
      </c>
      <c r="AQ92" s="122">
        <f>SUM(AA92)</f>
        <v/>
      </c>
      <c r="AR92" s="121">
        <f>(AP92+AQ92)-3%</f>
        <v/>
      </c>
      <c r="AS92" s="122">
        <f>SUM(AO92+AM92)</f>
        <v/>
      </c>
      <c r="AT92" s="122">
        <f>SUM(AH92+AN92)</f>
        <v/>
      </c>
      <c r="AU92" s="122">
        <f>SUM(AN92+AO92)</f>
        <v/>
      </c>
      <c r="AV92" s="122">
        <f>SUM(AN92+AD92+AE92+AF92+AG92+AH92+AJ92+AK92+AL92)</f>
        <v/>
      </c>
      <c r="AW92" s="122">
        <f>SUM(AD92+AE92+AF92+AG92+AI92+AJ92+AK92+AL92)</f>
        <v/>
      </c>
    </row>
    <row r="93" ht="14.1" customHeight="1" s="259">
      <c r="A93" s="174">
        <f>A92+1</f>
        <v/>
      </c>
      <c r="B93" s="204" t="n"/>
      <c r="C93" s="205" t="n"/>
      <c r="D93" s="204" t="n"/>
      <c r="E93" s="206" t="n"/>
      <c r="F93" s="206" t="n"/>
      <c r="G93" s="206" t="n"/>
      <c r="H93" s="206" t="n"/>
      <c r="I93" s="206" t="n"/>
      <c r="J93" s="206" t="n"/>
      <c r="K93" s="206" t="n"/>
      <c r="L93" s="206" t="n"/>
      <c r="M93" s="206" t="n"/>
      <c r="N93" s="206" t="n"/>
      <c r="O93" s="206" t="n"/>
      <c r="P93" s="206" t="n"/>
      <c r="Q93" s="206" t="n"/>
      <c r="R93" s="206" t="n"/>
      <c r="S93" s="206" t="n"/>
      <c r="T93" s="204">
        <f>SUM(F93:S93)</f>
        <v/>
      </c>
      <c r="U93" s="207">
        <f>(HLOOKUP(B93,F:T,A93,FALSE)/T93)</f>
        <v/>
      </c>
      <c r="V93" s="189" t="n"/>
      <c r="W93" s="163">
        <f>YEAR(C93)</f>
        <v/>
      </c>
      <c r="X93" s="116">
        <f>MONTH(C93)</f>
        <v/>
      </c>
      <c r="Y93" s="116">
        <f>WEEKNUM(C93,21)</f>
        <v/>
      </c>
      <c r="Z93" s="122">
        <f>IFERROR(F93/$T93,0)</f>
        <v/>
      </c>
      <c r="AA93" s="122">
        <f>IFERROR(G93/$T93,0)</f>
        <v/>
      </c>
      <c r="AB93" s="122">
        <f>IFERROR(H93/$T93,0)</f>
        <v/>
      </c>
      <c r="AC93" s="122">
        <f>IFERROR(I93/$T93,0)</f>
        <v/>
      </c>
      <c r="AD93" s="122">
        <f>IFERROR(J93/$T93,0)</f>
        <v/>
      </c>
      <c r="AE93" s="122">
        <f>IFERROR(K93/$T93,0)</f>
        <v/>
      </c>
      <c r="AF93" s="122">
        <f>IFERROR(L93/$T93,0)</f>
        <v/>
      </c>
      <c r="AG93" s="122">
        <f>IFERROR(M93/$T93,0)</f>
        <v/>
      </c>
      <c r="AH93" s="122">
        <f>IFERROR(N93/$T93,0)</f>
        <v/>
      </c>
      <c r="AI93" s="122">
        <f>IFERROR(O93/$T93,0)</f>
        <v/>
      </c>
      <c r="AJ93" s="122">
        <f>IFERROR(P93/$T93,0)</f>
        <v/>
      </c>
      <c r="AK93" s="122">
        <f>IFERROR(Q93/$T93,0)</f>
        <v/>
      </c>
      <c r="AL93" s="122">
        <f>IFERROR(R93/$T93,0)</f>
        <v/>
      </c>
      <c r="AM93" s="122">
        <f>IFERROR(S93/$T93,0)</f>
        <v/>
      </c>
      <c r="AN93" s="122">
        <f>SUM(Z93:AC93)</f>
        <v/>
      </c>
      <c r="AO93" s="122">
        <f>SUM(AD93:AL93)</f>
        <v/>
      </c>
      <c r="AP93" s="122">
        <f>SUM(AM93,AB93)</f>
        <v/>
      </c>
      <c r="AQ93" s="122">
        <f>SUM(AA93)</f>
        <v/>
      </c>
      <c r="AR93" s="121">
        <f>(AP93+AQ93)-3%</f>
        <v/>
      </c>
      <c r="AS93" s="122">
        <f>SUM(AO93+AM93)</f>
        <v/>
      </c>
      <c r="AT93" s="122">
        <f>SUM(AH93+AN93)</f>
        <v/>
      </c>
      <c r="AU93" s="122">
        <f>SUM(AN93+AO93)</f>
        <v/>
      </c>
      <c r="AV93" s="122">
        <f>SUM(AN93+AD93+AE93+AF93+AG93+AH93+AJ93+AK93+AL93)</f>
        <v/>
      </c>
      <c r="AW93" s="122">
        <f>SUM(AD93+AE93+AF93+AG93+AI93+AJ93+AK93+AL93)</f>
        <v/>
      </c>
    </row>
    <row r="94" ht="14.1" customHeight="1" s="259">
      <c r="A94" s="174">
        <f>A93+1</f>
        <v/>
      </c>
      <c r="B94" s="199" t="n"/>
      <c r="C94" s="200" t="n"/>
      <c r="D94" s="199" t="n"/>
      <c r="E94" s="201" t="n"/>
      <c r="F94" s="201" t="n"/>
      <c r="G94" s="201" t="n"/>
      <c r="H94" s="201" t="n"/>
      <c r="I94" s="201" t="n"/>
      <c r="J94" s="201" t="n"/>
      <c r="K94" s="201" t="n"/>
      <c r="L94" s="201" t="n"/>
      <c r="M94" s="201" t="n"/>
      <c r="N94" s="201" t="n"/>
      <c r="O94" s="201" t="n"/>
      <c r="P94" s="201" t="n"/>
      <c r="Q94" s="201" t="n"/>
      <c r="R94" s="201" t="n"/>
      <c r="S94" s="201" t="n"/>
      <c r="T94" s="199">
        <f>SUM(F94:S94)</f>
        <v/>
      </c>
      <c r="U94" s="202">
        <f>(HLOOKUP(B94,F:T,A94,FALSE)/T94)</f>
        <v/>
      </c>
      <c r="V94" s="189" t="n"/>
      <c r="W94" s="163">
        <f>YEAR(C94)</f>
        <v/>
      </c>
      <c r="X94" s="116">
        <f>MONTH(C94)</f>
        <v/>
      </c>
      <c r="Y94" s="116">
        <f>WEEKNUM(C94,21)</f>
        <v/>
      </c>
      <c r="Z94" s="122">
        <f>IFERROR(F94/$T94,0)</f>
        <v/>
      </c>
      <c r="AA94" s="122">
        <f>IFERROR(G94/$T94,0)</f>
        <v/>
      </c>
      <c r="AB94" s="122">
        <f>IFERROR(H94/$T94,0)</f>
        <v/>
      </c>
      <c r="AC94" s="122">
        <f>IFERROR(I94/$T94,0)</f>
        <v/>
      </c>
      <c r="AD94" s="122">
        <f>IFERROR(J94/$T94,0)</f>
        <v/>
      </c>
      <c r="AE94" s="122">
        <f>IFERROR(K94/$T94,0)</f>
        <v/>
      </c>
      <c r="AF94" s="122">
        <f>IFERROR(L94/$T94,0)</f>
        <v/>
      </c>
      <c r="AG94" s="122">
        <f>IFERROR(M94/$T94,0)</f>
        <v/>
      </c>
      <c r="AH94" s="122">
        <f>IFERROR(N94/$T94,0)</f>
        <v/>
      </c>
      <c r="AI94" s="122">
        <f>IFERROR(O94/$T94,0)</f>
        <v/>
      </c>
      <c r="AJ94" s="122">
        <f>IFERROR(P94/$T94,0)</f>
        <v/>
      </c>
      <c r="AK94" s="122">
        <f>IFERROR(Q94/$T94,0)</f>
        <v/>
      </c>
      <c r="AL94" s="122">
        <f>IFERROR(R94/$T94,0)</f>
        <v/>
      </c>
      <c r="AM94" s="122">
        <f>IFERROR(S94/$T94,0)</f>
        <v/>
      </c>
      <c r="AN94" s="122">
        <f>SUM(Z94:AC94)</f>
        <v/>
      </c>
      <c r="AO94" s="122">
        <f>SUM(AD94:AL94)</f>
        <v/>
      </c>
      <c r="AP94" s="122">
        <f>SUM(AM94,AB94)</f>
        <v/>
      </c>
      <c r="AQ94" s="122">
        <f>SUM(AA94)</f>
        <v/>
      </c>
      <c r="AR94" s="121">
        <f>(AP94+AQ94)-3%</f>
        <v/>
      </c>
      <c r="AS94" s="122">
        <f>SUM(AO94+AM94)</f>
        <v/>
      </c>
      <c r="AT94" s="122">
        <f>SUM(AH94+AN94)</f>
        <v/>
      </c>
      <c r="AU94" s="122">
        <f>SUM(AN94+AO94)</f>
        <v/>
      </c>
      <c r="AV94" s="122">
        <f>SUM(AN94+AD94+AE94+AF94+AG94+AH94+AJ94+AK94+AL94)</f>
        <v/>
      </c>
      <c r="AW94" s="122">
        <f>SUM(AD94+AE94+AF94+AG94+AI94+AJ94+AK94+AL94)</f>
        <v/>
      </c>
    </row>
    <row r="95" ht="14.1" customHeight="1" s="259">
      <c r="A95" s="174">
        <f>A94+1</f>
        <v/>
      </c>
      <c r="B95" s="199" t="n"/>
      <c r="C95" s="200" t="n"/>
      <c r="D95" s="199" t="n"/>
      <c r="E95" s="201" t="n"/>
      <c r="F95" s="201" t="n"/>
      <c r="G95" s="201" t="n"/>
      <c r="H95" s="201" t="n"/>
      <c r="I95" s="201" t="n"/>
      <c r="J95" s="201" t="n"/>
      <c r="K95" s="201" t="n"/>
      <c r="L95" s="201" t="n"/>
      <c r="M95" s="201" t="n"/>
      <c r="N95" s="201" t="n"/>
      <c r="O95" s="201" t="n"/>
      <c r="P95" s="201" t="n"/>
      <c r="Q95" s="201" t="n"/>
      <c r="R95" s="201" t="n"/>
      <c r="S95" s="201" t="n"/>
      <c r="T95" s="199">
        <f>SUM(F95:S95)</f>
        <v/>
      </c>
      <c r="U95" s="202">
        <f>(HLOOKUP(B95,F:T,A95,FALSE)/T95)</f>
        <v/>
      </c>
      <c r="V95" s="189" t="n"/>
      <c r="W95" s="163">
        <f>YEAR(C95)</f>
        <v/>
      </c>
      <c r="X95" s="116">
        <f>MONTH(C95)</f>
        <v/>
      </c>
      <c r="Y95" s="116">
        <f>WEEKNUM(C95,21)</f>
        <v/>
      </c>
      <c r="Z95" s="122">
        <f>IFERROR(F95/$T95,0)</f>
        <v/>
      </c>
      <c r="AA95" s="122">
        <f>IFERROR(G95/$T95,0)</f>
        <v/>
      </c>
      <c r="AB95" s="122">
        <f>IFERROR(H95/$T95,0)</f>
        <v/>
      </c>
      <c r="AC95" s="122">
        <f>IFERROR(I95/$T95,0)</f>
        <v/>
      </c>
      <c r="AD95" s="122">
        <f>IFERROR(J95/$T95,0)</f>
        <v/>
      </c>
      <c r="AE95" s="122">
        <f>IFERROR(K95/$T95,0)</f>
        <v/>
      </c>
      <c r="AF95" s="122">
        <f>IFERROR(L95/$T95,0)</f>
        <v/>
      </c>
      <c r="AG95" s="122">
        <f>IFERROR(M95/$T95,0)</f>
        <v/>
      </c>
      <c r="AH95" s="122">
        <f>IFERROR(N95/$T95,0)</f>
        <v/>
      </c>
      <c r="AI95" s="122">
        <f>IFERROR(O95/$T95,0)</f>
        <v/>
      </c>
      <c r="AJ95" s="122">
        <f>IFERROR(P95/$T95,0)</f>
        <v/>
      </c>
      <c r="AK95" s="122">
        <f>IFERROR(Q95/$T95,0)</f>
        <v/>
      </c>
      <c r="AL95" s="122">
        <f>IFERROR(R95/$T95,0)</f>
        <v/>
      </c>
      <c r="AM95" s="122">
        <f>IFERROR(S95/$T95,0)</f>
        <v/>
      </c>
      <c r="AN95" s="122">
        <f>SUM(Z95:AC95)</f>
        <v/>
      </c>
      <c r="AO95" s="122">
        <f>SUM(AD95:AL95)</f>
        <v/>
      </c>
      <c r="AP95" s="122">
        <f>SUM(AM95,AB95)</f>
        <v/>
      </c>
      <c r="AQ95" s="122">
        <f>SUM(AA95)</f>
        <v/>
      </c>
      <c r="AR95" s="121">
        <f>(AP95+AQ95)-3%</f>
        <v/>
      </c>
      <c r="AS95" s="122">
        <f>SUM(AO95+AM95)</f>
        <v/>
      </c>
      <c r="AT95" s="122">
        <f>SUM(AH95+AN95)</f>
        <v/>
      </c>
      <c r="AU95" s="122">
        <f>SUM(AN95+AO95)</f>
        <v/>
      </c>
      <c r="AV95" s="122">
        <f>SUM(AN95+AD95+AE95+AF95+AG95+AH95+AJ95+AK95+AL95)</f>
        <v/>
      </c>
      <c r="AW95" s="122">
        <f>SUM(AD95+AE95+AF95+AG95+AI95+AJ95+AK95+AL95)</f>
        <v/>
      </c>
    </row>
    <row r="96" ht="14.1" customHeight="1" s="259">
      <c r="A96" s="174">
        <f>A95+1</f>
        <v/>
      </c>
      <c r="B96" s="204" t="n"/>
      <c r="C96" s="205" t="n"/>
      <c r="D96" s="204" t="n"/>
      <c r="E96" s="206" t="n"/>
      <c r="F96" s="206" t="n"/>
      <c r="G96" s="206" t="n"/>
      <c r="H96" s="206" t="n"/>
      <c r="I96" s="206" t="n"/>
      <c r="J96" s="206" t="n"/>
      <c r="K96" s="206" t="n"/>
      <c r="L96" s="206" t="n"/>
      <c r="M96" s="206" t="n"/>
      <c r="N96" s="206" t="n"/>
      <c r="O96" s="206" t="n"/>
      <c r="P96" s="206" t="n"/>
      <c r="Q96" s="206" t="n"/>
      <c r="R96" s="206" t="n"/>
      <c r="S96" s="206" t="n"/>
      <c r="T96" s="204">
        <f>SUM(F96:S96)</f>
        <v/>
      </c>
      <c r="U96" s="207">
        <f>(HLOOKUP(B96,F:T,A96,FALSE)/T96)</f>
        <v/>
      </c>
      <c r="V96" s="189" t="n"/>
      <c r="W96" s="163">
        <f>YEAR(C96)</f>
        <v/>
      </c>
      <c r="X96" s="116">
        <f>MONTH(C96)</f>
        <v/>
      </c>
      <c r="Y96" s="116">
        <f>WEEKNUM(C96,21)</f>
        <v/>
      </c>
      <c r="Z96" s="122">
        <f>IFERROR(F96/$T96,0)</f>
        <v/>
      </c>
      <c r="AA96" s="122">
        <f>IFERROR(G96/$T96,0)</f>
        <v/>
      </c>
      <c r="AB96" s="122">
        <f>IFERROR(H96/$T96,0)</f>
        <v/>
      </c>
      <c r="AC96" s="122">
        <f>IFERROR(I96/$T96,0)</f>
        <v/>
      </c>
      <c r="AD96" s="122">
        <f>IFERROR(J96/$T96,0)</f>
        <v/>
      </c>
      <c r="AE96" s="122">
        <f>IFERROR(K96/$T96,0)</f>
        <v/>
      </c>
      <c r="AF96" s="122">
        <f>IFERROR(L96/$T96,0)</f>
        <v/>
      </c>
      <c r="AG96" s="122">
        <f>IFERROR(M96/$T96,0)</f>
        <v/>
      </c>
      <c r="AH96" s="122">
        <f>IFERROR(N96/$T96,0)</f>
        <v/>
      </c>
      <c r="AI96" s="122">
        <f>IFERROR(O96/$T96,0)</f>
        <v/>
      </c>
      <c r="AJ96" s="122">
        <f>IFERROR(P96/$T96,0)</f>
        <v/>
      </c>
      <c r="AK96" s="122">
        <f>IFERROR(Q96/$T96,0)</f>
        <v/>
      </c>
      <c r="AL96" s="122">
        <f>IFERROR(R96/$T96,0)</f>
        <v/>
      </c>
      <c r="AM96" s="122">
        <f>IFERROR(S96/$T96,0)</f>
        <v/>
      </c>
      <c r="AN96" s="122">
        <f>SUM(Z96:AC96)</f>
        <v/>
      </c>
      <c r="AO96" s="122">
        <f>SUM(AD96:AL96)</f>
        <v/>
      </c>
      <c r="AP96" s="122">
        <f>SUM(AM96,AB96)</f>
        <v/>
      </c>
      <c r="AQ96" s="122">
        <f>SUM(AA96)</f>
        <v/>
      </c>
      <c r="AR96" s="121">
        <f>(AP96+AQ96)-3%</f>
        <v/>
      </c>
      <c r="AS96" s="122">
        <f>SUM(AO96+AM96)</f>
        <v/>
      </c>
      <c r="AT96" s="122">
        <f>SUM(AH96+AN96)</f>
        <v/>
      </c>
      <c r="AU96" s="122">
        <f>SUM(AN96+AO96)</f>
        <v/>
      </c>
      <c r="AV96" s="122">
        <f>SUM(AN96+AD96+AE96+AF96+AG96+AH96+AJ96+AK96+AL96)</f>
        <v/>
      </c>
      <c r="AW96" s="122">
        <f>SUM(AD96+AE96+AF96+AG96+AI96+AJ96+AK96+AL96)</f>
        <v/>
      </c>
    </row>
    <row r="97" ht="14.1" customHeight="1" s="259">
      <c r="A97" s="174">
        <f>A96+1</f>
        <v/>
      </c>
      <c r="B97" s="204" t="n"/>
      <c r="C97" s="205" t="n"/>
      <c r="D97" s="204" t="n"/>
      <c r="E97" s="206" t="n"/>
      <c r="F97" s="206" t="n"/>
      <c r="G97" s="206" t="n"/>
      <c r="H97" s="206" t="n"/>
      <c r="I97" s="206" t="n"/>
      <c r="J97" s="206" t="n"/>
      <c r="K97" s="206" t="n"/>
      <c r="L97" s="206" t="n"/>
      <c r="M97" s="206" t="n"/>
      <c r="N97" s="206" t="n"/>
      <c r="O97" s="206" t="n"/>
      <c r="P97" s="206" t="n"/>
      <c r="Q97" s="206" t="n"/>
      <c r="R97" s="206" t="n"/>
      <c r="S97" s="206" t="n"/>
      <c r="T97" s="204">
        <f>SUM(F97:S97)</f>
        <v/>
      </c>
      <c r="U97" s="207">
        <f>(HLOOKUP(B97,F:T,A97,FALSE)/T97)</f>
        <v/>
      </c>
      <c r="V97" s="189" t="n"/>
      <c r="W97" s="163">
        <f>YEAR(C97)</f>
        <v/>
      </c>
      <c r="X97" s="116">
        <f>MONTH(C97)</f>
        <v/>
      </c>
      <c r="Y97" s="116">
        <f>WEEKNUM(C97,21)</f>
        <v/>
      </c>
      <c r="Z97" s="122">
        <f>IFERROR(F97/$T97,0)</f>
        <v/>
      </c>
      <c r="AA97" s="122">
        <f>IFERROR(G97/$T97,0)</f>
        <v/>
      </c>
      <c r="AB97" s="122">
        <f>IFERROR(H97/$T97,0)</f>
        <v/>
      </c>
      <c r="AC97" s="122">
        <f>IFERROR(I97/$T97,0)</f>
        <v/>
      </c>
      <c r="AD97" s="122">
        <f>IFERROR(J97/$T97,0)</f>
        <v/>
      </c>
      <c r="AE97" s="122">
        <f>IFERROR(K97/$T97,0)</f>
        <v/>
      </c>
      <c r="AF97" s="122">
        <f>IFERROR(L97/$T97,0)</f>
        <v/>
      </c>
      <c r="AG97" s="122">
        <f>IFERROR(M97/$T97,0)</f>
        <v/>
      </c>
      <c r="AH97" s="122">
        <f>IFERROR(N97/$T97,0)</f>
        <v/>
      </c>
      <c r="AI97" s="122">
        <f>IFERROR(O97/$T97,0)</f>
        <v/>
      </c>
      <c r="AJ97" s="122">
        <f>IFERROR(P97/$T97,0)</f>
        <v/>
      </c>
      <c r="AK97" s="122">
        <f>IFERROR(Q97/$T97,0)</f>
        <v/>
      </c>
      <c r="AL97" s="122">
        <f>IFERROR(R97/$T97,0)</f>
        <v/>
      </c>
      <c r="AM97" s="122">
        <f>IFERROR(S97/$T97,0)</f>
        <v/>
      </c>
      <c r="AN97" s="122">
        <f>SUM(Z97:AC97)</f>
        <v/>
      </c>
      <c r="AO97" s="122">
        <f>SUM(AD97:AL97)</f>
        <v/>
      </c>
      <c r="AP97" s="122">
        <f>SUM(AM97,AB97)</f>
        <v/>
      </c>
      <c r="AQ97" s="122">
        <f>SUM(AA97)</f>
        <v/>
      </c>
      <c r="AR97" s="121">
        <f>(AP97+AQ97)-3%</f>
        <v/>
      </c>
      <c r="AS97" s="122">
        <f>SUM(AO97+AM97)</f>
        <v/>
      </c>
      <c r="AT97" s="122">
        <f>SUM(AH97+AN97)</f>
        <v/>
      </c>
      <c r="AU97" s="122">
        <f>SUM(AN97+AO97)</f>
        <v/>
      </c>
      <c r="AV97" s="122">
        <f>SUM(AN97+AD97+AE97+AF97+AG97+AH97+AJ97+AK97+AL97)</f>
        <v/>
      </c>
      <c r="AW97" s="122">
        <f>SUM(AD97+AE97+AF97+AG97+AI97+AJ97+AK97+AL97)</f>
        <v/>
      </c>
    </row>
    <row r="98" ht="14.1" customHeight="1" s="259">
      <c r="A98" s="174">
        <f>A97+1</f>
        <v/>
      </c>
      <c r="B98" s="204" t="n"/>
      <c r="C98" s="205" t="n"/>
      <c r="D98" s="204" t="n"/>
      <c r="E98" s="206" t="n"/>
      <c r="F98" s="206" t="n"/>
      <c r="G98" s="206" t="n"/>
      <c r="H98" s="206" t="n"/>
      <c r="I98" s="206" t="n"/>
      <c r="J98" s="206" t="n"/>
      <c r="K98" s="206" t="n"/>
      <c r="L98" s="206" t="n"/>
      <c r="M98" s="206" t="n"/>
      <c r="N98" s="206" t="n"/>
      <c r="O98" s="206" t="n"/>
      <c r="P98" s="206" t="n"/>
      <c r="Q98" s="206" t="n"/>
      <c r="R98" s="206" t="n"/>
      <c r="S98" s="206" t="n"/>
      <c r="T98" s="204">
        <f>SUM(F98:S98)</f>
        <v/>
      </c>
      <c r="U98" s="207">
        <f>(HLOOKUP(B98,F:T,A98,FALSE)/T98)</f>
        <v/>
      </c>
      <c r="V98" s="189" t="n"/>
      <c r="W98" s="163">
        <f>YEAR(C98)</f>
        <v/>
      </c>
      <c r="X98" s="116">
        <f>MONTH(C98)</f>
        <v/>
      </c>
      <c r="Y98" s="116">
        <f>WEEKNUM(C98,21)</f>
        <v/>
      </c>
      <c r="Z98" s="122">
        <f>IFERROR(F98/$T98,0)</f>
        <v/>
      </c>
      <c r="AA98" s="122">
        <f>IFERROR(G98/$T98,0)</f>
        <v/>
      </c>
      <c r="AB98" s="122">
        <f>IFERROR(H98/$T98,0)</f>
        <v/>
      </c>
      <c r="AC98" s="122">
        <f>IFERROR(I98/$T98,0)</f>
        <v/>
      </c>
      <c r="AD98" s="122">
        <f>IFERROR(J98/$T98,0)</f>
        <v/>
      </c>
      <c r="AE98" s="122">
        <f>IFERROR(K98/$T98,0)</f>
        <v/>
      </c>
      <c r="AF98" s="122">
        <f>IFERROR(L98/$T98,0)</f>
        <v/>
      </c>
      <c r="AG98" s="122">
        <f>IFERROR(M98/$T98,0)</f>
        <v/>
      </c>
      <c r="AH98" s="122">
        <f>IFERROR(N98/$T98,0)</f>
        <v/>
      </c>
      <c r="AI98" s="122">
        <f>IFERROR(O98/$T98,0)</f>
        <v/>
      </c>
      <c r="AJ98" s="122">
        <f>IFERROR(P98/$T98,0)</f>
        <v/>
      </c>
      <c r="AK98" s="122">
        <f>IFERROR(Q98/$T98,0)</f>
        <v/>
      </c>
      <c r="AL98" s="122">
        <f>IFERROR(R98/$T98,0)</f>
        <v/>
      </c>
      <c r="AM98" s="122">
        <f>IFERROR(S98/$T98,0)</f>
        <v/>
      </c>
      <c r="AN98" s="122">
        <f>SUM(Z98:AC98)</f>
        <v/>
      </c>
      <c r="AO98" s="122">
        <f>SUM(AD98:AL98)</f>
        <v/>
      </c>
      <c r="AP98" s="122">
        <f>SUM(AM98,AB98)</f>
        <v/>
      </c>
      <c r="AQ98" s="122">
        <f>SUM(AA98)</f>
        <v/>
      </c>
      <c r="AR98" s="121">
        <f>(AP98+AQ98)-3%</f>
        <v/>
      </c>
      <c r="AS98" s="122">
        <f>SUM(AO98+AM98)</f>
        <v/>
      </c>
      <c r="AT98" s="122">
        <f>SUM(AH98+AN98)</f>
        <v/>
      </c>
      <c r="AU98" s="122">
        <f>SUM(AN98+AO98)</f>
        <v/>
      </c>
      <c r="AV98" s="122">
        <f>SUM(AN98+AD98+AE98+AF98+AG98+AH98+AJ98+AK98+AL98)</f>
        <v/>
      </c>
      <c r="AW98" s="122">
        <f>SUM(AD98+AE98+AF98+AG98+AI98+AJ98+AK98+AL98)</f>
        <v/>
      </c>
    </row>
    <row r="99" ht="14.1" customHeight="1" s="259">
      <c r="A99" s="174">
        <f>A98+1</f>
        <v/>
      </c>
      <c r="B99" s="204" t="n"/>
      <c r="C99" s="205" t="n"/>
      <c r="D99" s="204" t="n"/>
      <c r="E99" s="206" t="n"/>
      <c r="F99" s="206" t="n"/>
      <c r="G99" s="206" t="n"/>
      <c r="H99" s="206" t="n"/>
      <c r="I99" s="206" t="n"/>
      <c r="J99" s="206" t="n"/>
      <c r="K99" s="206" t="n"/>
      <c r="L99" s="206" t="n"/>
      <c r="M99" s="206" t="n"/>
      <c r="N99" s="206" t="n"/>
      <c r="O99" s="206" t="n"/>
      <c r="P99" s="206" t="n"/>
      <c r="Q99" s="206" t="n"/>
      <c r="R99" s="206" t="n"/>
      <c r="S99" s="206" t="n"/>
      <c r="T99" s="204">
        <f>SUM(F99:S99)</f>
        <v/>
      </c>
      <c r="U99" s="207">
        <f>(HLOOKUP(B99,F:T,A99,FALSE)/T99)</f>
        <v/>
      </c>
      <c r="V99" s="189" t="n"/>
      <c r="W99" s="163">
        <f>YEAR(C99)</f>
        <v/>
      </c>
      <c r="X99" s="116">
        <f>MONTH(C99)</f>
        <v/>
      </c>
      <c r="Y99" s="116">
        <f>WEEKNUM(C99,21)</f>
        <v/>
      </c>
      <c r="Z99" s="122">
        <f>IFERROR(F99/$T99,0)</f>
        <v/>
      </c>
      <c r="AA99" s="122">
        <f>IFERROR(G99/$T99,0)</f>
        <v/>
      </c>
      <c r="AB99" s="122">
        <f>IFERROR(H99/$T99,0)</f>
        <v/>
      </c>
      <c r="AC99" s="122">
        <f>IFERROR(I99/$T99,0)</f>
        <v/>
      </c>
      <c r="AD99" s="122">
        <f>IFERROR(J99/$T99,0)</f>
        <v/>
      </c>
      <c r="AE99" s="122">
        <f>IFERROR(K99/$T99,0)</f>
        <v/>
      </c>
      <c r="AF99" s="122">
        <f>IFERROR(L99/$T99,0)</f>
        <v/>
      </c>
      <c r="AG99" s="122">
        <f>IFERROR(M99/$T99,0)</f>
        <v/>
      </c>
      <c r="AH99" s="122">
        <f>IFERROR(N99/$T99,0)</f>
        <v/>
      </c>
      <c r="AI99" s="122">
        <f>IFERROR(O99/$T99,0)</f>
        <v/>
      </c>
      <c r="AJ99" s="122">
        <f>IFERROR(P99/$T99,0)</f>
        <v/>
      </c>
      <c r="AK99" s="122">
        <f>IFERROR(Q99/$T99,0)</f>
        <v/>
      </c>
      <c r="AL99" s="122">
        <f>IFERROR(R99/$T99,0)</f>
        <v/>
      </c>
      <c r="AM99" s="122">
        <f>IFERROR(S99/$T99,0)</f>
        <v/>
      </c>
      <c r="AN99" s="122">
        <f>SUM(Z99:AC99)</f>
        <v/>
      </c>
      <c r="AO99" s="122">
        <f>SUM(AD99:AL99)</f>
        <v/>
      </c>
      <c r="AP99" s="122">
        <f>SUM(AM99,AB99)</f>
        <v/>
      </c>
      <c r="AQ99" s="122">
        <f>SUM(AA99)</f>
        <v/>
      </c>
      <c r="AR99" s="121">
        <f>(AP99+AQ99)-3%</f>
        <v/>
      </c>
      <c r="AS99" s="122">
        <f>SUM(AO99+AM99)</f>
        <v/>
      </c>
      <c r="AT99" s="122">
        <f>SUM(AH99+AN99)</f>
        <v/>
      </c>
      <c r="AU99" s="122">
        <f>SUM(AN99+AO99)</f>
        <v/>
      </c>
      <c r="AV99" s="122">
        <f>SUM(AN99+AD99+AE99+AF99+AG99+AH99+AJ99+AK99+AL99)</f>
        <v/>
      </c>
      <c r="AW99" s="122">
        <f>SUM(AD99+AE99+AF99+AG99+AI99+AJ99+AK99+AL99)</f>
        <v/>
      </c>
    </row>
    <row r="100" ht="14.1" customHeight="1" s="259">
      <c r="A100" s="174">
        <f>A99+1</f>
        <v/>
      </c>
      <c r="B100" s="204" t="n"/>
      <c r="C100" s="205" t="n"/>
      <c r="D100" s="204" t="n"/>
      <c r="E100" s="206" t="n"/>
      <c r="F100" s="206" t="n"/>
      <c r="G100" s="206" t="n"/>
      <c r="H100" s="206" t="n"/>
      <c r="I100" s="206" t="n"/>
      <c r="J100" s="206" t="n"/>
      <c r="K100" s="206" t="n"/>
      <c r="L100" s="206" t="n"/>
      <c r="M100" s="206" t="n"/>
      <c r="N100" s="206" t="n"/>
      <c r="O100" s="206" t="n"/>
      <c r="P100" s="206" t="n"/>
      <c r="Q100" s="206" t="n"/>
      <c r="R100" s="206" t="n"/>
      <c r="S100" s="206" t="n"/>
      <c r="T100" s="204">
        <f>SUM(F100:S100)</f>
        <v/>
      </c>
      <c r="U100" s="207">
        <f>(HLOOKUP(B100,F:T,A100,FALSE)/T100)</f>
        <v/>
      </c>
      <c r="V100" s="189" t="n"/>
      <c r="W100" s="163">
        <f>YEAR(C100)</f>
        <v/>
      </c>
      <c r="X100" s="116">
        <f>MONTH(C100)</f>
        <v/>
      </c>
      <c r="Y100" s="116">
        <f>WEEKNUM(C100,21)</f>
        <v/>
      </c>
      <c r="Z100" s="122">
        <f>IFERROR(F100/$T100,0)</f>
        <v/>
      </c>
      <c r="AA100" s="122">
        <f>IFERROR(G100/$T100,0)</f>
        <v/>
      </c>
      <c r="AB100" s="122">
        <f>IFERROR(H100/$T100,0)</f>
        <v/>
      </c>
      <c r="AC100" s="122">
        <f>IFERROR(I100/$T100,0)</f>
        <v/>
      </c>
      <c r="AD100" s="122">
        <f>IFERROR(J100/$T100,0)</f>
        <v/>
      </c>
      <c r="AE100" s="122">
        <f>IFERROR(K100/$T100,0)</f>
        <v/>
      </c>
      <c r="AF100" s="122">
        <f>IFERROR(L100/$T100,0)</f>
        <v/>
      </c>
      <c r="AG100" s="122">
        <f>IFERROR(M100/$T100,0)</f>
        <v/>
      </c>
      <c r="AH100" s="122">
        <f>IFERROR(N100/$T100,0)</f>
        <v/>
      </c>
      <c r="AI100" s="122">
        <f>IFERROR(O100/$T100,0)</f>
        <v/>
      </c>
      <c r="AJ100" s="122">
        <f>IFERROR(P100/$T100,0)</f>
        <v/>
      </c>
      <c r="AK100" s="122">
        <f>IFERROR(Q100/$T100,0)</f>
        <v/>
      </c>
      <c r="AL100" s="122">
        <f>IFERROR(R100/$T100,0)</f>
        <v/>
      </c>
      <c r="AM100" s="122">
        <f>IFERROR(S100/$T100,0)</f>
        <v/>
      </c>
      <c r="AN100" s="122">
        <f>SUM(Z100:AC100)</f>
        <v/>
      </c>
      <c r="AO100" s="122">
        <f>SUM(AD100:AL100)</f>
        <v/>
      </c>
      <c r="AP100" s="122">
        <f>SUM(AM100,AB100)</f>
        <v/>
      </c>
      <c r="AQ100" s="122">
        <f>SUM(AA100)</f>
        <v/>
      </c>
      <c r="AR100" s="121">
        <f>(AP100+AQ100)-3%</f>
        <v/>
      </c>
      <c r="AS100" s="122">
        <f>SUM(AO100+AM100)</f>
        <v/>
      </c>
      <c r="AT100" s="122">
        <f>SUM(AH100+AN100)</f>
        <v/>
      </c>
      <c r="AU100" s="122">
        <f>SUM(AN100+AO100)</f>
        <v/>
      </c>
      <c r="AV100" s="122">
        <f>SUM(AN100+AD100+AE100+AF100+AG100+AH100+AJ100+AK100+AL100)</f>
        <v/>
      </c>
      <c r="AW100" s="122">
        <f>SUM(AD100+AE100+AF100+AG100+AI100+AJ100+AK100+AL100)</f>
        <v/>
      </c>
    </row>
    <row r="101" ht="14.1" customHeight="1" s="259">
      <c r="A101" s="174">
        <f>A100+1</f>
        <v/>
      </c>
      <c r="B101" s="204" t="n"/>
      <c r="C101" s="205" t="n"/>
      <c r="D101" s="204" t="n"/>
      <c r="E101" s="206" t="n"/>
      <c r="F101" s="206" t="n"/>
      <c r="G101" s="206" t="n"/>
      <c r="H101" s="206" t="n"/>
      <c r="I101" s="206" t="n"/>
      <c r="J101" s="206" t="n"/>
      <c r="K101" s="206" t="n"/>
      <c r="L101" s="206" t="n"/>
      <c r="M101" s="206" t="n"/>
      <c r="N101" s="206" t="n"/>
      <c r="O101" s="206" t="n"/>
      <c r="P101" s="206" t="n"/>
      <c r="Q101" s="206" t="n"/>
      <c r="R101" s="206" t="n"/>
      <c r="S101" s="206" t="n"/>
      <c r="T101" s="204">
        <f>SUM(F101:S101)</f>
        <v/>
      </c>
      <c r="U101" s="207">
        <f>(HLOOKUP(B101,F:T,A101,FALSE)/T101)</f>
        <v/>
      </c>
      <c r="V101" s="189" t="n"/>
      <c r="W101" s="163">
        <f>YEAR(C101)</f>
        <v/>
      </c>
      <c r="X101" s="116">
        <f>MONTH(C101)</f>
        <v/>
      </c>
      <c r="Y101" s="116">
        <f>WEEKNUM(C101,21)</f>
        <v/>
      </c>
      <c r="Z101" s="122">
        <f>IFERROR(F101/$T101,0)</f>
        <v/>
      </c>
      <c r="AA101" s="122">
        <f>IFERROR(G101/$T101,0)</f>
        <v/>
      </c>
      <c r="AB101" s="122">
        <f>IFERROR(H101/$T101,0)</f>
        <v/>
      </c>
      <c r="AC101" s="122">
        <f>IFERROR(I101/$T101,0)</f>
        <v/>
      </c>
      <c r="AD101" s="122">
        <f>IFERROR(J101/$T101,0)</f>
        <v/>
      </c>
      <c r="AE101" s="122">
        <f>IFERROR(K101/$T101,0)</f>
        <v/>
      </c>
      <c r="AF101" s="122">
        <f>IFERROR(L101/$T101,0)</f>
        <v/>
      </c>
      <c r="AG101" s="122">
        <f>IFERROR(M101/$T101,0)</f>
        <v/>
      </c>
      <c r="AH101" s="122">
        <f>IFERROR(N101/$T101,0)</f>
        <v/>
      </c>
      <c r="AI101" s="122">
        <f>IFERROR(O101/$T101,0)</f>
        <v/>
      </c>
      <c r="AJ101" s="122">
        <f>IFERROR(P101/$T101,0)</f>
        <v/>
      </c>
      <c r="AK101" s="122">
        <f>IFERROR(Q101/$T101,0)</f>
        <v/>
      </c>
      <c r="AL101" s="122">
        <f>IFERROR(R101/$T101,0)</f>
        <v/>
      </c>
      <c r="AM101" s="122">
        <f>IFERROR(S101/$T101,0)</f>
        <v/>
      </c>
      <c r="AN101" s="122">
        <f>SUM(Z101:AC101)</f>
        <v/>
      </c>
      <c r="AO101" s="122">
        <f>SUM(AD101:AL101)</f>
        <v/>
      </c>
      <c r="AP101" s="122">
        <f>SUM(AM101,AB101)</f>
        <v/>
      </c>
      <c r="AQ101" s="122">
        <f>SUM(AA101)</f>
        <v/>
      </c>
      <c r="AR101" s="121">
        <f>(AP101+AQ101)-3%</f>
        <v/>
      </c>
      <c r="AS101" s="122">
        <f>SUM(AO101+AM101)</f>
        <v/>
      </c>
      <c r="AT101" s="122">
        <f>SUM(AH101+AN101)</f>
        <v/>
      </c>
      <c r="AU101" s="122">
        <f>SUM(AN101+AO101)</f>
        <v/>
      </c>
      <c r="AV101" s="122">
        <f>SUM(AN101+AD101+AE101+AF101+AG101+AH101+AJ101+AK101+AL101)</f>
        <v/>
      </c>
      <c r="AW101" s="122">
        <f>SUM(AD101+AE101+AF101+AG101+AI101+AJ101+AK101+AL101)</f>
        <v/>
      </c>
    </row>
    <row r="102" ht="14.1" customHeight="1" s="259">
      <c r="A102" s="174">
        <f>A101+1</f>
        <v/>
      </c>
      <c r="B102" s="204" t="n"/>
      <c r="C102" s="205" t="n"/>
      <c r="D102" s="204" t="n"/>
      <c r="E102" s="206" t="n"/>
      <c r="F102" s="206" t="n"/>
      <c r="G102" s="206" t="n"/>
      <c r="H102" s="206" t="n"/>
      <c r="I102" s="206" t="n"/>
      <c r="J102" s="206" t="n"/>
      <c r="K102" s="206" t="n"/>
      <c r="L102" s="206" t="n"/>
      <c r="M102" s="206" t="n"/>
      <c r="N102" s="206" t="n"/>
      <c r="O102" s="206" t="n"/>
      <c r="P102" s="206" t="n"/>
      <c r="Q102" s="206" t="n"/>
      <c r="R102" s="206" t="n"/>
      <c r="S102" s="206" t="n"/>
      <c r="T102" s="204">
        <f>SUM(F102:S102)</f>
        <v/>
      </c>
      <c r="U102" s="207">
        <f>(HLOOKUP(B102,F:T,A102,FALSE)/T102)</f>
        <v/>
      </c>
      <c r="V102" s="189" t="n"/>
      <c r="W102" s="163">
        <f>YEAR(C102)</f>
        <v/>
      </c>
      <c r="X102" s="116">
        <f>MONTH(C102)</f>
        <v/>
      </c>
      <c r="Y102" s="116">
        <f>WEEKNUM(C102,21)</f>
        <v/>
      </c>
      <c r="Z102" s="122">
        <f>IFERROR(F102/$T102,0)</f>
        <v/>
      </c>
      <c r="AA102" s="122">
        <f>IFERROR(G102/$T102,0)</f>
        <v/>
      </c>
      <c r="AB102" s="122">
        <f>IFERROR(H102/$T102,0)</f>
        <v/>
      </c>
      <c r="AC102" s="122">
        <f>IFERROR(I102/$T102,0)</f>
        <v/>
      </c>
      <c r="AD102" s="122">
        <f>IFERROR(J102/$T102,0)</f>
        <v/>
      </c>
      <c r="AE102" s="122">
        <f>IFERROR(K102/$T102,0)</f>
        <v/>
      </c>
      <c r="AF102" s="122">
        <f>IFERROR(L102/$T102,0)</f>
        <v/>
      </c>
      <c r="AG102" s="122">
        <f>IFERROR(M102/$T102,0)</f>
        <v/>
      </c>
      <c r="AH102" s="122">
        <f>IFERROR(N102/$T102,0)</f>
        <v/>
      </c>
      <c r="AI102" s="122">
        <f>IFERROR(O102/$T102,0)</f>
        <v/>
      </c>
      <c r="AJ102" s="122">
        <f>IFERROR(P102/$T102,0)</f>
        <v/>
      </c>
      <c r="AK102" s="122">
        <f>IFERROR(Q102/$T102,0)</f>
        <v/>
      </c>
      <c r="AL102" s="122">
        <f>IFERROR(R102/$T102,0)</f>
        <v/>
      </c>
      <c r="AM102" s="122">
        <f>IFERROR(S102/$T102,0)</f>
        <v/>
      </c>
      <c r="AN102" s="122">
        <f>SUM(Z102:AC102)</f>
        <v/>
      </c>
      <c r="AO102" s="122">
        <f>SUM(AD102:AL102)</f>
        <v/>
      </c>
      <c r="AP102" s="122">
        <f>SUM(AM102,AB102)</f>
        <v/>
      </c>
      <c r="AQ102" s="122">
        <f>SUM(AA102)</f>
        <v/>
      </c>
      <c r="AR102" s="121">
        <f>(AP102+AQ102)-3%</f>
        <v/>
      </c>
      <c r="AS102" s="122">
        <f>SUM(AO102+AM102)</f>
        <v/>
      </c>
      <c r="AT102" s="122">
        <f>SUM(AH102+AN102)</f>
        <v/>
      </c>
      <c r="AU102" s="122">
        <f>SUM(AN102+AO102)</f>
        <v/>
      </c>
      <c r="AV102" s="122">
        <f>SUM(AN102+AD102+AE102+AF102+AG102+AH102+AJ102+AK102+AL102)</f>
        <v/>
      </c>
      <c r="AW102" s="122">
        <f>SUM(AD102+AE102+AF102+AG102+AI102+AJ102+AK102+AL102)</f>
        <v/>
      </c>
    </row>
    <row r="103" ht="14.1" customHeight="1" s="259">
      <c r="A103" s="174">
        <f>A102+1</f>
        <v/>
      </c>
      <c r="B103" s="204" t="n"/>
      <c r="C103" s="205" t="n"/>
      <c r="D103" s="204" t="n"/>
      <c r="E103" s="206" t="n"/>
      <c r="F103" s="206" t="n"/>
      <c r="G103" s="206" t="n"/>
      <c r="H103" s="206" t="n"/>
      <c r="I103" s="206" t="n"/>
      <c r="J103" s="206" t="n"/>
      <c r="K103" s="206" t="n"/>
      <c r="L103" s="206" t="n"/>
      <c r="M103" s="206" t="n"/>
      <c r="N103" s="206" t="n"/>
      <c r="O103" s="206" t="n"/>
      <c r="P103" s="206" t="n"/>
      <c r="Q103" s="206" t="n"/>
      <c r="R103" s="206" t="n"/>
      <c r="S103" s="206" t="n"/>
      <c r="T103" s="204">
        <f>SUM(F103:S103)</f>
        <v/>
      </c>
      <c r="U103" s="207">
        <f>(HLOOKUP(B103,F:T,A103,FALSE)/T103)</f>
        <v/>
      </c>
      <c r="V103" s="189" t="n"/>
      <c r="W103" s="163">
        <f>YEAR(C103)</f>
        <v/>
      </c>
      <c r="X103" s="116">
        <f>MONTH(C103)</f>
        <v/>
      </c>
      <c r="Y103" s="116">
        <f>WEEKNUM(C103,21)</f>
        <v/>
      </c>
      <c r="Z103" s="122">
        <f>IFERROR(F103/$T103,0)</f>
        <v/>
      </c>
      <c r="AA103" s="122">
        <f>IFERROR(G103/$T103,0)</f>
        <v/>
      </c>
      <c r="AB103" s="122">
        <f>IFERROR(H103/$T103,0)</f>
        <v/>
      </c>
      <c r="AC103" s="122">
        <f>IFERROR(I103/$T103,0)</f>
        <v/>
      </c>
      <c r="AD103" s="122">
        <f>IFERROR(J103/$T103,0)</f>
        <v/>
      </c>
      <c r="AE103" s="122">
        <f>IFERROR(K103/$T103,0)</f>
        <v/>
      </c>
      <c r="AF103" s="122">
        <f>IFERROR(L103/$T103,0)</f>
        <v/>
      </c>
      <c r="AG103" s="122">
        <f>IFERROR(N103/$T103,0)</f>
        <v/>
      </c>
      <c r="AH103" s="122">
        <f>IFERROR(O103/$T103,0)</f>
        <v/>
      </c>
      <c r="AI103" s="122">
        <f>IFERROR(P103/$T103,0)</f>
        <v/>
      </c>
      <c r="AJ103" s="122">
        <f>IFERROR(Q103/$T103,0)</f>
        <v/>
      </c>
      <c r="AK103" s="122">
        <f>IFERROR(R103/$T103,0)</f>
        <v/>
      </c>
      <c r="AL103" s="122">
        <f>IFERROR(K103/$T103,0)</f>
        <v/>
      </c>
      <c r="AM103" s="122" t="n"/>
      <c r="AN103" s="122">
        <f>SUM(Z103:AC103)</f>
        <v/>
      </c>
      <c r="AO103" s="122">
        <f>SUM(AD103:AL103)</f>
        <v/>
      </c>
      <c r="AP103" s="122">
        <f>SUM(AM103,AB103)</f>
        <v/>
      </c>
      <c r="AQ103" s="122">
        <f>SUM(AA103)</f>
        <v/>
      </c>
      <c r="AR103" s="121">
        <f>(AP103+AQ103)-3%</f>
        <v/>
      </c>
      <c r="AS103" s="122">
        <f>SUM(AO103+AM103)</f>
        <v/>
      </c>
      <c r="AT103" s="122">
        <f>SUM(AH103+AN103)</f>
        <v/>
      </c>
      <c r="AU103" s="122">
        <f>SUM(AN103+AO103)</f>
        <v/>
      </c>
      <c r="AV103" s="122">
        <f>SUM(AN103+AD103+AE103+AF103+AG103+AH103+AJ103+AK103+AL103)</f>
        <v/>
      </c>
      <c r="AW103" s="122">
        <f>SUM(AD103+AE103+AF103+AG103+AI103+AJ103+AK103+AL103)</f>
        <v/>
      </c>
    </row>
    <row r="104" ht="14.1" customHeight="1" s="259">
      <c r="A104" s="174">
        <f>A103+1</f>
        <v/>
      </c>
      <c r="B104" s="204" t="n"/>
      <c r="C104" s="205" t="n"/>
      <c r="D104" s="204" t="n"/>
      <c r="E104" s="206" t="n"/>
      <c r="F104" s="206" t="n"/>
      <c r="G104" s="206" t="n"/>
      <c r="H104" s="206" t="n"/>
      <c r="I104" s="206" t="n"/>
      <c r="J104" s="206" t="n"/>
      <c r="K104" s="206" t="n"/>
      <c r="L104" s="206" t="n"/>
      <c r="M104" s="206" t="n"/>
      <c r="N104" s="206" t="n"/>
      <c r="O104" s="206" t="n"/>
      <c r="P104" s="206" t="n"/>
      <c r="Q104" s="206" t="n"/>
      <c r="R104" s="206" t="n"/>
      <c r="S104" s="206" t="n"/>
      <c r="T104" s="204">
        <f>SUM(F104:S104)</f>
        <v/>
      </c>
      <c r="U104" s="207">
        <f>(HLOOKUP(B104,F:T,A104,FALSE)/T104)</f>
        <v/>
      </c>
      <c r="V104" s="189" t="n"/>
      <c r="W104" s="163">
        <f>YEAR(C104)</f>
        <v/>
      </c>
      <c r="X104" s="116">
        <f>MONTH(C104)</f>
        <v/>
      </c>
      <c r="Y104" s="116">
        <f>WEEKNUM(C104,21)</f>
        <v/>
      </c>
      <c r="Z104" s="122">
        <f>IFERROR(F104/$T104,0)</f>
        <v/>
      </c>
      <c r="AA104" s="122">
        <f>IFERROR(G104/$T104,0)</f>
        <v/>
      </c>
      <c r="AB104" s="122">
        <f>IFERROR(H104/$T104,0)</f>
        <v/>
      </c>
      <c r="AC104" s="122">
        <f>IFERROR(I104/$T104,0)</f>
        <v/>
      </c>
      <c r="AD104" s="122">
        <f>IFERROR(J104/$T104,0)</f>
        <v/>
      </c>
      <c r="AE104" s="122">
        <f>IFERROR(K104/$T104,0)</f>
        <v/>
      </c>
      <c r="AF104" s="122">
        <f>IFERROR(L104/$T104,0)</f>
        <v/>
      </c>
      <c r="AG104" s="122">
        <f>IFERROR(N104/$T104,0)</f>
        <v/>
      </c>
      <c r="AH104" s="122">
        <f>IFERROR(O104/$T104,0)</f>
        <v/>
      </c>
      <c r="AI104" s="122">
        <f>IFERROR(P104/$T104,0)</f>
        <v/>
      </c>
      <c r="AJ104" s="122">
        <f>IFERROR(Q104/$T104,0)</f>
        <v/>
      </c>
      <c r="AK104" s="122">
        <f>IFERROR(R104/$T104,0)</f>
        <v/>
      </c>
      <c r="AL104" s="122">
        <f>IFERROR(K104/$T104,0)</f>
        <v/>
      </c>
      <c r="AM104" s="122" t="n"/>
      <c r="AN104" s="122">
        <f>SUM(Z104:AC104)</f>
        <v/>
      </c>
      <c r="AO104" s="122">
        <f>SUM(AD104:AL104)</f>
        <v/>
      </c>
      <c r="AP104" s="122">
        <f>SUM(AM104,AB104)</f>
        <v/>
      </c>
      <c r="AQ104" s="122">
        <f>SUM(AA104)</f>
        <v/>
      </c>
      <c r="AR104" s="121">
        <f>(AP104+AQ104)-3%</f>
        <v/>
      </c>
      <c r="AS104" s="122">
        <f>SUM(AO104+AM104)</f>
        <v/>
      </c>
      <c r="AT104" s="122">
        <f>SUM(AH104+AN104)</f>
        <v/>
      </c>
      <c r="AU104" s="122">
        <f>SUM(AN104+AO104)</f>
        <v/>
      </c>
      <c r="AV104" s="122">
        <f>SUM(AN104+AD104+AE104+AF104+AG104+AH104+AJ104+AK104+AL104)</f>
        <v/>
      </c>
      <c r="AW104" s="122">
        <f>SUM(AD104+AE104+AF104+AG104+AI104+AJ104+AK104+AL104)</f>
        <v/>
      </c>
    </row>
    <row r="105" ht="14.1" customHeight="1" s="259">
      <c r="A105" s="174">
        <f>A104+1</f>
        <v/>
      </c>
      <c r="B105" s="199" t="n"/>
      <c r="C105" s="200" t="n"/>
      <c r="D105" s="199" t="n"/>
      <c r="E105" s="201" t="n"/>
      <c r="F105" s="201" t="n"/>
      <c r="G105" s="201" t="n"/>
      <c r="H105" s="201" t="n"/>
      <c r="I105" s="201" t="n"/>
      <c r="J105" s="201" t="n"/>
      <c r="K105" s="201" t="n"/>
      <c r="L105" s="201" t="n"/>
      <c r="M105" s="201" t="n"/>
      <c r="N105" s="201" t="n"/>
      <c r="O105" s="201" t="n"/>
      <c r="P105" s="201" t="n"/>
      <c r="Q105" s="201" t="n"/>
      <c r="R105" s="201" t="n"/>
      <c r="S105" s="201" t="n"/>
      <c r="T105" s="199">
        <f>SUM(F105:S105)</f>
        <v/>
      </c>
      <c r="U105" s="202">
        <f>(HLOOKUP(B105,F:T,A105,FALSE)/T105)</f>
        <v/>
      </c>
      <c r="V105" s="189" t="n"/>
      <c r="W105" s="163">
        <f>YEAR(C105)</f>
        <v/>
      </c>
      <c r="X105" s="116">
        <f>MONTH(C105)</f>
        <v/>
      </c>
      <c r="Y105" s="116">
        <f>WEEKNUM(C105,21)</f>
        <v/>
      </c>
      <c r="Z105" s="122">
        <f>IFERROR(F105/$T105,0)</f>
        <v/>
      </c>
      <c r="AA105" s="122">
        <f>IFERROR(G105/$T105,0)</f>
        <v/>
      </c>
      <c r="AB105" s="122">
        <f>IFERROR(H105/$T105,0)</f>
        <v/>
      </c>
      <c r="AC105" s="122">
        <f>IFERROR(I105/$T105,0)</f>
        <v/>
      </c>
      <c r="AD105" s="122">
        <f>IFERROR(J105/$T105,0)</f>
        <v/>
      </c>
      <c r="AE105" s="122">
        <f>IFERROR(K105/$T105,0)</f>
        <v/>
      </c>
      <c r="AF105" s="122">
        <f>IFERROR(L105/$T105,0)</f>
        <v/>
      </c>
      <c r="AG105" s="122">
        <f>IFERROR(N105/$T105,0)</f>
        <v/>
      </c>
      <c r="AH105" s="122">
        <f>IFERROR(O105/$T105,0)</f>
        <v/>
      </c>
      <c r="AI105" s="122">
        <f>IFERROR(P105/$T105,0)</f>
        <v/>
      </c>
      <c r="AJ105" s="122">
        <f>IFERROR(Q105/$T105,0)</f>
        <v/>
      </c>
      <c r="AK105" s="122">
        <f>IFERROR(R105/$T105,0)</f>
        <v/>
      </c>
      <c r="AL105" s="122">
        <f>IFERROR(K105/$T105,0)</f>
        <v/>
      </c>
      <c r="AM105" s="122" t="n"/>
      <c r="AN105" s="122">
        <f>SUM(Z105:AC105)</f>
        <v/>
      </c>
      <c r="AO105" s="122">
        <f>SUM(AD105:AL105)</f>
        <v/>
      </c>
      <c r="AP105" s="122">
        <f>SUM(AM105,AB105)</f>
        <v/>
      </c>
      <c r="AQ105" s="122">
        <f>SUM(AA105)</f>
        <v/>
      </c>
      <c r="AR105" s="121">
        <f>(AP105+AQ105)-3%</f>
        <v/>
      </c>
      <c r="AS105" s="122">
        <f>SUM(AO105+AM105)</f>
        <v/>
      </c>
      <c r="AT105" s="122">
        <f>SUM(AH105+AN105)</f>
        <v/>
      </c>
      <c r="AU105" s="122">
        <f>SUM(AN105+AO105)</f>
        <v/>
      </c>
      <c r="AV105" s="122">
        <f>SUM(AN105+AD105+AE105+AF105+AG105+AH105+AJ105+AK105+AL105)</f>
        <v/>
      </c>
      <c r="AW105" s="122">
        <f>SUM(AD105+AE105+AF105+AG105+AI105+AJ105+AK105+AL105)</f>
        <v/>
      </c>
    </row>
    <row r="106" ht="14.1" customHeight="1" s="259">
      <c r="A106" s="174">
        <f>A105+1</f>
        <v/>
      </c>
      <c r="B106" s="199" t="n"/>
      <c r="C106" s="200" t="n"/>
      <c r="D106" s="199" t="n"/>
      <c r="E106" s="201" t="n"/>
      <c r="F106" s="201" t="n"/>
      <c r="G106" s="201" t="n"/>
      <c r="H106" s="201" t="n"/>
      <c r="I106" s="201" t="n"/>
      <c r="J106" s="201" t="n"/>
      <c r="K106" s="201" t="n"/>
      <c r="L106" s="201" t="n"/>
      <c r="M106" s="201" t="n"/>
      <c r="N106" s="201" t="n"/>
      <c r="O106" s="201" t="n"/>
      <c r="P106" s="201" t="n"/>
      <c r="Q106" s="201" t="n"/>
      <c r="R106" s="201" t="n"/>
      <c r="S106" s="201" t="n"/>
      <c r="T106" s="199">
        <f>SUM(F106:S106)</f>
        <v/>
      </c>
      <c r="U106" s="202">
        <f>(HLOOKUP(B106,F:T,A106,FALSE)/T106)</f>
        <v/>
      </c>
      <c r="V106" s="189" t="n"/>
      <c r="W106" s="163">
        <f>YEAR(C106)</f>
        <v/>
      </c>
      <c r="X106" s="116">
        <f>MONTH(C106)</f>
        <v/>
      </c>
      <c r="Y106" s="116">
        <f>WEEKNUM(C106,21)</f>
        <v/>
      </c>
      <c r="Z106" s="122">
        <f>IFERROR(F106/$T106,0)</f>
        <v/>
      </c>
      <c r="AA106" s="122">
        <f>IFERROR(G106/$T106,0)</f>
        <v/>
      </c>
      <c r="AB106" s="122">
        <f>IFERROR(H106/$T106,0)</f>
        <v/>
      </c>
      <c r="AC106" s="122">
        <f>IFERROR(I106/$T106,0)</f>
        <v/>
      </c>
      <c r="AD106" s="122">
        <f>IFERROR(J106/$T106,0)</f>
        <v/>
      </c>
      <c r="AE106" s="122">
        <f>IFERROR(K106/$T106,0)</f>
        <v/>
      </c>
      <c r="AF106" s="122">
        <f>IFERROR(L106/$T106,0)</f>
        <v/>
      </c>
      <c r="AG106" s="122">
        <f>IFERROR(N106/$T106,0)</f>
        <v/>
      </c>
      <c r="AH106" s="122">
        <f>IFERROR(O106/$T106,0)</f>
        <v/>
      </c>
      <c r="AI106" s="122">
        <f>IFERROR(P106/$T106,0)</f>
        <v/>
      </c>
      <c r="AJ106" s="122">
        <f>IFERROR(Q106/$T106,0)</f>
        <v/>
      </c>
      <c r="AK106" s="122">
        <f>IFERROR(R106/$T106,0)</f>
        <v/>
      </c>
      <c r="AL106" s="122">
        <f>IFERROR(K106/$T106,0)</f>
        <v/>
      </c>
      <c r="AM106" s="122" t="n"/>
      <c r="AN106" s="122">
        <f>SUM(Z106:AC106)</f>
        <v/>
      </c>
      <c r="AO106" s="122">
        <f>SUM(AD106:AL106)</f>
        <v/>
      </c>
      <c r="AP106" s="122">
        <f>SUM(AM106,AB106)</f>
        <v/>
      </c>
      <c r="AQ106" s="122">
        <f>SUM(AA106)</f>
        <v/>
      </c>
      <c r="AR106" s="121">
        <f>(AP106+AQ106)-3%</f>
        <v/>
      </c>
      <c r="AS106" s="122">
        <f>SUM(AO106+AM106)</f>
        <v/>
      </c>
      <c r="AT106" s="122">
        <f>SUM(AH106+AN106)</f>
        <v/>
      </c>
      <c r="AU106" s="122">
        <f>SUM(AN106+AO106)</f>
        <v/>
      </c>
      <c r="AV106" s="122">
        <f>SUM(AN106+AD106+AE106+AF106+AG106+AH106+AJ106+AK106+AL106)</f>
        <v/>
      </c>
      <c r="AW106" s="122">
        <f>SUM(AD106+AE106+AF106+AG106+AI106+AJ106+AK106+AL106)</f>
        <v/>
      </c>
    </row>
    <row r="107" ht="14.1" customHeight="1" s="259">
      <c r="A107" s="174">
        <f>A106+1</f>
        <v/>
      </c>
      <c r="B107" s="204" t="n"/>
      <c r="C107" s="205" t="n"/>
      <c r="D107" s="204" t="n"/>
      <c r="E107" s="206" t="n"/>
      <c r="F107" s="206" t="n"/>
      <c r="G107" s="206" t="n"/>
      <c r="H107" s="206" t="n"/>
      <c r="I107" s="206" t="n"/>
      <c r="J107" s="206" t="n"/>
      <c r="K107" s="206" t="n"/>
      <c r="L107" s="206" t="n"/>
      <c r="M107" s="206" t="n"/>
      <c r="N107" s="206" t="n"/>
      <c r="O107" s="206" t="n"/>
      <c r="P107" s="206" t="n"/>
      <c r="Q107" s="206" t="n"/>
      <c r="R107" s="206" t="n"/>
      <c r="S107" s="206" t="n"/>
      <c r="T107" s="204">
        <f>SUM(F107:S107)</f>
        <v/>
      </c>
      <c r="U107" s="207">
        <f>(HLOOKUP(B107,F:T,A107,FALSE)/T107)</f>
        <v/>
      </c>
      <c r="V107" s="189" t="n"/>
      <c r="W107" s="163">
        <f>YEAR(C107)</f>
        <v/>
      </c>
      <c r="X107" s="116">
        <f>MONTH(C107)</f>
        <v/>
      </c>
      <c r="Y107" s="116">
        <f>WEEKNUM(C107,21)</f>
        <v/>
      </c>
      <c r="Z107" s="122" t="n"/>
      <c r="AA107" s="122" t="n"/>
      <c r="AB107" s="122" t="n"/>
      <c r="AC107" s="122" t="n"/>
      <c r="AD107" s="122" t="n"/>
      <c r="AE107" s="122">
        <f>IFERROR(K107/$T107,0)</f>
        <v/>
      </c>
      <c r="AF107" s="122">
        <f>IFERROR(L107/$T107,0)</f>
        <v/>
      </c>
      <c r="AG107" s="122" t="n"/>
      <c r="AH107" s="122" t="n"/>
      <c r="AI107" s="122" t="n"/>
      <c r="AJ107" s="122" t="n"/>
      <c r="AK107" s="122" t="n"/>
      <c r="AL107" s="122" t="n"/>
      <c r="AM107" s="122" t="n"/>
      <c r="AN107" s="122">
        <f>SUM(Z107:AC107)</f>
        <v/>
      </c>
      <c r="AO107" s="122">
        <f>SUM(AD107:AL107)</f>
        <v/>
      </c>
      <c r="AP107" s="122">
        <f>SUM(AM107,AB107)</f>
        <v/>
      </c>
      <c r="AQ107" s="122">
        <f>SUM(AA107)</f>
        <v/>
      </c>
      <c r="AR107" s="121">
        <f>(AP107+AQ107)-3%</f>
        <v/>
      </c>
      <c r="AS107" s="122">
        <f>SUM(AO107+AM107)</f>
        <v/>
      </c>
      <c r="AT107" s="122">
        <f>SUM(AH107+AN107)</f>
        <v/>
      </c>
      <c r="AU107" s="122">
        <f>SUM(AN107+AO107)</f>
        <v/>
      </c>
      <c r="AV107" s="122">
        <f>SUM(AN107+AD107+AE107+AF107+AG107+AH107+AJ107+AK107+AL107)</f>
        <v/>
      </c>
      <c r="AW107" s="122">
        <f>SUM(AD107+AE107+AF107+AG107+AI107+AJ107+AK107+AL107)</f>
        <v/>
      </c>
    </row>
    <row r="108" ht="14.1" customHeight="1" s="259">
      <c r="A108" s="174">
        <f>A107+1</f>
        <v/>
      </c>
      <c r="B108" s="204" t="n"/>
      <c r="C108" s="205" t="n"/>
      <c r="D108" s="204" t="n"/>
      <c r="E108" s="206" t="n"/>
      <c r="F108" s="206" t="n"/>
      <c r="G108" s="206" t="n"/>
      <c r="H108" s="206" t="n"/>
      <c r="I108" s="206" t="n"/>
      <c r="J108" s="206" t="n"/>
      <c r="K108" s="206" t="n"/>
      <c r="L108" s="206" t="n"/>
      <c r="M108" s="206" t="n"/>
      <c r="N108" s="206" t="n"/>
      <c r="O108" s="206" t="n"/>
      <c r="P108" s="206" t="n"/>
      <c r="Q108" s="206" t="n"/>
      <c r="R108" s="206" t="n"/>
      <c r="S108" s="206" t="n"/>
      <c r="T108" s="204">
        <f>SUM(F108:S108)</f>
        <v/>
      </c>
      <c r="U108" s="207">
        <f>(HLOOKUP(B108,F:T,A108,FALSE)/T108)</f>
        <v/>
      </c>
      <c r="V108" s="189" t="n"/>
      <c r="W108" s="163">
        <f>YEAR(C108)</f>
        <v/>
      </c>
      <c r="X108" s="116">
        <f>MONTH(C108)</f>
        <v/>
      </c>
      <c r="Y108" s="116">
        <f>WEEKNUM(C108,21)</f>
        <v/>
      </c>
      <c r="Z108" s="122" t="n"/>
      <c r="AA108" s="122" t="n"/>
      <c r="AB108" s="122" t="n"/>
      <c r="AC108" s="122" t="n"/>
      <c r="AD108" s="122" t="n"/>
      <c r="AE108" s="122">
        <f>IFERROR(K108/$T108,0)</f>
        <v/>
      </c>
      <c r="AF108" s="122">
        <f>IFERROR(L108/$T108,0)</f>
        <v/>
      </c>
      <c r="AG108" s="122" t="n"/>
      <c r="AH108" s="122" t="n"/>
      <c r="AI108" s="122" t="n"/>
      <c r="AJ108" s="122" t="n"/>
      <c r="AK108" s="122" t="n"/>
      <c r="AL108" s="122" t="n"/>
      <c r="AM108" s="122" t="n"/>
      <c r="AN108" s="122">
        <f>SUM(Z108:AC108)</f>
        <v/>
      </c>
      <c r="AO108" s="122">
        <f>SUM(AD108:AL108)</f>
        <v/>
      </c>
      <c r="AP108" s="122">
        <f>SUM(AM108,AB108)</f>
        <v/>
      </c>
      <c r="AQ108" s="122">
        <f>SUM(AA108)</f>
        <v/>
      </c>
      <c r="AR108" s="121">
        <f>(AP108+AQ108)-3%</f>
        <v/>
      </c>
      <c r="AS108" s="122">
        <f>SUM(AO108+AM108)</f>
        <v/>
      </c>
      <c r="AT108" s="122">
        <f>SUM(AH108+AN108)</f>
        <v/>
      </c>
      <c r="AU108" s="122">
        <f>SUM(AN108+AO108)</f>
        <v/>
      </c>
      <c r="AV108" s="122">
        <f>SUM(AN108+AD108+AE108+AF108+AG108+AH108+AJ108+AK108+AL108)</f>
        <v/>
      </c>
      <c r="AW108" s="122">
        <f>SUM(AD108+AE108+AF108+AG108+AI108+AJ108+AK108+AL108)</f>
        <v/>
      </c>
    </row>
    <row r="109" ht="14.1" customHeight="1" s="259">
      <c r="A109" s="174">
        <f>A108+1</f>
        <v/>
      </c>
      <c r="B109" s="204" t="n"/>
      <c r="C109" s="205" t="n"/>
      <c r="D109" s="204" t="n"/>
      <c r="E109" s="206" t="n"/>
      <c r="F109" s="206" t="n"/>
      <c r="G109" s="206" t="n"/>
      <c r="H109" s="206" t="n"/>
      <c r="I109" s="206" t="n"/>
      <c r="J109" s="206" t="n"/>
      <c r="K109" s="206" t="n"/>
      <c r="L109" s="206" t="n"/>
      <c r="M109" s="206" t="n"/>
      <c r="N109" s="206" t="n"/>
      <c r="O109" s="206" t="n"/>
      <c r="P109" s="206" t="n"/>
      <c r="Q109" s="206" t="n"/>
      <c r="R109" s="206" t="n"/>
      <c r="S109" s="206" t="n"/>
      <c r="T109" s="204">
        <f>SUM(F109:S109)</f>
        <v/>
      </c>
      <c r="U109" s="207">
        <f>(HLOOKUP(B109,F:T,A109,FALSE)/T109)</f>
        <v/>
      </c>
      <c r="V109" s="189" t="n"/>
      <c r="W109" s="163">
        <f>YEAR(C109)</f>
        <v/>
      </c>
      <c r="X109" s="116">
        <f>MONTH(C109)</f>
        <v/>
      </c>
      <c r="Y109" s="116">
        <f>WEEKNUM(C109,21)</f>
        <v/>
      </c>
      <c r="Z109" s="122" t="n"/>
      <c r="AA109" s="122" t="n"/>
      <c r="AB109" s="122" t="n"/>
      <c r="AC109" s="122" t="n"/>
      <c r="AD109" s="122" t="n"/>
      <c r="AE109" s="122">
        <f>IFERROR(K109/$T109,0)</f>
        <v/>
      </c>
      <c r="AF109" s="122">
        <f>IFERROR(L109/$T109,0)</f>
        <v/>
      </c>
      <c r="AG109" s="122" t="n"/>
      <c r="AH109" s="122" t="n"/>
      <c r="AI109" s="122" t="n"/>
      <c r="AJ109" s="122" t="n"/>
      <c r="AK109" s="122" t="n"/>
      <c r="AL109" s="122" t="n"/>
      <c r="AM109" s="122" t="n"/>
      <c r="AN109" s="122">
        <f>SUM(Z109:AC109)</f>
        <v/>
      </c>
      <c r="AO109" s="122">
        <f>SUM(AD109:AL109)</f>
        <v/>
      </c>
      <c r="AP109" s="122">
        <f>SUM(AM109,AB109)</f>
        <v/>
      </c>
      <c r="AQ109" s="122">
        <f>SUM(AA109)</f>
        <v/>
      </c>
      <c r="AR109" s="121">
        <f>(AP109+AQ109)-3%</f>
        <v/>
      </c>
      <c r="AS109" s="122">
        <f>SUM(AO109+AM109)</f>
        <v/>
      </c>
      <c r="AT109" s="122">
        <f>SUM(AH109+AN109)</f>
        <v/>
      </c>
      <c r="AU109" s="122">
        <f>SUM(AN109+AO109)</f>
        <v/>
      </c>
      <c r="AV109" s="122">
        <f>SUM(AN109+AD109+AE109+AF109+AG109+AH109+AJ109+AK109+AL109)</f>
        <v/>
      </c>
      <c r="AW109" s="122">
        <f>SUM(AD109+AE109+AF109+AG109+AI109+AJ109+AK109+AL109)</f>
        <v/>
      </c>
    </row>
    <row r="110" ht="14.1" customHeight="1" s="259">
      <c r="A110" s="174">
        <f>A109+1</f>
        <v/>
      </c>
      <c r="B110" s="204" t="n"/>
      <c r="C110" s="205" t="n"/>
      <c r="D110" s="204" t="n"/>
      <c r="E110" s="206" t="n"/>
      <c r="F110" s="206" t="n"/>
      <c r="G110" s="206" t="n"/>
      <c r="H110" s="206" t="n"/>
      <c r="I110" s="206" t="n"/>
      <c r="J110" s="206" t="n"/>
      <c r="K110" s="206" t="n"/>
      <c r="L110" s="206" t="n"/>
      <c r="M110" s="206" t="n"/>
      <c r="N110" s="206" t="n"/>
      <c r="O110" s="206" t="n"/>
      <c r="P110" s="206" t="n"/>
      <c r="Q110" s="206" t="n"/>
      <c r="R110" s="206" t="n"/>
      <c r="S110" s="206" t="n"/>
      <c r="T110" s="204">
        <f>SUM(F110:S110)</f>
        <v/>
      </c>
      <c r="U110" s="207">
        <f>(HLOOKUP(B110,F:T,A110,FALSE)/T110)</f>
        <v/>
      </c>
      <c r="V110" s="189" t="n"/>
      <c r="W110" s="163">
        <f>YEAR(C110)</f>
        <v/>
      </c>
      <c r="X110" s="116">
        <f>MONTH(C110)</f>
        <v/>
      </c>
      <c r="Y110" s="116">
        <f>WEEKNUM(C110,21)</f>
        <v/>
      </c>
      <c r="Z110" s="122" t="n"/>
      <c r="AA110" s="122" t="n"/>
      <c r="AB110" s="122" t="n"/>
      <c r="AC110" s="122" t="n"/>
      <c r="AD110" s="122" t="n"/>
      <c r="AE110" s="122">
        <f>IFERROR(K110/$T110,0)</f>
        <v/>
      </c>
      <c r="AF110" s="122">
        <f>IFERROR(L110/$T110,0)</f>
        <v/>
      </c>
      <c r="AG110" s="122" t="n"/>
      <c r="AH110" s="122" t="n"/>
      <c r="AI110" s="122" t="n"/>
      <c r="AJ110" s="122" t="n"/>
      <c r="AK110" s="122" t="n"/>
      <c r="AL110" s="122" t="n"/>
      <c r="AM110" s="122" t="n"/>
      <c r="AN110" s="122">
        <f>SUM(Z110:AC110)</f>
        <v/>
      </c>
      <c r="AO110" s="122">
        <f>SUM(AD110:AL110)</f>
        <v/>
      </c>
      <c r="AP110" s="122">
        <f>SUM(AM110,AB110)</f>
        <v/>
      </c>
      <c r="AQ110" s="122">
        <f>SUM(AA110)</f>
        <v/>
      </c>
      <c r="AR110" s="121">
        <f>(AP110+AQ110)-3%</f>
        <v/>
      </c>
      <c r="AS110" s="122">
        <f>SUM(AO110+AM110)</f>
        <v/>
      </c>
      <c r="AT110" s="122">
        <f>SUM(AH110+AN110)</f>
        <v/>
      </c>
      <c r="AU110" s="122">
        <f>SUM(AN110+AO110)</f>
        <v/>
      </c>
      <c r="AV110" s="122">
        <f>SUM(AN110+AD110+AE110+AF110+AG110+AH110+AJ110+AK110+AL110)</f>
        <v/>
      </c>
      <c r="AW110" s="122">
        <f>SUM(AD110+AE110+AF110+AG110+AI110+AJ110+AK110+AL110)</f>
        <v/>
      </c>
    </row>
    <row r="111" ht="14.1" customHeight="1" s="259">
      <c r="A111" s="174">
        <f>A110+1</f>
        <v/>
      </c>
      <c r="B111" s="204" t="n"/>
      <c r="C111" s="205" t="n"/>
      <c r="D111" s="204" t="n"/>
      <c r="E111" s="206" t="n"/>
      <c r="F111" s="206" t="n"/>
      <c r="G111" s="206" t="n"/>
      <c r="H111" s="206" t="n"/>
      <c r="I111" s="206" t="n"/>
      <c r="J111" s="206" t="n"/>
      <c r="K111" s="206" t="n"/>
      <c r="L111" s="206" t="n"/>
      <c r="M111" s="206" t="n"/>
      <c r="N111" s="206" t="n"/>
      <c r="O111" s="206" t="n"/>
      <c r="P111" s="206" t="n"/>
      <c r="Q111" s="206" t="n"/>
      <c r="R111" s="206" t="n"/>
      <c r="S111" s="206" t="n"/>
      <c r="T111" s="204">
        <f>SUM(F111:S111)</f>
        <v/>
      </c>
      <c r="U111" s="207">
        <f>(HLOOKUP(B111,F:T,A111,FALSE)/T111)</f>
        <v/>
      </c>
      <c r="V111" s="189" t="n"/>
      <c r="W111" s="163">
        <f>YEAR(C111)</f>
        <v/>
      </c>
      <c r="X111" s="116">
        <f>MONTH(C111)</f>
        <v/>
      </c>
      <c r="Y111" s="116">
        <f>WEEKNUM(C111,21)</f>
        <v/>
      </c>
      <c r="Z111" s="122" t="n"/>
      <c r="AA111" s="122" t="n"/>
      <c r="AB111" s="122" t="n"/>
      <c r="AC111" s="122" t="n"/>
      <c r="AD111" s="122" t="n"/>
      <c r="AE111" s="122">
        <f>IFERROR(K111/$T111,0)</f>
        <v/>
      </c>
      <c r="AF111" s="122">
        <f>IFERROR(L111/$T111,0)</f>
        <v/>
      </c>
      <c r="AG111" s="122" t="n"/>
      <c r="AH111" s="122" t="n"/>
      <c r="AI111" s="122" t="n"/>
      <c r="AJ111" s="122" t="n"/>
      <c r="AK111" s="122" t="n"/>
      <c r="AL111" s="122" t="n"/>
      <c r="AM111" s="122" t="n"/>
      <c r="AN111" s="122">
        <f>SUM(Z111:AC111)</f>
        <v/>
      </c>
      <c r="AO111" s="122">
        <f>SUM(AD111:AL111)</f>
        <v/>
      </c>
      <c r="AP111" s="122">
        <f>SUM(AM111,AB111)</f>
        <v/>
      </c>
      <c r="AQ111" s="122">
        <f>SUM(AA111)</f>
        <v/>
      </c>
      <c r="AR111" s="121">
        <f>(AP111+AQ111)-3%</f>
        <v/>
      </c>
      <c r="AS111" s="122">
        <f>SUM(AO111+AM111)</f>
        <v/>
      </c>
      <c r="AT111" s="122">
        <f>SUM(AH111+AN111)</f>
        <v/>
      </c>
      <c r="AU111" s="122">
        <f>SUM(AN111+AO111)</f>
        <v/>
      </c>
      <c r="AV111" s="122">
        <f>SUM(AN111+AD111+AE111+AF111+AG111+AH111+AJ111+AK111+AL111)</f>
        <v/>
      </c>
      <c r="AW111" s="122">
        <f>SUM(AD111+AE111+AF111+AG111+AI111+AJ111+AK111+AL111)</f>
        <v/>
      </c>
    </row>
    <row r="112" ht="14.1" customHeight="1" s="259">
      <c r="A112" s="174">
        <f>A111+1</f>
        <v/>
      </c>
      <c r="B112" s="204" t="n"/>
      <c r="C112" s="205" t="n"/>
      <c r="D112" s="204" t="n"/>
      <c r="E112" s="206" t="n"/>
      <c r="F112" s="206" t="n"/>
      <c r="G112" s="206" t="n"/>
      <c r="H112" s="206" t="n"/>
      <c r="I112" s="206" t="n"/>
      <c r="J112" s="206" t="n"/>
      <c r="K112" s="206" t="n"/>
      <c r="L112" s="206" t="n"/>
      <c r="M112" s="206" t="n"/>
      <c r="N112" s="206" t="n"/>
      <c r="O112" s="206" t="n"/>
      <c r="P112" s="206" t="n"/>
      <c r="Q112" s="206" t="n"/>
      <c r="R112" s="206" t="n"/>
      <c r="S112" s="206" t="n"/>
      <c r="T112" s="204">
        <f>SUM(F112:S112)</f>
        <v/>
      </c>
      <c r="U112" s="207">
        <f>(HLOOKUP(B112,F:T,A112,FALSE)/T112)</f>
        <v/>
      </c>
      <c r="V112" s="189" t="n"/>
      <c r="W112" s="163">
        <f>YEAR(C112)</f>
        <v/>
      </c>
      <c r="X112" s="116">
        <f>MONTH(C112)</f>
        <v/>
      </c>
      <c r="Y112" s="116">
        <f>WEEKNUM(C112,21)</f>
        <v/>
      </c>
      <c r="Z112" s="122" t="n"/>
      <c r="AA112" s="122" t="n"/>
      <c r="AB112" s="122" t="n"/>
      <c r="AC112" s="122" t="n"/>
      <c r="AD112" s="122" t="n"/>
      <c r="AE112" s="122">
        <f>IFERROR(K112/$T112,0)</f>
        <v/>
      </c>
      <c r="AF112" s="122">
        <f>IFERROR(L112/$T112,0)</f>
        <v/>
      </c>
      <c r="AG112" s="122" t="n"/>
      <c r="AH112" s="122" t="n"/>
      <c r="AI112" s="122" t="n"/>
      <c r="AJ112" s="122" t="n"/>
      <c r="AK112" s="122" t="n"/>
      <c r="AL112" s="122" t="n"/>
      <c r="AM112" s="122" t="n"/>
      <c r="AN112" s="122">
        <f>SUM(Z112:AC112)</f>
        <v/>
      </c>
      <c r="AO112" s="122">
        <f>SUM(AD112:AL112)</f>
        <v/>
      </c>
      <c r="AP112" s="122">
        <f>SUM(AM112,AB112)</f>
        <v/>
      </c>
      <c r="AQ112" s="122">
        <f>SUM(AA112)</f>
        <v/>
      </c>
      <c r="AR112" s="121">
        <f>(AP112+AQ112)-3%</f>
        <v/>
      </c>
      <c r="AS112" s="122">
        <f>SUM(AO112+AM112)</f>
        <v/>
      </c>
      <c r="AT112" s="122">
        <f>SUM(AH112+AN112)</f>
        <v/>
      </c>
      <c r="AU112" s="122">
        <f>SUM(AN112+AO112)</f>
        <v/>
      </c>
      <c r="AV112" s="122">
        <f>SUM(AN112+AD112+AE112+AF112+AG112+AH112+AJ112+AK112+AL112)</f>
        <v/>
      </c>
      <c r="AW112" s="122">
        <f>SUM(AD112+AE112+AF112+AG112+AI112+AJ112+AK112+AL112)</f>
        <v/>
      </c>
    </row>
    <row r="113" ht="14.1" customHeight="1" s="259">
      <c r="A113" s="174">
        <f>A112+1</f>
        <v/>
      </c>
      <c r="B113" s="204" t="n"/>
      <c r="C113" s="205" t="n"/>
      <c r="D113" s="204" t="n"/>
      <c r="E113" s="206" t="n"/>
      <c r="F113" s="206" t="n"/>
      <c r="G113" s="206" t="n"/>
      <c r="H113" s="206" t="n"/>
      <c r="I113" s="206" t="n"/>
      <c r="J113" s="206" t="n"/>
      <c r="K113" s="206" t="n"/>
      <c r="L113" s="206" t="n"/>
      <c r="M113" s="206" t="n"/>
      <c r="N113" s="206" t="n"/>
      <c r="O113" s="206" t="n"/>
      <c r="P113" s="206" t="n"/>
      <c r="Q113" s="206" t="n"/>
      <c r="R113" s="206" t="n"/>
      <c r="S113" s="206" t="n"/>
      <c r="T113" s="204">
        <f>SUM(F113:S113)</f>
        <v/>
      </c>
      <c r="U113" s="207">
        <f>(HLOOKUP(B113,F:T,A113,FALSE)/T113)</f>
        <v/>
      </c>
      <c r="V113" s="189" t="n"/>
      <c r="W113" s="163">
        <f>YEAR(C113)</f>
        <v/>
      </c>
      <c r="X113" s="116">
        <f>MONTH(C113)</f>
        <v/>
      </c>
      <c r="Y113" s="116">
        <f>WEEKNUM(C113,21)</f>
        <v/>
      </c>
      <c r="Z113" s="122" t="n"/>
      <c r="AA113" s="122" t="n"/>
      <c r="AB113" s="122" t="n"/>
      <c r="AC113" s="122" t="n"/>
      <c r="AD113" s="122" t="n"/>
      <c r="AE113" s="122">
        <f>IFERROR(K113/$T113,0)</f>
        <v/>
      </c>
      <c r="AF113" s="122">
        <f>IFERROR(L113/$T113,0)</f>
        <v/>
      </c>
      <c r="AG113" s="122" t="n"/>
      <c r="AH113" s="122" t="n"/>
      <c r="AI113" s="122" t="n"/>
      <c r="AJ113" s="122" t="n"/>
      <c r="AK113" s="122" t="n"/>
      <c r="AL113" s="122" t="n"/>
      <c r="AM113" s="122" t="n"/>
      <c r="AN113" s="122">
        <f>SUM(Z113:AC113)</f>
        <v/>
      </c>
      <c r="AO113" s="122">
        <f>SUM(AD113:AL113)</f>
        <v/>
      </c>
      <c r="AP113" s="122">
        <f>SUM(AM113,AB113)</f>
        <v/>
      </c>
      <c r="AQ113" s="122">
        <f>SUM(AA113)</f>
        <v/>
      </c>
      <c r="AR113" s="121">
        <f>(AP113+AQ113)-3%</f>
        <v/>
      </c>
      <c r="AS113" s="122">
        <f>SUM(AO113+AM113)</f>
        <v/>
      </c>
      <c r="AT113" s="122">
        <f>SUM(AH113+AN113)</f>
        <v/>
      </c>
      <c r="AU113" s="122">
        <f>SUM(AN113+AO113)</f>
        <v/>
      </c>
      <c r="AV113" s="122">
        <f>SUM(AN113+AD113+AE113+AF113+AG113+AH113+AJ113+AK113+AL113)</f>
        <v/>
      </c>
      <c r="AW113" s="122">
        <f>SUM(AD113+AE113+AF113+AG113+AI113+AJ113+AK113+AL113)</f>
        <v/>
      </c>
    </row>
    <row r="114" ht="14.1" customHeight="1" s="259">
      <c r="A114" s="174">
        <f>A113+1</f>
        <v/>
      </c>
      <c r="B114" s="204" t="n"/>
      <c r="C114" s="205" t="n"/>
      <c r="D114" s="204" t="n"/>
      <c r="E114" s="206" t="n"/>
      <c r="F114" s="206" t="n"/>
      <c r="G114" s="206" t="n"/>
      <c r="H114" s="206" t="n"/>
      <c r="I114" s="206" t="n"/>
      <c r="J114" s="206" t="n"/>
      <c r="K114" s="206" t="n"/>
      <c r="L114" s="206" t="n"/>
      <c r="M114" s="206" t="n"/>
      <c r="N114" s="206" t="n"/>
      <c r="O114" s="206" t="n"/>
      <c r="P114" s="206" t="n"/>
      <c r="Q114" s="206" t="n"/>
      <c r="R114" s="206" t="n"/>
      <c r="S114" s="206" t="n"/>
      <c r="T114" s="204">
        <f>SUM(F114:S114)</f>
        <v/>
      </c>
      <c r="U114" s="207">
        <f>(HLOOKUP(B114,F:T,A114,FALSE)/T114)</f>
        <v/>
      </c>
      <c r="V114" s="189" t="n"/>
      <c r="W114" s="163">
        <f>YEAR(C114)</f>
        <v/>
      </c>
      <c r="X114" s="116">
        <f>MONTH(C114)</f>
        <v/>
      </c>
      <c r="Y114" s="116">
        <f>WEEKNUM(C114,21)</f>
        <v/>
      </c>
      <c r="Z114" s="122" t="n"/>
      <c r="AA114" s="122" t="n"/>
      <c r="AB114" s="122" t="n"/>
      <c r="AC114" s="122" t="n"/>
      <c r="AD114" s="122" t="n"/>
      <c r="AE114" s="122">
        <f>IFERROR(K114/$T114,0)</f>
        <v/>
      </c>
      <c r="AF114" s="122">
        <f>IFERROR(L114/$T114,0)</f>
        <v/>
      </c>
      <c r="AG114" s="122" t="n"/>
      <c r="AH114" s="122" t="n"/>
      <c r="AI114" s="122" t="n"/>
      <c r="AJ114" s="122" t="n"/>
      <c r="AK114" s="122" t="n"/>
      <c r="AL114" s="122" t="n"/>
      <c r="AM114" s="122" t="n"/>
      <c r="AN114" s="122">
        <f>SUM(Z114:AC114)</f>
        <v/>
      </c>
      <c r="AO114" s="122">
        <f>SUM(AD114:AL114)</f>
        <v/>
      </c>
      <c r="AP114" s="122">
        <f>SUM(AM114,AB114)</f>
        <v/>
      </c>
      <c r="AQ114" s="122">
        <f>SUM(AA114)</f>
        <v/>
      </c>
      <c r="AR114" s="121">
        <f>(AP114+AQ114)-3%</f>
        <v/>
      </c>
      <c r="AS114" s="122">
        <f>SUM(AO114+AM114)</f>
        <v/>
      </c>
      <c r="AT114" s="122">
        <f>SUM(AH114+AN114)</f>
        <v/>
      </c>
      <c r="AU114" s="122">
        <f>SUM(AN114+AO114)</f>
        <v/>
      </c>
      <c r="AV114" s="122">
        <f>SUM(AN114+AD114+AE114+AF114+AG114+AH114+AJ114+AK114+AL114)</f>
        <v/>
      </c>
      <c r="AW114" s="122">
        <f>SUM(AD114+AE114+AF114+AG114+AI114+AJ114+AK114+AL114)</f>
        <v/>
      </c>
    </row>
    <row r="115" ht="14.1" customHeight="1" s="259">
      <c r="A115" s="174">
        <f>A114+1</f>
        <v/>
      </c>
      <c r="B115" s="204" t="n"/>
      <c r="C115" s="205" t="n"/>
      <c r="D115" s="204" t="n"/>
      <c r="E115" s="206" t="n"/>
      <c r="F115" s="206" t="n"/>
      <c r="G115" s="206" t="n"/>
      <c r="H115" s="206" t="n"/>
      <c r="I115" s="206" t="n"/>
      <c r="J115" s="206" t="n"/>
      <c r="K115" s="206" t="n"/>
      <c r="L115" s="206" t="n"/>
      <c r="M115" s="206" t="n"/>
      <c r="N115" s="206" t="n"/>
      <c r="O115" s="206" t="n"/>
      <c r="P115" s="206" t="n"/>
      <c r="Q115" s="206" t="n"/>
      <c r="R115" s="206" t="n"/>
      <c r="S115" s="206" t="n"/>
      <c r="T115" s="204">
        <f>SUM(F115:S115)</f>
        <v/>
      </c>
      <c r="U115" s="207">
        <f>(HLOOKUP(B115,F:T,A115,FALSE)/T115)</f>
        <v/>
      </c>
      <c r="V115" s="189" t="n"/>
      <c r="W115" s="163">
        <f>YEAR(C115)</f>
        <v/>
      </c>
      <c r="X115" s="116">
        <f>MONTH(C115)</f>
        <v/>
      </c>
      <c r="Y115" s="116">
        <f>WEEKNUM(C115,21)</f>
        <v/>
      </c>
      <c r="Z115" s="122" t="n"/>
      <c r="AA115" s="122" t="n"/>
      <c r="AB115" s="122" t="n"/>
      <c r="AC115" s="122" t="n"/>
      <c r="AD115" s="122" t="n"/>
      <c r="AE115" s="122">
        <f>IFERROR(K115/$T115,0)</f>
        <v/>
      </c>
      <c r="AF115" s="122">
        <f>IFERROR(L115/$T115,0)</f>
        <v/>
      </c>
      <c r="AG115" s="122" t="n"/>
      <c r="AH115" s="122" t="n"/>
      <c r="AI115" s="122" t="n"/>
      <c r="AJ115" s="122" t="n"/>
      <c r="AK115" s="122" t="n"/>
      <c r="AL115" s="122" t="n"/>
      <c r="AM115" s="122" t="n"/>
      <c r="AN115" s="122">
        <f>SUM(Z115:AC115)</f>
        <v/>
      </c>
      <c r="AO115" s="122">
        <f>SUM(AD115:AL115)</f>
        <v/>
      </c>
      <c r="AP115" s="122">
        <f>SUM(AM115,AB115)</f>
        <v/>
      </c>
      <c r="AQ115" s="122">
        <f>SUM(AA115)</f>
        <v/>
      </c>
      <c r="AR115" s="121">
        <f>(AP115+AQ115)-3%</f>
        <v/>
      </c>
      <c r="AS115" s="122">
        <f>SUM(AO115+AM115)</f>
        <v/>
      </c>
      <c r="AT115" s="122">
        <f>SUM(AH115+AN115)</f>
        <v/>
      </c>
      <c r="AU115" s="122">
        <f>SUM(AN115+AO115)</f>
        <v/>
      </c>
      <c r="AV115" s="122">
        <f>SUM(AN115+AD115+AE115+AF115+AG115+AH115+AJ115+AK115+AL115)</f>
        <v/>
      </c>
      <c r="AW115" s="122">
        <f>SUM(AD115+AE115+AF115+AG115+AI115+AJ115+AK115+AL115)</f>
        <v/>
      </c>
    </row>
    <row r="116" ht="14.1" customHeight="1" s="259">
      <c r="A116" s="174">
        <f>A115+1</f>
        <v/>
      </c>
      <c r="B116" s="199" t="n"/>
      <c r="C116" s="200" t="n"/>
      <c r="D116" s="199" t="n"/>
      <c r="E116" s="201" t="n"/>
      <c r="F116" s="201" t="n"/>
      <c r="G116" s="201" t="n"/>
      <c r="H116" s="201" t="n"/>
      <c r="I116" s="201" t="n"/>
      <c r="J116" s="201" t="n"/>
      <c r="K116" s="201" t="n"/>
      <c r="L116" s="201" t="n"/>
      <c r="M116" s="201" t="n"/>
      <c r="N116" s="201" t="n"/>
      <c r="O116" s="201" t="n"/>
      <c r="P116" s="201" t="n"/>
      <c r="Q116" s="201" t="n"/>
      <c r="R116" s="201" t="n"/>
      <c r="S116" s="201" t="n"/>
      <c r="T116" s="199">
        <f>SUM(F116:S116)</f>
        <v/>
      </c>
      <c r="U116" s="202">
        <f>(HLOOKUP(B116,F:T,A116,FALSE)/T116)</f>
        <v/>
      </c>
      <c r="V116" s="189" t="n"/>
      <c r="W116" s="163">
        <f>YEAR(C116)</f>
        <v/>
      </c>
      <c r="X116" s="116">
        <f>MONTH(C116)</f>
        <v/>
      </c>
      <c r="Y116" s="116">
        <f>WEEKNUM(C116,21)</f>
        <v/>
      </c>
      <c r="Z116" s="122" t="n"/>
      <c r="AA116" s="122" t="n"/>
      <c r="AB116" s="122" t="n"/>
      <c r="AC116" s="122" t="n"/>
      <c r="AD116" s="122" t="n"/>
      <c r="AE116" s="122">
        <f>IFERROR(K116/$T116,0)</f>
        <v/>
      </c>
      <c r="AF116" s="122">
        <f>IFERROR(L116/$T116,0)</f>
        <v/>
      </c>
      <c r="AG116" s="122" t="n"/>
      <c r="AH116" s="122" t="n"/>
      <c r="AI116" s="122" t="n"/>
      <c r="AJ116" s="122" t="n"/>
      <c r="AK116" s="122" t="n"/>
      <c r="AL116" s="122" t="n"/>
      <c r="AM116" s="122" t="n"/>
      <c r="AN116" s="122">
        <f>SUM(Z116:AC116)</f>
        <v/>
      </c>
      <c r="AO116" s="122">
        <f>SUM(AD116:AL116)</f>
        <v/>
      </c>
      <c r="AP116" s="122">
        <f>SUM(AM116,AB116)</f>
        <v/>
      </c>
      <c r="AQ116" s="122">
        <f>SUM(AA116)</f>
        <v/>
      </c>
      <c r="AR116" s="121">
        <f>(AP116+AQ116)-3%</f>
        <v/>
      </c>
      <c r="AS116" s="122">
        <f>SUM(AO116+AM116)</f>
        <v/>
      </c>
      <c r="AT116" s="122">
        <f>SUM(AH116+AN116)</f>
        <v/>
      </c>
      <c r="AU116" s="122">
        <f>SUM(AN116+AO116)</f>
        <v/>
      </c>
      <c r="AV116" s="122">
        <f>SUM(AN116+AD116+AE116+AF116+AG116+AH116+AJ116+AK116+AL116)</f>
        <v/>
      </c>
      <c r="AW116" s="122">
        <f>SUM(AD116+AE116+AF116+AG116+AI116+AJ116+AK116+AL116)</f>
        <v/>
      </c>
    </row>
    <row r="117" ht="14.1" customHeight="1" s="259">
      <c r="A117" s="174">
        <f>A116+1</f>
        <v/>
      </c>
      <c r="B117" s="199" t="n"/>
      <c r="C117" s="200" t="n"/>
      <c r="D117" s="199" t="n"/>
      <c r="E117" s="201" t="n"/>
      <c r="F117" s="201" t="n"/>
      <c r="G117" s="201" t="n"/>
      <c r="H117" s="201" t="n"/>
      <c r="I117" s="201" t="n"/>
      <c r="J117" s="201" t="n"/>
      <c r="K117" s="201" t="n"/>
      <c r="L117" s="201" t="n"/>
      <c r="M117" s="201" t="n"/>
      <c r="N117" s="201" t="n"/>
      <c r="O117" s="201" t="n"/>
      <c r="P117" s="201" t="n"/>
      <c r="Q117" s="201" t="n"/>
      <c r="R117" s="201" t="n"/>
      <c r="S117" s="201" t="n"/>
      <c r="T117" s="199">
        <f>SUM(F117:S117)</f>
        <v/>
      </c>
      <c r="U117" s="202">
        <f>(HLOOKUP(B117,F:T,A117,FALSE)/T117)</f>
        <v/>
      </c>
      <c r="V117" s="189" t="n"/>
      <c r="W117" s="163">
        <f>YEAR(C117)</f>
        <v/>
      </c>
      <c r="X117" s="116">
        <f>MONTH(C117)</f>
        <v/>
      </c>
      <c r="Y117" s="116">
        <f>WEEKNUM(C117,21)</f>
        <v/>
      </c>
      <c r="Z117" s="122" t="n"/>
      <c r="AA117" s="122" t="n"/>
      <c r="AB117" s="122" t="n"/>
      <c r="AC117" s="122" t="n"/>
      <c r="AD117" s="122" t="n"/>
      <c r="AE117" s="122">
        <f>IFERROR(K117/$T117,0)</f>
        <v/>
      </c>
      <c r="AF117" s="122">
        <f>IFERROR(L117/$T117,0)</f>
        <v/>
      </c>
      <c r="AG117" s="122" t="n"/>
      <c r="AH117" s="122" t="n"/>
      <c r="AI117" s="122" t="n"/>
      <c r="AJ117" s="122" t="n"/>
      <c r="AK117" s="122" t="n"/>
      <c r="AL117" s="122" t="n"/>
      <c r="AM117" s="122" t="n"/>
      <c r="AN117" s="122">
        <f>SUM(Z117:AC117)</f>
        <v/>
      </c>
      <c r="AO117" s="122">
        <f>SUM(AD117:AL117)</f>
        <v/>
      </c>
      <c r="AP117" s="122">
        <f>SUM(AM117,AB117)</f>
        <v/>
      </c>
      <c r="AQ117" s="122">
        <f>SUM(AA117)</f>
        <v/>
      </c>
      <c r="AR117" s="121">
        <f>(AP117+AQ117)-3%</f>
        <v/>
      </c>
      <c r="AS117" s="122">
        <f>SUM(AO117+AM117)</f>
        <v/>
      </c>
      <c r="AT117" s="122">
        <f>SUM(AH117+AN117)</f>
        <v/>
      </c>
      <c r="AU117" s="122">
        <f>SUM(AN117+AO117)</f>
        <v/>
      </c>
      <c r="AV117" s="122">
        <f>SUM(AN117+AD117+AE117+AF117+AG117+AH117+AJ117+AK117+AL117)</f>
        <v/>
      </c>
      <c r="AW117" s="122">
        <f>SUM(AD117+AE117+AF117+AG117+AI117+AJ117+AK117+AL117)</f>
        <v/>
      </c>
    </row>
    <row r="118" ht="14.1" customHeight="1" s="259">
      <c r="A118" s="174">
        <f>A117+1</f>
        <v/>
      </c>
      <c r="B118" s="204" t="n"/>
      <c r="C118" s="205" t="n"/>
      <c r="D118" s="204" t="n"/>
      <c r="E118" s="206" t="n"/>
      <c r="F118" s="206" t="n"/>
      <c r="G118" s="206" t="n"/>
      <c r="H118" s="206" t="n"/>
      <c r="I118" s="206" t="n"/>
      <c r="J118" s="206" t="n"/>
      <c r="K118" s="206" t="n"/>
      <c r="L118" s="206" t="n"/>
      <c r="M118" s="206" t="n"/>
      <c r="N118" s="206" t="n"/>
      <c r="O118" s="206" t="n"/>
      <c r="P118" s="206" t="n"/>
      <c r="Q118" s="206" t="n"/>
      <c r="R118" s="206" t="n"/>
      <c r="S118" s="206" t="n"/>
      <c r="T118" s="204">
        <f>SUM(F118:S118)</f>
        <v/>
      </c>
      <c r="U118" s="207">
        <f>(HLOOKUP(B118,F:T,A118,FALSE)/T118)</f>
        <v/>
      </c>
      <c r="V118" s="189" t="n"/>
      <c r="W118" s="163">
        <f>YEAR(C118)</f>
        <v/>
      </c>
      <c r="X118" s="116">
        <f>MONTH(C118)</f>
        <v/>
      </c>
      <c r="Y118" s="116">
        <f>WEEKNUM(C118,21)</f>
        <v/>
      </c>
      <c r="Z118" s="122" t="n"/>
      <c r="AA118" s="122" t="n"/>
      <c r="AB118" s="122" t="n"/>
      <c r="AC118" s="122" t="n"/>
      <c r="AD118" s="122" t="n"/>
      <c r="AE118" s="122">
        <f>IFERROR(K118/$T118,0)</f>
        <v/>
      </c>
      <c r="AF118" s="122">
        <f>IFERROR(L118/$T118,0)</f>
        <v/>
      </c>
      <c r="AG118" s="122" t="n"/>
      <c r="AH118" s="122" t="n"/>
      <c r="AI118" s="122" t="n"/>
      <c r="AJ118" s="122" t="n"/>
      <c r="AK118" s="122" t="n"/>
      <c r="AL118" s="122" t="n"/>
      <c r="AM118" s="122" t="n"/>
      <c r="AN118" s="122">
        <f>SUM(Z118:AC118)</f>
        <v/>
      </c>
      <c r="AO118" s="122">
        <f>SUM(AD118:AL118)</f>
        <v/>
      </c>
      <c r="AP118" s="122">
        <f>SUM(AM118,AB118)</f>
        <v/>
      </c>
      <c r="AQ118" s="122">
        <f>SUM(AA118)</f>
        <v/>
      </c>
      <c r="AR118" s="121">
        <f>(AP118+AQ118)-3%</f>
        <v/>
      </c>
      <c r="AS118" s="122">
        <f>SUM(AO118+AM118)</f>
        <v/>
      </c>
      <c r="AT118" s="122">
        <f>SUM(AH118+AN118)</f>
        <v/>
      </c>
      <c r="AU118" s="122">
        <f>SUM(AN118+AO118)</f>
        <v/>
      </c>
      <c r="AV118" s="122">
        <f>SUM(AN118+AD118+AE118+AF118+AG118+AH118+AJ118+AK118+AL118)</f>
        <v/>
      </c>
      <c r="AW118" s="122">
        <f>SUM(AD118+AE118+AF118+AG118+AI118+AJ118+AK118+AL118)</f>
        <v/>
      </c>
    </row>
    <row r="119" ht="14.1" customHeight="1" s="259">
      <c r="A119" s="174">
        <f>A118+1</f>
        <v/>
      </c>
      <c r="B119" s="204" t="n"/>
      <c r="C119" s="205" t="n"/>
      <c r="D119" s="204" t="n"/>
      <c r="E119" s="206" t="n"/>
      <c r="F119" s="206" t="n"/>
      <c r="G119" s="206" t="n"/>
      <c r="H119" s="206" t="n"/>
      <c r="I119" s="206" t="n"/>
      <c r="J119" s="206" t="n"/>
      <c r="K119" s="206" t="n"/>
      <c r="L119" s="206" t="n"/>
      <c r="M119" s="206" t="n"/>
      <c r="N119" s="206" t="n"/>
      <c r="O119" s="206" t="n"/>
      <c r="P119" s="206" t="n"/>
      <c r="Q119" s="206" t="n"/>
      <c r="R119" s="206" t="n"/>
      <c r="S119" s="206" t="n"/>
      <c r="T119" s="204">
        <f>SUM(F119:S119)</f>
        <v/>
      </c>
      <c r="U119" s="207">
        <f>(HLOOKUP(B119,F:T,A119,FALSE)/T119)</f>
        <v/>
      </c>
      <c r="V119" s="189" t="n"/>
      <c r="W119" s="163">
        <f>YEAR(C119)</f>
        <v/>
      </c>
      <c r="X119" s="116">
        <f>MONTH(C119)</f>
        <v/>
      </c>
      <c r="Y119" s="116">
        <f>WEEKNUM(C119,21)</f>
        <v/>
      </c>
      <c r="Z119" s="122" t="n"/>
      <c r="AA119" s="122" t="n"/>
      <c r="AB119" s="122" t="n"/>
      <c r="AC119" s="122" t="n"/>
      <c r="AD119" s="122" t="n"/>
      <c r="AE119" s="122">
        <f>IFERROR(K119/$T119,0)</f>
        <v/>
      </c>
      <c r="AF119" s="122">
        <f>IFERROR(L119/$T119,0)</f>
        <v/>
      </c>
      <c r="AG119" s="122" t="n"/>
      <c r="AH119" s="122" t="n"/>
      <c r="AI119" s="122" t="n"/>
      <c r="AJ119" s="122" t="n"/>
      <c r="AK119" s="122" t="n"/>
      <c r="AL119" s="122" t="n"/>
      <c r="AM119" s="122" t="n"/>
      <c r="AN119" s="122">
        <f>SUM(Z119:AC119)</f>
        <v/>
      </c>
      <c r="AO119" s="122">
        <f>SUM(AD119:AL119)</f>
        <v/>
      </c>
      <c r="AP119" s="122">
        <f>SUM(AM119,AB119)</f>
        <v/>
      </c>
      <c r="AQ119" s="122">
        <f>SUM(AA119)</f>
        <v/>
      </c>
      <c r="AR119" s="121">
        <f>(AP119+AQ119)-3%</f>
        <v/>
      </c>
      <c r="AS119" s="122">
        <f>SUM(AO119+AM119)</f>
        <v/>
      </c>
      <c r="AT119" s="122">
        <f>SUM(AH119+AN119)</f>
        <v/>
      </c>
      <c r="AU119" s="122">
        <f>SUM(AN119+AO119)</f>
        <v/>
      </c>
      <c r="AV119" s="122">
        <f>SUM(AN119+AD119+AE119+AF119+AG119+AH119+AJ119+AK119+AL119)</f>
        <v/>
      </c>
      <c r="AW119" s="122">
        <f>SUM(AD119+AE119+AF119+AG119+AI119+AJ119+AK119+AL119)</f>
        <v/>
      </c>
    </row>
    <row r="120" ht="14.1" customHeight="1" s="259">
      <c r="A120" s="174">
        <f>A119+1</f>
        <v/>
      </c>
      <c r="B120" s="204" t="n"/>
      <c r="C120" s="205" t="n"/>
      <c r="D120" s="204" t="n"/>
      <c r="E120" s="206" t="n"/>
      <c r="F120" s="206" t="n"/>
      <c r="G120" s="206" t="n"/>
      <c r="H120" s="206" t="n"/>
      <c r="I120" s="206" t="n"/>
      <c r="J120" s="206" t="n"/>
      <c r="K120" s="206" t="n"/>
      <c r="L120" s="206" t="n"/>
      <c r="M120" s="206" t="n"/>
      <c r="N120" s="206" t="n"/>
      <c r="O120" s="206" t="n"/>
      <c r="P120" s="206" t="n"/>
      <c r="Q120" s="206" t="n"/>
      <c r="R120" s="206" t="n"/>
      <c r="S120" s="206" t="n"/>
      <c r="T120" s="204">
        <f>SUM(F120:S120)</f>
        <v/>
      </c>
      <c r="U120" s="207">
        <f>(HLOOKUP(B120,F:T,A120,FALSE)/T120)</f>
        <v/>
      </c>
      <c r="V120" s="189" t="n"/>
      <c r="W120" s="163">
        <f>YEAR(C120)</f>
        <v/>
      </c>
      <c r="X120" s="116">
        <f>MONTH(C120)</f>
        <v/>
      </c>
      <c r="Y120" s="116">
        <f>WEEKNUM(C120,21)</f>
        <v/>
      </c>
      <c r="Z120" s="122" t="n"/>
      <c r="AA120" s="122" t="n"/>
      <c r="AB120" s="122" t="n"/>
      <c r="AC120" s="122" t="n"/>
      <c r="AD120" s="122" t="n"/>
      <c r="AE120" s="122">
        <f>IFERROR(K120/$T120,0)</f>
        <v/>
      </c>
      <c r="AF120" s="122">
        <f>IFERROR(L120/$T120,0)</f>
        <v/>
      </c>
      <c r="AG120" s="122" t="n"/>
      <c r="AH120" s="122" t="n"/>
      <c r="AI120" s="122" t="n"/>
      <c r="AJ120" s="122" t="n"/>
      <c r="AK120" s="122" t="n"/>
      <c r="AL120" s="122" t="n"/>
      <c r="AM120" s="122" t="n"/>
      <c r="AN120" s="122">
        <f>SUM(Z120:AC120)</f>
        <v/>
      </c>
      <c r="AO120" s="122">
        <f>SUM(AD120:AL120)</f>
        <v/>
      </c>
      <c r="AP120" s="122">
        <f>SUM(AM120,AB120)</f>
        <v/>
      </c>
      <c r="AQ120" s="122">
        <f>SUM(AA120)</f>
        <v/>
      </c>
      <c r="AR120" s="121">
        <f>(AP120+AQ120)-3%</f>
        <v/>
      </c>
      <c r="AS120" s="122">
        <f>SUM(AO120+AM120)</f>
        <v/>
      </c>
      <c r="AT120" s="122">
        <f>SUM(AH120+AN120)</f>
        <v/>
      </c>
      <c r="AU120" s="122">
        <f>SUM(AN120+AO120)</f>
        <v/>
      </c>
      <c r="AV120" s="122">
        <f>SUM(AN120+AD120+AE120+AF120+AG120+AH120+AJ120+AK120+AL120)</f>
        <v/>
      </c>
      <c r="AW120" s="122">
        <f>SUM(AD120+AE120+AF120+AG120+AI120+AJ120+AK120+AL120)</f>
        <v/>
      </c>
    </row>
    <row r="121" ht="14.1" customHeight="1" s="259">
      <c r="A121" s="174">
        <f>A120+1</f>
        <v/>
      </c>
      <c r="B121" s="204" t="n"/>
      <c r="C121" s="205" t="n"/>
      <c r="D121" s="204" t="n"/>
      <c r="E121" s="206" t="n"/>
      <c r="F121" s="206" t="n"/>
      <c r="G121" s="206" t="n"/>
      <c r="H121" s="206" t="n"/>
      <c r="I121" s="206" t="n"/>
      <c r="J121" s="206" t="n"/>
      <c r="K121" s="206" t="n"/>
      <c r="L121" s="206" t="n"/>
      <c r="M121" s="206" t="n"/>
      <c r="N121" s="206" t="n"/>
      <c r="O121" s="206" t="n"/>
      <c r="P121" s="206" t="n"/>
      <c r="Q121" s="206" t="n"/>
      <c r="R121" s="206" t="n"/>
      <c r="S121" s="206" t="n"/>
      <c r="T121" s="204">
        <f>SUM(F121:S121)</f>
        <v/>
      </c>
      <c r="U121" s="207">
        <f>(HLOOKUP(B121,F:T,A121,FALSE)/T121)</f>
        <v/>
      </c>
      <c r="V121" s="189" t="n"/>
      <c r="W121" s="163">
        <f>YEAR(C121)</f>
        <v/>
      </c>
      <c r="X121" s="116">
        <f>MONTH(C121)</f>
        <v/>
      </c>
      <c r="Y121" s="116">
        <f>WEEKNUM(C121,21)</f>
        <v/>
      </c>
      <c r="Z121" s="122" t="n"/>
      <c r="AA121" s="122" t="n"/>
      <c r="AB121" s="122" t="n"/>
      <c r="AC121" s="122" t="n"/>
      <c r="AD121" s="122" t="n"/>
      <c r="AE121" s="122">
        <f>IFERROR(K121/$T121,0)</f>
        <v/>
      </c>
      <c r="AF121" s="122">
        <f>IFERROR(L121/$T121,0)</f>
        <v/>
      </c>
      <c r="AG121" s="122" t="n"/>
      <c r="AH121" s="122" t="n"/>
      <c r="AI121" s="122" t="n"/>
      <c r="AJ121" s="122" t="n"/>
      <c r="AK121" s="122" t="n"/>
      <c r="AL121" s="122" t="n"/>
      <c r="AM121" s="122" t="n"/>
      <c r="AN121" s="122">
        <f>SUM(Z121:AC121)</f>
        <v/>
      </c>
      <c r="AO121" s="122">
        <f>SUM(AD121:AL121)</f>
        <v/>
      </c>
      <c r="AP121" s="122">
        <f>SUM(AM121,AB121)</f>
        <v/>
      </c>
      <c r="AQ121" s="122">
        <f>SUM(AA121)</f>
        <v/>
      </c>
      <c r="AR121" s="121">
        <f>(AP121+AQ121)-3%</f>
        <v/>
      </c>
      <c r="AS121" s="122">
        <f>SUM(AO121+AM121)</f>
        <v/>
      </c>
      <c r="AT121" s="122">
        <f>SUM(AH121+AN121)</f>
        <v/>
      </c>
      <c r="AU121" s="122">
        <f>SUM(AN121+AO121)</f>
        <v/>
      </c>
      <c r="AV121" s="122">
        <f>SUM(AN121+AD121+AE121+AF121+AG121+AH121+AJ121+AK121+AL121)</f>
        <v/>
      </c>
      <c r="AW121" s="122">
        <f>SUM(AD121+AE121+AF121+AG121+AI121+AJ121+AK121+AL121)</f>
        <v/>
      </c>
    </row>
    <row r="122" ht="14.1" customHeight="1" s="259">
      <c r="A122" s="174">
        <f>A121+1</f>
        <v/>
      </c>
      <c r="B122" s="204" t="n"/>
      <c r="C122" s="205" t="n"/>
      <c r="D122" s="204" t="n"/>
      <c r="E122" s="206" t="n"/>
      <c r="F122" s="206" t="n"/>
      <c r="G122" s="206" t="n"/>
      <c r="H122" s="206" t="n"/>
      <c r="I122" s="206" t="n"/>
      <c r="J122" s="206" t="n"/>
      <c r="K122" s="206" t="n"/>
      <c r="L122" s="206" t="n"/>
      <c r="M122" s="206" t="n"/>
      <c r="N122" s="206" t="n"/>
      <c r="O122" s="206" t="n"/>
      <c r="P122" s="206" t="n"/>
      <c r="Q122" s="206" t="n"/>
      <c r="R122" s="206" t="n"/>
      <c r="S122" s="206" t="n"/>
      <c r="T122" s="204">
        <f>SUM(F122:S122)</f>
        <v/>
      </c>
      <c r="U122" s="207">
        <f>(HLOOKUP(B122,F:T,A122,FALSE)/T122)</f>
        <v/>
      </c>
      <c r="V122" s="189" t="n"/>
      <c r="W122" s="163">
        <f>YEAR(C122)</f>
        <v/>
      </c>
      <c r="X122" s="116">
        <f>MONTH(C122)</f>
        <v/>
      </c>
      <c r="Y122" s="116">
        <f>WEEKNUM(C122,21)</f>
        <v/>
      </c>
      <c r="Z122" s="122" t="n"/>
      <c r="AA122" s="122" t="n"/>
      <c r="AB122" s="122" t="n"/>
      <c r="AC122" s="122" t="n"/>
      <c r="AD122" s="122" t="n"/>
      <c r="AE122" s="122">
        <f>IFERROR(K122/$T122,0)</f>
        <v/>
      </c>
      <c r="AF122" s="122">
        <f>IFERROR(L122/$T122,0)</f>
        <v/>
      </c>
      <c r="AG122" s="122" t="n"/>
      <c r="AH122" s="122" t="n"/>
      <c r="AI122" s="122" t="n"/>
      <c r="AJ122" s="122" t="n"/>
      <c r="AK122" s="122" t="n"/>
      <c r="AL122" s="122" t="n"/>
      <c r="AM122" s="122" t="n"/>
      <c r="AN122" s="122">
        <f>SUM(Z122:AC122)</f>
        <v/>
      </c>
      <c r="AO122" s="122">
        <f>SUM(AD122:AL122)</f>
        <v/>
      </c>
      <c r="AP122" s="122">
        <f>SUM(AM122,AB122)</f>
        <v/>
      </c>
      <c r="AQ122" s="122">
        <f>SUM(AA122)</f>
        <v/>
      </c>
      <c r="AR122" s="121">
        <f>(AP122+AQ122)-3%</f>
        <v/>
      </c>
      <c r="AS122" s="122">
        <f>SUM(AO122+AM122)</f>
        <v/>
      </c>
      <c r="AT122" s="122">
        <f>SUM(AH122+AN122)</f>
        <v/>
      </c>
      <c r="AU122" s="122">
        <f>SUM(AN122+AO122)</f>
        <v/>
      </c>
      <c r="AV122" s="122">
        <f>SUM(AN122+AD122+AE122+AF122+AG122+AH122+AJ122+AK122+AL122)</f>
        <v/>
      </c>
      <c r="AW122" s="122">
        <f>SUM(AD122+AE122+AF122+AG122+AI122+AJ122+AK122+AL122)</f>
        <v/>
      </c>
    </row>
    <row r="123" ht="14.1" customHeight="1" s="259">
      <c r="A123" s="174">
        <f>A122+1</f>
        <v/>
      </c>
      <c r="B123" s="204" t="n"/>
      <c r="C123" s="205" t="n"/>
      <c r="D123" s="204" t="n"/>
      <c r="E123" s="206" t="n"/>
      <c r="F123" s="206" t="n"/>
      <c r="G123" s="206" t="n"/>
      <c r="H123" s="206" t="n"/>
      <c r="I123" s="206" t="n"/>
      <c r="J123" s="206" t="n"/>
      <c r="K123" s="206" t="n"/>
      <c r="L123" s="206" t="n"/>
      <c r="M123" s="206" t="n"/>
      <c r="N123" s="206" t="n"/>
      <c r="O123" s="206" t="n"/>
      <c r="P123" s="206" t="n"/>
      <c r="Q123" s="206" t="n"/>
      <c r="R123" s="206" t="n"/>
      <c r="S123" s="206" t="n"/>
      <c r="T123" s="204">
        <f>SUM(F123:S123)</f>
        <v/>
      </c>
      <c r="U123" s="207">
        <f>(HLOOKUP(B123,F:T,A123,FALSE)/T123)</f>
        <v/>
      </c>
      <c r="V123" s="189" t="n"/>
      <c r="W123" s="163">
        <f>YEAR(C123)</f>
        <v/>
      </c>
      <c r="X123" s="116">
        <f>MONTH(C123)</f>
        <v/>
      </c>
      <c r="Y123" s="116">
        <f>WEEKNUM(C123,21)</f>
        <v/>
      </c>
      <c r="Z123" s="122" t="n"/>
      <c r="AA123" s="122" t="n"/>
      <c r="AB123" s="122" t="n"/>
      <c r="AC123" s="122" t="n"/>
      <c r="AD123" s="122" t="n"/>
      <c r="AE123" s="122">
        <f>IFERROR(K123/$T123,0)</f>
        <v/>
      </c>
      <c r="AF123" s="122">
        <f>IFERROR(L123/$T123,0)</f>
        <v/>
      </c>
      <c r="AG123" s="122" t="n"/>
      <c r="AH123" s="122" t="n"/>
      <c r="AI123" s="122" t="n"/>
      <c r="AJ123" s="122" t="n"/>
      <c r="AK123" s="122" t="n"/>
      <c r="AL123" s="122" t="n"/>
      <c r="AM123" s="122" t="n"/>
      <c r="AN123" s="122">
        <f>SUM(Z123:AC123)</f>
        <v/>
      </c>
      <c r="AO123" s="122">
        <f>SUM(AD123:AL123)</f>
        <v/>
      </c>
      <c r="AP123" s="122">
        <f>SUM(AM123,AB123)</f>
        <v/>
      </c>
      <c r="AQ123" s="122">
        <f>SUM(AA123)</f>
        <v/>
      </c>
      <c r="AR123" s="121">
        <f>(AP123+AQ123)-3%</f>
        <v/>
      </c>
      <c r="AS123" s="122">
        <f>SUM(AO123+AM123)</f>
        <v/>
      </c>
      <c r="AT123" s="122">
        <f>SUM(AH123+AN123)</f>
        <v/>
      </c>
      <c r="AU123" s="122">
        <f>SUM(AN123+AO123)</f>
        <v/>
      </c>
      <c r="AV123" s="122">
        <f>SUM(AN123+AD123+AE123+AF123+AG123+AH123+AJ123+AK123+AL123)</f>
        <v/>
      </c>
      <c r="AW123" s="122">
        <f>SUM(AD123+AE123+AF123+AG123+AI123+AJ123+AK123+AL123)</f>
        <v/>
      </c>
    </row>
    <row r="124" ht="14.1" customHeight="1" s="259">
      <c r="A124" s="174">
        <f>A123+1</f>
        <v/>
      </c>
      <c r="B124" s="204" t="n"/>
      <c r="C124" s="205" t="n"/>
      <c r="D124" s="204" t="n"/>
      <c r="E124" s="206" t="n"/>
      <c r="F124" s="206" t="n"/>
      <c r="G124" s="206" t="n"/>
      <c r="H124" s="206" t="n"/>
      <c r="I124" s="206" t="n"/>
      <c r="J124" s="206" t="n"/>
      <c r="K124" s="206" t="n"/>
      <c r="L124" s="206" t="n"/>
      <c r="M124" s="206" t="n"/>
      <c r="N124" s="206" t="n"/>
      <c r="O124" s="206" t="n"/>
      <c r="P124" s="206" t="n"/>
      <c r="Q124" s="206" t="n"/>
      <c r="R124" s="206" t="n"/>
      <c r="S124" s="206" t="n"/>
      <c r="T124" s="204">
        <f>SUM(F124:S124)</f>
        <v/>
      </c>
      <c r="U124" s="207">
        <f>(HLOOKUP(B124,F:T,A124,FALSE)/T124)</f>
        <v/>
      </c>
      <c r="V124" s="189" t="n"/>
      <c r="W124" s="163">
        <f>YEAR(C124)</f>
        <v/>
      </c>
      <c r="X124" s="116">
        <f>MONTH(C124)</f>
        <v/>
      </c>
      <c r="Y124" s="116">
        <f>WEEKNUM(C124,21)</f>
        <v/>
      </c>
      <c r="Z124" s="122" t="n"/>
      <c r="AA124" s="122" t="n"/>
      <c r="AB124" s="122" t="n"/>
      <c r="AC124" s="122" t="n"/>
      <c r="AD124" s="122" t="n"/>
      <c r="AE124" s="122">
        <f>IFERROR(K124/$T124,0)</f>
        <v/>
      </c>
      <c r="AF124" s="122">
        <f>IFERROR(L124/$T124,0)</f>
        <v/>
      </c>
      <c r="AG124" s="122" t="n"/>
      <c r="AH124" s="122" t="n"/>
      <c r="AI124" s="122" t="n"/>
      <c r="AJ124" s="122" t="n"/>
      <c r="AK124" s="122" t="n"/>
      <c r="AL124" s="122" t="n"/>
      <c r="AM124" s="122" t="n"/>
      <c r="AN124" s="122">
        <f>SUM(Z124:AC124)</f>
        <v/>
      </c>
      <c r="AO124" s="122">
        <f>SUM(AD124:AL124)</f>
        <v/>
      </c>
      <c r="AP124" s="122">
        <f>SUM(AM124,AB124)</f>
        <v/>
      </c>
      <c r="AQ124" s="122">
        <f>SUM(AA124)</f>
        <v/>
      </c>
      <c r="AR124" s="121">
        <f>(AP124+AQ124)-3%</f>
        <v/>
      </c>
      <c r="AS124" s="122">
        <f>SUM(AO124+AM124)</f>
        <v/>
      </c>
      <c r="AT124" s="122">
        <f>SUM(AH124+AN124)</f>
        <v/>
      </c>
      <c r="AU124" s="122">
        <f>SUM(AN124+AO124)</f>
        <v/>
      </c>
      <c r="AV124" s="122">
        <f>SUM(AN124+AD124+AE124+AF124+AG124+AH124+AJ124+AK124+AL124)</f>
        <v/>
      </c>
      <c r="AW124" s="122">
        <f>SUM(AD124+AE124+AF124+AG124+AI124+AJ124+AK124+AL124)</f>
        <v/>
      </c>
    </row>
    <row r="125" ht="14.1" customHeight="1" s="259">
      <c r="A125" s="174">
        <f>A124+1</f>
        <v/>
      </c>
      <c r="B125" s="204" t="n"/>
      <c r="C125" s="205" t="n"/>
      <c r="D125" s="204" t="n"/>
      <c r="E125" s="206" t="n"/>
      <c r="F125" s="206" t="n"/>
      <c r="G125" s="206" t="n"/>
      <c r="H125" s="206" t="n"/>
      <c r="I125" s="206" t="n"/>
      <c r="J125" s="206" t="n"/>
      <c r="K125" s="206" t="n"/>
      <c r="L125" s="206" t="n"/>
      <c r="M125" s="206" t="n"/>
      <c r="N125" s="206" t="n"/>
      <c r="O125" s="206" t="n"/>
      <c r="P125" s="206" t="n"/>
      <c r="Q125" s="206" t="n"/>
      <c r="R125" s="206" t="n"/>
      <c r="S125" s="206" t="n"/>
      <c r="T125" s="204">
        <f>SUM(F125:S125)</f>
        <v/>
      </c>
      <c r="U125" s="207">
        <f>(HLOOKUP(B125,F:T,A125,FALSE)/T125)</f>
        <v/>
      </c>
      <c r="V125" s="189" t="n"/>
      <c r="W125" s="163">
        <f>YEAR(C125)</f>
        <v/>
      </c>
      <c r="X125" s="116">
        <f>MONTH(C125)</f>
        <v/>
      </c>
      <c r="Y125" s="116">
        <f>WEEKNUM(C125,21)</f>
        <v/>
      </c>
      <c r="Z125" s="122" t="n"/>
      <c r="AA125" s="122" t="n"/>
      <c r="AB125" s="122" t="n"/>
      <c r="AC125" s="122" t="n"/>
      <c r="AD125" s="122" t="n"/>
      <c r="AE125" s="122">
        <f>IFERROR(K125/$T125,0)</f>
        <v/>
      </c>
      <c r="AF125" s="122">
        <f>IFERROR(L125/$T125,0)</f>
        <v/>
      </c>
      <c r="AG125" s="122" t="n"/>
      <c r="AH125" s="122" t="n"/>
      <c r="AI125" s="122" t="n"/>
      <c r="AJ125" s="122" t="n"/>
      <c r="AK125" s="122" t="n"/>
      <c r="AL125" s="122" t="n"/>
      <c r="AM125" s="122" t="n"/>
      <c r="AN125" s="122">
        <f>SUM(Z125:AC125)</f>
        <v/>
      </c>
      <c r="AO125" s="122">
        <f>SUM(AD125:AL125)</f>
        <v/>
      </c>
      <c r="AP125" s="122">
        <f>SUM(AM125,AB125)</f>
        <v/>
      </c>
      <c r="AQ125" s="122">
        <f>SUM(AA125)</f>
        <v/>
      </c>
      <c r="AR125" s="121">
        <f>(AP125+AQ125)-3%</f>
        <v/>
      </c>
      <c r="AS125" s="122">
        <f>SUM(AO125+AM125)</f>
        <v/>
      </c>
      <c r="AT125" s="122">
        <f>SUM(AH125+AN125)</f>
        <v/>
      </c>
      <c r="AU125" s="122">
        <f>SUM(AN125+AO125)</f>
        <v/>
      </c>
      <c r="AV125" s="122">
        <f>SUM(AN125+AD125+AE125+AF125+AG125+AH125+AJ125+AK125+AL125)</f>
        <v/>
      </c>
      <c r="AW125" s="122">
        <f>SUM(AD125+AE125+AF125+AG125+AI125+AJ125+AK125+AL125)</f>
        <v/>
      </c>
    </row>
    <row r="126" ht="14.1" customHeight="1" s="259">
      <c r="A126" s="174">
        <f>A125+1</f>
        <v/>
      </c>
      <c r="B126" s="204" t="n"/>
      <c r="C126" s="205" t="n"/>
      <c r="D126" s="204" t="n"/>
      <c r="E126" s="206" t="n"/>
      <c r="F126" s="206" t="n"/>
      <c r="G126" s="206" t="n"/>
      <c r="H126" s="206" t="n"/>
      <c r="I126" s="206" t="n"/>
      <c r="J126" s="206" t="n"/>
      <c r="K126" s="206" t="n"/>
      <c r="L126" s="206" t="n"/>
      <c r="M126" s="206" t="n"/>
      <c r="N126" s="206" t="n"/>
      <c r="O126" s="206" t="n"/>
      <c r="P126" s="206" t="n"/>
      <c r="Q126" s="206" t="n"/>
      <c r="R126" s="206" t="n"/>
      <c r="S126" s="206" t="n"/>
      <c r="T126" s="204">
        <f>SUM(F126:S126)</f>
        <v/>
      </c>
      <c r="U126" s="207">
        <f>(HLOOKUP(B126,F:T,A126,FALSE)/T126)</f>
        <v/>
      </c>
      <c r="V126" s="189" t="n"/>
      <c r="W126" s="163">
        <f>YEAR(C126)</f>
        <v/>
      </c>
      <c r="X126" s="116">
        <f>MONTH(C126)</f>
        <v/>
      </c>
      <c r="Y126" s="116">
        <f>WEEKNUM(C126,21)</f>
        <v/>
      </c>
      <c r="Z126" s="122" t="n"/>
      <c r="AA126" s="122" t="n"/>
      <c r="AB126" s="122" t="n"/>
      <c r="AC126" s="122" t="n"/>
      <c r="AD126" s="122" t="n"/>
      <c r="AE126" s="122">
        <f>IFERROR(K126/$T126,0)</f>
        <v/>
      </c>
      <c r="AF126" s="122">
        <f>IFERROR(L126/$T126,0)</f>
        <v/>
      </c>
      <c r="AG126" s="122" t="n"/>
      <c r="AH126" s="122" t="n"/>
      <c r="AI126" s="122" t="n"/>
      <c r="AJ126" s="122" t="n"/>
      <c r="AK126" s="122" t="n"/>
      <c r="AL126" s="122" t="n"/>
      <c r="AM126" s="122" t="n"/>
      <c r="AN126" s="122">
        <f>SUM(Z126:AC126)</f>
        <v/>
      </c>
      <c r="AO126" s="122">
        <f>SUM(AD126:AL126)</f>
        <v/>
      </c>
      <c r="AP126" s="122">
        <f>SUM(AM126,AB126)</f>
        <v/>
      </c>
      <c r="AQ126" s="122">
        <f>SUM(AA126)</f>
        <v/>
      </c>
      <c r="AR126" s="121">
        <f>(AP126+AQ126)-3%</f>
        <v/>
      </c>
      <c r="AS126" s="122">
        <f>SUM(AO126+AM126)</f>
        <v/>
      </c>
      <c r="AT126" s="122">
        <f>SUM(AH126+AN126)</f>
        <v/>
      </c>
      <c r="AU126" s="122">
        <f>SUM(AN126+AO126)</f>
        <v/>
      </c>
      <c r="AV126" s="122">
        <f>SUM(AN126+AD126+AE126+AF126+AG126+AH126+AJ126+AK126+AL126)</f>
        <v/>
      </c>
      <c r="AW126" s="122">
        <f>SUM(AD126+AE126+AF126+AG126+AI126+AJ126+AK126+AL126)</f>
        <v/>
      </c>
    </row>
    <row r="127" ht="14.1" customHeight="1" s="259">
      <c r="A127" s="174">
        <f>A126+1</f>
        <v/>
      </c>
      <c r="B127" s="199" t="n"/>
      <c r="C127" s="200" t="n"/>
      <c r="D127" s="199" t="n"/>
      <c r="E127" s="201" t="n"/>
      <c r="F127" s="201" t="n"/>
      <c r="G127" s="201" t="n"/>
      <c r="H127" s="201" t="n"/>
      <c r="I127" s="201" t="n"/>
      <c r="J127" s="201" t="n"/>
      <c r="K127" s="201" t="n"/>
      <c r="L127" s="201" t="n"/>
      <c r="M127" s="201" t="n"/>
      <c r="N127" s="201" t="n"/>
      <c r="O127" s="201" t="n"/>
      <c r="P127" s="201" t="n"/>
      <c r="Q127" s="201" t="n"/>
      <c r="R127" s="201" t="n"/>
      <c r="S127" s="201" t="n"/>
      <c r="T127" s="199">
        <f>SUM(F127:S127)</f>
        <v/>
      </c>
      <c r="U127" s="202">
        <f>(HLOOKUP(B127,F:T,A127,FALSE)/T127)</f>
        <v/>
      </c>
      <c r="V127" s="189" t="n"/>
      <c r="W127" s="163">
        <f>YEAR(C127)</f>
        <v/>
      </c>
      <c r="X127" s="116">
        <f>MONTH(C127)</f>
        <v/>
      </c>
      <c r="Y127" s="116">
        <f>WEEKNUM(C127,21)</f>
        <v/>
      </c>
      <c r="Z127" s="122" t="n"/>
      <c r="AA127" s="122" t="n"/>
      <c r="AB127" s="122" t="n"/>
      <c r="AC127" s="122" t="n"/>
      <c r="AD127" s="122" t="n"/>
      <c r="AE127" s="122">
        <f>IFERROR(K127/$T127,0)</f>
        <v/>
      </c>
      <c r="AF127" s="122">
        <f>IFERROR(L127/$T127,0)</f>
        <v/>
      </c>
      <c r="AG127" s="122" t="n"/>
      <c r="AH127" s="122" t="n"/>
      <c r="AI127" s="122" t="n"/>
      <c r="AJ127" s="122" t="n"/>
      <c r="AK127" s="122" t="n"/>
      <c r="AL127" s="122" t="n"/>
      <c r="AM127" s="122" t="n"/>
      <c r="AN127" s="122">
        <f>SUM(Z127:AC127)</f>
        <v/>
      </c>
      <c r="AO127" s="122">
        <f>SUM(AD127:AL127)</f>
        <v/>
      </c>
      <c r="AP127" s="122">
        <f>SUM(AM127,AB127)</f>
        <v/>
      </c>
      <c r="AQ127" s="122">
        <f>SUM(AA127)</f>
        <v/>
      </c>
      <c r="AR127" s="121">
        <f>(AP127+AQ127)-3%</f>
        <v/>
      </c>
      <c r="AS127" s="122">
        <f>SUM(AO127+AM127)</f>
        <v/>
      </c>
      <c r="AT127" s="122">
        <f>SUM(AH127+AN127)</f>
        <v/>
      </c>
      <c r="AU127" s="122">
        <f>SUM(AN127+AO127)</f>
        <v/>
      </c>
      <c r="AV127" s="122">
        <f>SUM(AN127+AD127+AE127+AF127+AG127+AH127+AJ127+AK127+AL127)</f>
        <v/>
      </c>
      <c r="AW127" s="122">
        <f>SUM(AD127+AE127+AF127+AG127+AI127+AJ127+AK127+AL127)</f>
        <v/>
      </c>
    </row>
    <row r="128" ht="14.1" customHeight="1" s="259">
      <c r="A128" s="174">
        <f>A127+1</f>
        <v/>
      </c>
      <c r="B128" s="199" t="n"/>
      <c r="C128" s="200" t="n"/>
      <c r="D128" s="199" t="n"/>
      <c r="E128" s="201" t="n"/>
      <c r="F128" s="201" t="n"/>
      <c r="G128" s="201" t="n"/>
      <c r="H128" s="201" t="n"/>
      <c r="I128" s="201" t="n"/>
      <c r="J128" s="201" t="n"/>
      <c r="K128" s="201" t="n"/>
      <c r="L128" s="201" t="n"/>
      <c r="M128" s="201" t="n"/>
      <c r="N128" s="201" t="n"/>
      <c r="O128" s="201" t="n"/>
      <c r="P128" s="201" t="n"/>
      <c r="Q128" s="201" t="n"/>
      <c r="R128" s="201" t="n"/>
      <c r="S128" s="201" t="n"/>
      <c r="T128" s="199">
        <f>SUM(F128:S128)</f>
        <v/>
      </c>
      <c r="U128" s="202">
        <f>(HLOOKUP(B128,F:T,A128,FALSE)/T128)</f>
        <v/>
      </c>
      <c r="V128" s="189" t="n"/>
      <c r="W128" s="163">
        <f>YEAR(C128)</f>
        <v/>
      </c>
      <c r="X128" s="116">
        <f>MONTH(C128)</f>
        <v/>
      </c>
      <c r="Y128" s="116">
        <f>WEEKNUM(C128,21)</f>
        <v/>
      </c>
      <c r="Z128" s="122" t="n"/>
      <c r="AA128" s="122" t="n"/>
      <c r="AB128" s="122" t="n"/>
      <c r="AC128" s="122" t="n"/>
      <c r="AD128" s="122" t="n"/>
      <c r="AE128" s="122">
        <f>IFERROR(K128/$T128,0)</f>
        <v/>
      </c>
      <c r="AF128" s="122">
        <f>IFERROR(L128/$T128,0)</f>
        <v/>
      </c>
      <c r="AG128" s="122" t="n"/>
      <c r="AH128" s="122" t="n"/>
      <c r="AI128" s="122" t="n"/>
      <c r="AJ128" s="122" t="n"/>
      <c r="AK128" s="122" t="n"/>
      <c r="AL128" s="122" t="n"/>
      <c r="AM128" s="122" t="n"/>
      <c r="AN128" s="122">
        <f>SUM(Z128:AC128)</f>
        <v/>
      </c>
      <c r="AO128" s="122">
        <f>SUM(AD128:AL128)</f>
        <v/>
      </c>
      <c r="AP128" s="122">
        <f>SUM(AM128,AB128)</f>
        <v/>
      </c>
      <c r="AQ128" s="122">
        <f>SUM(AA128)</f>
        <v/>
      </c>
      <c r="AR128" s="121">
        <f>(AP128+AQ128)-3%</f>
        <v/>
      </c>
      <c r="AS128" s="122">
        <f>SUM(AO128+AM128)</f>
        <v/>
      </c>
      <c r="AT128" s="122">
        <f>SUM(AH128+AN128)</f>
        <v/>
      </c>
      <c r="AU128" s="122">
        <f>SUM(AN128+AO128)</f>
        <v/>
      </c>
      <c r="AV128" s="122">
        <f>SUM(AN128+AD128+AE128+AF128+AG128+AH128+AJ128+AK128+AL128)</f>
        <v/>
      </c>
      <c r="AW128" s="122">
        <f>SUM(AD128+AE128+AF128+AG128+AI128+AJ128+AK128+AL128)</f>
        <v/>
      </c>
    </row>
    <row r="129" ht="14.1" customHeight="1" s="259">
      <c r="A129" s="174">
        <f>A128+1</f>
        <v/>
      </c>
      <c r="B129" s="204" t="n"/>
      <c r="C129" s="205" t="n"/>
      <c r="D129" s="204" t="n"/>
      <c r="E129" s="206" t="n"/>
      <c r="F129" s="206" t="n"/>
      <c r="G129" s="206" t="n"/>
      <c r="H129" s="206" t="n"/>
      <c r="I129" s="206" t="n"/>
      <c r="J129" s="206" t="n"/>
      <c r="K129" s="206" t="n"/>
      <c r="L129" s="206" t="n"/>
      <c r="M129" s="206" t="n"/>
      <c r="N129" s="206" t="n"/>
      <c r="O129" s="206" t="n"/>
      <c r="P129" s="206" t="n"/>
      <c r="Q129" s="206" t="n"/>
      <c r="R129" s="206" t="n"/>
      <c r="S129" s="206" t="n"/>
      <c r="T129" s="204">
        <f>SUM(F129:S129)</f>
        <v/>
      </c>
      <c r="U129" s="207">
        <f>(HLOOKUP(B129,F:T,A129,FALSE)/T129)</f>
        <v/>
      </c>
      <c r="V129" s="189" t="n"/>
      <c r="W129" s="163">
        <f>YEAR(C129)</f>
        <v/>
      </c>
      <c r="X129" s="116">
        <f>MONTH(C129)</f>
        <v/>
      </c>
      <c r="Y129" s="116">
        <f>WEEKNUM(C129,21)</f>
        <v/>
      </c>
      <c r="Z129" s="122" t="n"/>
      <c r="AA129" s="122" t="n"/>
      <c r="AB129" s="122" t="n"/>
      <c r="AC129" s="122" t="n"/>
      <c r="AD129" s="122" t="n"/>
      <c r="AE129" s="122">
        <f>IFERROR(K129/$T129,0)</f>
        <v/>
      </c>
      <c r="AF129" s="122">
        <f>IFERROR(L129/$T129,0)</f>
        <v/>
      </c>
      <c r="AG129" s="122" t="n"/>
      <c r="AH129" s="122" t="n"/>
      <c r="AI129" s="122" t="n"/>
      <c r="AJ129" s="122" t="n"/>
      <c r="AK129" s="122" t="n"/>
      <c r="AL129" s="122" t="n"/>
      <c r="AM129" s="122" t="n"/>
      <c r="AN129" s="122">
        <f>SUM(Z129:AC129)</f>
        <v/>
      </c>
      <c r="AO129" s="122">
        <f>SUM(AD129:AL129)</f>
        <v/>
      </c>
      <c r="AP129" s="122">
        <f>SUM(AM129,AB129)</f>
        <v/>
      </c>
      <c r="AQ129" s="122">
        <f>SUM(AA129)</f>
        <v/>
      </c>
      <c r="AR129" s="121">
        <f>(AP129+AQ129)-3%</f>
        <v/>
      </c>
      <c r="AS129" s="122">
        <f>SUM(AO129+AM129)</f>
        <v/>
      </c>
      <c r="AT129" s="122">
        <f>SUM(AH129+AN129)</f>
        <v/>
      </c>
      <c r="AU129" s="122">
        <f>SUM(AN129+AO129)</f>
        <v/>
      </c>
      <c r="AV129" s="122">
        <f>SUM(AN129+AD129+AE129+AF129+AG129+AH129+AJ129+AK129+AL129)</f>
        <v/>
      </c>
      <c r="AW129" s="122">
        <f>SUM(AD129+AE129+AF129+AG129+AI129+AJ129+AK129+AL129)</f>
        <v/>
      </c>
    </row>
    <row r="130" ht="14.1" customHeight="1" s="259">
      <c r="A130" s="174">
        <f>A129+1</f>
        <v/>
      </c>
      <c r="B130" s="204" t="n"/>
      <c r="C130" s="205" t="n"/>
      <c r="D130" s="204" t="n"/>
      <c r="E130" s="206" t="n"/>
      <c r="F130" s="206" t="n"/>
      <c r="G130" s="206" t="n"/>
      <c r="H130" s="206" t="n"/>
      <c r="I130" s="206" t="n"/>
      <c r="J130" s="206" t="n"/>
      <c r="K130" s="206" t="n"/>
      <c r="L130" s="206" t="n"/>
      <c r="M130" s="206" t="n"/>
      <c r="N130" s="206" t="n"/>
      <c r="O130" s="206" t="n"/>
      <c r="P130" s="206" t="n"/>
      <c r="Q130" s="206" t="n"/>
      <c r="R130" s="206" t="n"/>
      <c r="S130" s="206" t="n"/>
      <c r="T130" s="204">
        <f>SUM(F130:S130)</f>
        <v/>
      </c>
      <c r="U130" s="207">
        <f>(HLOOKUP(B130,F:T,A130,FALSE)/T130)</f>
        <v/>
      </c>
      <c r="V130" s="189" t="n"/>
      <c r="W130" s="163">
        <f>YEAR(C130)</f>
        <v/>
      </c>
      <c r="X130" s="116">
        <f>MONTH(C130)</f>
        <v/>
      </c>
      <c r="Y130" s="116">
        <f>WEEKNUM(C130,21)</f>
        <v/>
      </c>
      <c r="Z130" s="122" t="n"/>
      <c r="AA130" s="122" t="n"/>
      <c r="AB130" s="122" t="n"/>
      <c r="AC130" s="122" t="n"/>
      <c r="AD130" s="122" t="n"/>
      <c r="AE130" s="122">
        <f>IFERROR(K130/$T130,0)</f>
        <v/>
      </c>
      <c r="AF130" s="122">
        <f>IFERROR(L130/$T130,0)</f>
        <v/>
      </c>
      <c r="AG130" s="122" t="n"/>
      <c r="AH130" s="122" t="n"/>
      <c r="AI130" s="122" t="n"/>
      <c r="AJ130" s="122" t="n"/>
      <c r="AK130" s="122" t="n"/>
      <c r="AL130" s="122" t="n"/>
      <c r="AM130" s="122" t="n"/>
      <c r="AN130" s="122">
        <f>SUM(Z130:AC130)</f>
        <v/>
      </c>
      <c r="AO130" s="122">
        <f>SUM(AD130:AL130)</f>
        <v/>
      </c>
      <c r="AP130" s="122">
        <f>SUM(AM130,AB130)</f>
        <v/>
      </c>
      <c r="AQ130" s="122">
        <f>SUM(AA130)</f>
        <v/>
      </c>
      <c r="AR130" s="121">
        <f>(AP130+AQ130)-3%</f>
        <v/>
      </c>
      <c r="AS130" s="122">
        <f>SUM(AO130+AM130)</f>
        <v/>
      </c>
      <c r="AT130" s="122">
        <f>SUM(AH130+AN130)</f>
        <v/>
      </c>
      <c r="AU130" s="122">
        <f>SUM(AN130+AO130)</f>
        <v/>
      </c>
      <c r="AV130" s="122">
        <f>SUM(AN130+AD130+AE130+AF130+AG130+AH130+AJ130+AK130+AL130)</f>
        <v/>
      </c>
      <c r="AW130" s="122">
        <f>SUM(AD130+AE130+AF130+AG130+AI130+AJ130+AK130+AL130)</f>
        <v/>
      </c>
    </row>
    <row r="131" ht="14.1" customHeight="1" s="259">
      <c r="A131" s="174">
        <f>A130+1</f>
        <v/>
      </c>
      <c r="B131" s="204" t="n"/>
      <c r="C131" s="205" t="n"/>
      <c r="D131" s="204" t="n"/>
      <c r="E131" s="206" t="n"/>
      <c r="F131" s="206" t="n"/>
      <c r="G131" s="206" t="n"/>
      <c r="H131" s="206" t="n"/>
      <c r="I131" s="206" t="n"/>
      <c r="J131" s="206" t="n"/>
      <c r="K131" s="206" t="n"/>
      <c r="L131" s="206" t="n"/>
      <c r="M131" s="206" t="n"/>
      <c r="N131" s="206" t="n"/>
      <c r="O131" s="206" t="n"/>
      <c r="P131" s="206" t="n"/>
      <c r="Q131" s="206" t="n"/>
      <c r="R131" s="206" t="n"/>
      <c r="S131" s="206" t="n"/>
      <c r="T131" s="204">
        <f>SUM(F131:S131)</f>
        <v/>
      </c>
      <c r="U131" s="207">
        <f>(HLOOKUP(B131,F:T,A131,FALSE)/T131)</f>
        <v/>
      </c>
      <c r="V131" s="189" t="n"/>
      <c r="W131" s="163">
        <f>YEAR(C131)</f>
        <v/>
      </c>
      <c r="X131" s="116">
        <f>MONTH(C131)</f>
        <v/>
      </c>
      <c r="Y131" s="116">
        <f>WEEKNUM(C131,21)</f>
        <v/>
      </c>
      <c r="Z131" s="122" t="n"/>
      <c r="AA131" s="122" t="n"/>
      <c r="AB131" s="122" t="n"/>
      <c r="AC131" s="122" t="n"/>
      <c r="AD131" s="122" t="n"/>
      <c r="AE131" s="122">
        <f>IFERROR(K131/$T131,0)</f>
        <v/>
      </c>
      <c r="AF131" s="122">
        <f>IFERROR(L131/$T131,0)</f>
        <v/>
      </c>
      <c r="AG131" s="122" t="n"/>
      <c r="AH131" s="122" t="n"/>
      <c r="AI131" s="122" t="n"/>
      <c r="AJ131" s="122" t="n"/>
      <c r="AK131" s="122" t="n"/>
      <c r="AL131" s="122" t="n"/>
      <c r="AM131" s="122" t="n"/>
      <c r="AN131" s="122">
        <f>SUM(Z131:AC131)</f>
        <v/>
      </c>
      <c r="AO131" s="122">
        <f>SUM(AD131:AL131)</f>
        <v/>
      </c>
      <c r="AP131" s="122">
        <f>SUM(AM131,AB131)</f>
        <v/>
      </c>
      <c r="AQ131" s="122">
        <f>SUM(AA131)</f>
        <v/>
      </c>
      <c r="AR131" s="121">
        <f>(AP131+AQ131)-3%</f>
        <v/>
      </c>
      <c r="AS131" s="122">
        <f>SUM(AO131+AM131)</f>
        <v/>
      </c>
      <c r="AT131" s="122">
        <f>SUM(AH131+AN131)</f>
        <v/>
      </c>
      <c r="AU131" s="122">
        <f>SUM(AN131+AO131)</f>
        <v/>
      </c>
      <c r="AV131" s="122">
        <f>SUM(AN131+AD131+AE131+AF131+AG131+AH131+AJ131+AK131+AL131)</f>
        <v/>
      </c>
      <c r="AW131" s="122">
        <f>SUM(AD131+AE131+AF131+AG131+AI131+AJ131+AK131+AL131)</f>
        <v/>
      </c>
    </row>
    <row r="132" ht="14.1" customHeight="1" s="259">
      <c r="A132" s="174">
        <f>A131+1</f>
        <v/>
      </c>
      <c r="B132" s="204" t="n"/>
      <c r="C132" s="205" t="n"/>
      <c r="D132" s="204" t="n"/>
      <c r="E132" s="206" t="n"/>
      <c r="F132" s="206" t="n"/>
      <c r="G132" s="206" t="n"/>
      <c r="H132" s="206" t="n"/>
      <c r="I132" s="206" t="n"/>
      <c r="J132" s="206" t="n"/>
      <c r="K132" s="206" t="n"/>
      <c r="L132" s="206" t="n"/>
      <c r="M132" s="206" t="n"/>
      <c r="N132" s="206" t="n"/>
      <c r="O132" s="206" t="n"/>
      <c r="P132" s="206" t="n"/>
      <c r="Q132" s="206" t="n"/>
      <c r="R132" s="206" t="n"/>
      <c r="S132" s="206" t="n"/>
      <c r="T132" s="204">
        <f>SUM(F132:S132)</f>
        <v/>
      </c>
      <c r="U132" s="207">
        <f>(HLOOKUP(B132,F:T,A132,FALSE)/T132)</f>
        <v/>
      </c>
      <c r="V132" s="189" t="n"/>
      <c r="W132" s="163">
        <f>YEAR(C132)</f>
        <v/>
      </c>
      <c r="X132" s="116">
        <f>MONTH(C132)</f>
        <v/>
      </c>
      <c r="Y132" s="116">
        <f>WEEKNUM(C132,21)</f>
        <v/>
      </c>
      <c r="Z132" s="122" t="n"/>
      <c r="AA132" s="122" t="n"/>
      <c r="AB132" s="122" t="n"/>
      <c r="AC132" s="122" t="n"/>
      <c r="AD132" s="122" t="n"/>
      <c r="AE132" s="122">
        <f>IFERROR(K132/$T132,0)</f>
        <v/>
      </c>
      <c r="AF132" s="122">
        <f>IFERROR(L132/$T132,0)</f>
        <v/>
      </c>
      <c r="AG132" s="122" t="n"/>
      <c r="AH132" s="122" t="n"/>
      <c r="AI132" s="122" t="n"/>
      <c r="AJ132" s="122" t="n"/>
      <c r="AK132" s="122" t="n"/>
      <c r="AL132" s="122" t="n"/>
      <c r="AM132" s="122" t="n"/>
      <c r="AN132" s="122">
        <f>SUM(Z132:AC132)</f>
        <v/>
      </c>
      <c r="AO132" s="122">
        <f>SUM(AD132:AL132)</f>
        <v/>
      </c>
      <c r="AP132" s="122">
        <f>SUM(AM132,AB132)</f>
        <v/>
      </c>
      <c r="AQ132" s="122">
        <f>SUM(AA132)</f>
        <v/>
      </c>
      <c r="AR132" s="121">
        <f>(AP132+AQ132)-3%</f>
        <v/>
      </c>
      <c r="AS132" s="122">
        <f>SUM(AO132+AM132)</f>
        <v/>
      </c>
      <c r="AT132" s="122">
        <f>SUM(AH132+AN132)</f>
        <v/>
      </c>
      <c r="AU132" s="122">
        <f>SUM(AN132+AO132)</f>
        <v/>
      </c>
      <c r="AV132" s="122">
        <f>SUM(AN132+AD132+AE132+AF132+AG132+AH132+AJ132+AK132+AL132)</f>
        <v/>
      </c>
      <c r="AW132" s="122">
        <f>SUM(AD132+AE132+AF132+AG132+AI132+AJ132+AK132+AL132)</f>
        <v/>
      </c>
    </row>
    <row r="133" ht="14.1" customHeight="1" s="259">
      <c r="A133" s="174">
        <f>A132+1</f>
        <v/>
      </c>
      <c r="B133" s="204" t="n"/>
      <c r="C133" s="205" t="n"/>
      <c r="D133" s="204" t="n"/>
      <c r="E133" s="206" t="n"/>
      <c r="F133" s="206" t="n"/>
      <c r="G133" s="206" t="n"/>
      <c r="H133" s="206" t="n"/>
      <c r="I133" s="206" t="n"/>
      <c r="J133" s="206" t="n"/>
      <c r="K133" s="206" t="n"/>
      <c r="L133" s="206" t="n"/>
      <c r="M133" s="206" t="n"/>
      <c r="N133" s="206" t="n"/>
      <c r="O133" s="206" t="n"/>
      <c r="P133" s="206" t="n"/>
      <c r="Q133" s="206" t="n"/>
      <c r="R133" s="206" t="n"/>
      <c r="S133" s="206" t="n"/>
      <c r="T133" s="204">
        <f>SUM(F133:S133)</f>
        <v/>
      </c>
      <c r="U133" s="207">
        <f>(HLOOKUP(B133,F:T,A133,FALSE)/T133)</f>
        <v/>
      </c>
      <c r="V133" s="189" t="n"/>
      <c r="W133" s="163">
        <f>YEAR(C133)</f>
        <v/>
      </c>
      <c r="X133" s="116">
        <f>MONTH(C133)</f>
        <v/>
      </c>
      <c r="Y133" s="116">
        <f>WEEKNUM(C133,21)</f>
        <v/>
      </c>
      <c r="Z133" s="122" t="n"/>
      <c r="AA133" s="122" t="n"/>
      <c r="AB133" s="122" t="n"/>
      <c r="AC133" s="122" t="n"/>
      <c r="AD133" s="122" t="n"/>
      <c r="AE133" s="122">
        <f>IFERROR(K133/$T133,0)</f>
        <v/>
      </c>
      <c r="AF133" s="122">
        <f>IFERROR(L133/$T133,0)</f>
        <v/>
      </c>
      <c r="AG133" s="122" t="n"/>
      <c r="AH133" s="122" t="n"/>
      <c r="AI133" s="122" t="n"/>
      <c r="AJ133" s="122" t="n"/>
      <c r="AK133" s="122" t="n"/>
      <c r="AL133" s="122" t="n"/>
      <c r="AM133" s="122" t="n"/>
      <c r="AN133" s="122">
        <f>SUM(Z133:AC133)</f>
        <v/>
      </c>
      <c r="AO133" s="122">
        <f>SUM(AD133:AL133)</f>
        <v/>
      </c>
      <c r="AP133" s="122">
        <f>SUM(AM133,AB133)</f>
        <v/>
      </c>
      <c r="AQ133" s="122">
        <f>SUM(AA133)</f>
        <v/>
      </c>
      <c r="AR133" s="121">
        <f>(AP133+AQ133)-3%</f>
        <v/>
      </c>
      <c r="AS133" s="122">
        <f>SUM(AO133+AM133)</f>
        <v/>
      </c>
      <c r="AT133" s="122">
        <f>SUM(AH133+AN133)</f>
        <v/>
      </c>
      <c r="AU133" s="122">
        <f>SUM(AN133+AO133)</f>
        <v/>
      </c>
      <c r="AV133" s="122">
        <f>SUM(AN133+AD133+AE133+AF133+AG133+AH133+AJ133+AK133+AL133)</f>
        <v/>
      </c>
      <c r="AW133" s="122">
        <f>SUM(AD133+AE133+AF133+AG133+AI133+AJ133+AK133+AL133)</f>
        <v/>
      </c>
    </row>
    <row r="134" ht="14.1" customHeight="1" s="259">
      <c r="A134" s="174">
        <f>A133+1</f>
        <v/>
      </c>
      <c r="B134" s="204" t="n"/>
      <c r="C134" s="205" t="n"/>
      <c r="D134" s="204" t="n"/>
      <c r="E134" s="206" t="n"/>
      <c r="F134" s="206" t="n"/>
      <c r="G134" s="206" t="n"/>
      <c r="H134" s="206" t="n"/>
      <c r="I134" s="206" t="n"/>
      <c r="J134" s="206" t="n"/>
      <c r="K134" s="206" t="n"/>
      <c r="L134" s="206" t="n"/>
      <c r="M134" s="206" t="n"/>
      <c r="N134" s="206" t="n"/>
      <c r="O134" s="206" t="n"/>
      <c r="P134" s="206" t="n"/>
      <c r="Q134" s="206" t="n"/>
      <c r="R134" s="206" t="n"/>
      <c r="S134" s="206" t="n"/>
      <c r="T134" s="204">
        <f>SUM(F134:S134)</f>
        <v/>
      </c>
      <c r="U134" s="207">
        <f>(HLOOKUP(B134,F:T,A134,FALSE)/T134)</f>
        <v/>
      </c>
      <c r="V134" s="189" t="n"/>
      <c r="W134" s="163">
        <f>YEAR(C134)</f>
        <v/>
      </c>
      <c r="X134" s="116">
        <f>MONTH(C134)</f>
        <v/>
      </c>
      <c r="Y134" s="116">
        <f>WEEKNUM(C134,21)</f>
        <v/>
      </c>
      <c r="Z134" s="122" t="n"/>
      <c r="AA134" s="122" t="n"/>
      <c r="AB134" s="122" t="n"/>
      <c r="AC134" s="122" t="n"/>
      <c r="AD134" s="122" t="n"/>
      <c r="AE134" s="122">
        <f>IFERROR(K134/$T134,0)</f>
        <v/>
      </c>
      <c r="AF134" s="122">
        <f>IFERROR(L134/$T134,0)</f>
        <v/>
      </c>
      <c r="AG134" s="122" t="n"/>
      <c r="AH134" s="122" t="n"/>
      <c r="AI134" s="122" t="n"/>
      <c r="AJ134" s="122" t="n"/>
      <c r="AK134" s="122" t="n"/>
      <c r="AL134" s="122" t="n"/>
      <c r="AM134" s="122" t="n"/>
      <c r="AN134" s="122">
        <f>SUM(Z134:AC134)</f>
        <v/>
      </c>
      <c r="AO134" s="122">
        <f>SUM(AD134:AL134)</f>
        <v/>
      </c>
      <c r="AP134" s="122">
        <f>SUM(AM134,AB134)</f>
        <v/>
      </c>
      <c r="AQ134" s="122">
        <f>SUM(AA134)</f>
        <v/>
      </c>
      <c r="AR134" s="121">
        <f>(AP134+AQ134)-3%</f>
        <v/>
      </c>
      <c r="AS134" s="122">
        <f>SUM(AO134+AM134)</f>
        <v/>
      </c>
      <c r="AT134" s="122">
        <f>SUM(AH134+AN134)</f>
        <v/>
      </c>
      <c r="AU134" s="122">
        <f>SUM(AN134+AO134)</f>
        <v/>
      </c>
      <c r="AV134" s="122">
        <f>SUM(AN134+AD134+AE134+AF134+AG134+AH134+AJ134+AK134+AL134)</f>
        <v/>
      </c>
      <c r="AW134" s="122">
        <f>SUM(AD134+AE134+AF134+AG134+AI134+AJ134+AK134+AL134)</f>
        <v/>
      </c>
    </row>
    <row r="135" ht="14.1" customHeight="1" s="259">
      <c r="A135" s="174">
        <f>A134+1</f>
        <v/>
      </c>
      <c r="B135" s="204" t="n"/>
      <c r="C135" s="205" t="n"/>
      <c r="D135" s="204" t="n"/>
      <c r="E135" s="206" t="n"/>
      <c r="F135" s="206" t="n"/>
      <c r="G135" s="206" t="n"/>
      <c r="H135" s="206" t="n"/>
      <c r="I135" s="206" t="n"/>
      <c r="J135" s="206" t="n"/>
      <c r="K135" s="206" t="n"/>
      <c r="L135" s="206" t="n"/>
      <c r="M135" s="206" t="n"/>
      <c r="N135" s="206" t="n"/>
      <c r="O135" s="206" t="n"/>
      <c r="P135" s="206" t="n"/>
      <c r="Q135" s="206" t="n"/>
      <c r="R135" s="206" t="n"/>
      <c r="S135" s="206" t="n"/>
      <c r="T135" s="204">
        <f>SUM(F135:S135)</f>
        <v/>
      </c>
      <c r="U135" s="207">
        <f>(HLOOKUP(B135,F:T,A135,FALSE)/T135)</f>
        <v/>
      </c>
      <c r="V135" s="189" t="n"/>
      <c r="W135" s="163">
        <f>YEAR(C135)</f>
        <v/>
      </c>
      <c r="X135" s="116">
        <f>MONTH(C135)</f>
        <v/>
      </c>
      <c r="Y135" s="116">
        <f>WEEKNUM(C135,21)</f>
        <v/>
      </c>
      <c r="Z135" s="122" t="n"/>
      <c r="AA135" s="122" t="n"/>
      <c r="AB135" s="122" t="n"/>
      <c r="AC135" s="122" t="n"/>
      <c r="AD135" s="122" t="n"/>
      <c r="AE135" s="122">
        <f>IFERROR(K135/$T135,0)</f>
        <v/>
      </c>
      <c r="AF135" s="122">
        <f>IFERROR(L135/$T135,0)</f>
        <v/>
      </c>
      <c r="AG135" s="122" t="n"/>
      <c r="AH135" s="122" t="n"/>
      <c r="AI135" s="122" t="n"/>
      <c r="AJ135" s="122" t="n"/>
      <c r="AK135" s="122" t="n"/>
      <c r="AL135" s="122" t="n"/>
      <c r="AM135" s="122" t="n"/>
      <c r="AN135" s="122">
        <f>SUM(Z135:AC135)</f>
        <v/>
      </c>
      <c r="AO135" s="122">
        <f>SUM(AD135:AL135)</f>
        <v/>
      </c>
      <c r="AP135" s="122">
        <f>SUM(AM135,AB135)</f>
        <v/>
      </c>
      <c r="AQ135" s="122">
        <f>SUM(AA135)</f>
        <v/>
      </c>
      <c r="AR135" s="121">
        <f>(AP135+AQ135)-3%</f>
        <v/>
      </c>
      <c r="AS135" s="122">
        <f>SUM(AO135+AM135)</f>
        <v/>
      </c>
      <c r="AT135" s="122">
        <f>SUM(AH135+AN135)</f>
        <v/>
      </c>
      <c r="AU135" s="122">
        <f>SUM(AN135+AO135)</f>
        <v/>
      </c>
      <c r="AV135" s="122">
        <f>SUM(AN135+AD135+AE135+AF135+AG135+AH135+AJ135+AK135+AL135)</f>
        <v/>
      </c>
      <c r="AW135" s="122">
        <f>SUM(AD135+AE135+AF135+AG135+AI135+AJ135+AK135+AL135)</f>
        <v/>
      </c>
    </row>
    <row r="136" ht="14.1" customHeight="1" s="259">
      <c r="A136" s="174">
        <f>A135+1</f>
        <v/>
      </c>
      <c r="B136" s="204" t="n"/>
      <c r="C136" s="205" t="n"/>
      <c r="D136" s="204" t="n"/>
      <c r="E136" s="206" t="n"/>
      <c r="F136" s="206" t="n"/>
      <c r="G136" s="206" t="n"/>
      <c r="H136" s="206" t="n"/>
      <c r="I136" s="206" t="n"/>
      <c r="J136" s="206" t="n"/>
      <c r="K136" s="206" t="n"/>
      <c r="L136" s="206" t="n"/>
      <c r="M136" s="206" t="n"/>
      <c r="N136" s="206" t="n"/>
      <c r="O136" s="206" t="n"/>
      <c r="P136" s="206" t="n"/>
      <c r="Q136" s="206" t="n"/>
      <c r="R136" s="206" t="n"/>
      <c r="S136" s="206" t="n"/>
      <c r="T136" s="204">
        <f>SUM(F136:S136)</f>
        <v/>
      </c>
      <c r="U136" s="207">
        <f>(HLOOKUP(B136,F:T,A136,FALSE)/T136)</f>
        <v/>
      </c>
      <c r="V136" s="189" t="n"/>
      <c r="W136" s="163">
        <f>YEAR(C136)</f>
        <v/>
      </c>
      <c r="X136" s="116">
        <f>MONTH(C136)</f>
        <v/>
      </c>
      <c r="Y136" s="116">
        <f>WEEKNUM(C136,21)</f>
        <v/>
      </c>
      <c r="Z136" s="122" t="n"/>
      <c r="AA136" s="122" t="n"/>
      <c r="AB136" s="122" t="n"/>
      <c r="AC136" s="122" t="n"/>
      <c r="AD136" s="122" t="n"/>
      <c r="AE136" s="122">
        <f>IFERROR(K136/$T136,0)</f>
        <v/>
      </c>
      <c r="AF136" s="122">
        <f>IFERROR(L136/$T136,0)</f>
        <v/>
      </c>
      <c r="AG136" s="122" t="n"/>
      <c r="AH136" s="122" t="n"/>
      <c r="AI136" s="122" t="n"/>
      <c r="AJ136" s="122" t="n"/>
      <c r="AK136" s="122" t="n"/>
      <c r="AL136" s="122" t="n"/>
      <c r="AM136" s="122" t="n"/>
      <c r="AN136" s="122">
        <f>SUM(Z136:AC136)</f>
        <v/>
      </c>
      <c r="AO136" s="122">
        <f>SUM(AD136:AL136)</f>
        <v/>
      </c>
      <c r="AP136" s="122">
        <f>SUM(AM136,AB136)</f>
        <v/>
      </c>
      <c r="AQ136" s="122">
        <f>SUM(AA136)</f>
        <v/>
      </c>
      <c r="AR136" s="121">
        <f>(AP136+AQ136)-3%</f>
        <v/>
      </c>
      <c r="AS136" s="122">
        <f>SUM(AO136+AM136)</f>
        <v/>
      </c>
      <c r="AT136" s="122">
        <f>SUM(AH136+AN136)</f>
        <v/>
      </c>
      <c r="AU136" s="122">
        <f>SUM(AN136+AO136)</f>
        <v/>
      </c>
      <c r="AV136" s="122">
        <f>SUM(AN136+AD136+AE136+AF136+AG136+AH136+AJ136+AK136+AL136)</f>
        <v/>
      </c>
      <c r="AW136" s="122">
        <f>SUM(AD136+AE136+AF136+AG136+AI136+AJ136+AK136+AL136)</f>
        <v/>
      </c>
    </row>
    <row r="137" ht="14.1" customHeight="1" s="259">
      <c r="A137" s="174">
        <f>A136+1</f>
        <v/>
      </c>
      <c r="B137" s="204" t="n"/>
      <c r="C137" s="205" t="n"/>
      <c r="D137" s="204" t="n"/>
      <c r="E137" s="206" t="n"/>
      <c r="F137" s="206" t="n"/>
      <c r="G137" s="206" t="n"/>
      <c r="H137" s="206" t="n"/>
      <c r="I137" s="206" t="n"/>
      <c r="J137" s="206" t="n"/>
      <c r="K137" s="206" t="n"/>
      <c r="L137" s="206" t="n"/>
      <c r="M137" s="206" t="n"/>
      <c r="N137" s="206" t="n"/>
      <c r="O137" s="206" t="n"/>
      <c r="P137" s="206" t="n"/>
      <c r="Q137" s="206" t="n"/>
      <c r="R137" s="206" t="n"/>
      <c r="S137" s="206" t="n"/>
      <c r="T137" s="204">
        <f>SUM(F137:S137)</f>
        <v/>
      </c>
      <c r="U137" s="207">
        <f>(HLOOKUP(B137,F:T,A137,FALSE)/T137)</f>
        <v/>
      </c>
      <c r="V137" s="189" t="n"/>
      <c r="W137" s="163">
        <f>YEAR(C137)</f>
        <v/>
      </c>
      <c r="X137" s="116">
        <f>MONTH(C137)</f>
        <v/>
      </c>
      <c r="Y137" s="116">
        <f>WEEKNUM(C137,21)</f>
        <v/>
      </c>
      <c r="Z137" s="122" t="n"/>
      <c r="AA137" s="122" t="n"/>
      <c r="AB137" s="122" t="n"/>
      <c r="AC137" s="122" t="n"/>
      <c r="AD137" s="122" t="n"/>
      <c r="AE137" s="122">
        <f>IFERROR(K137/$T137,0)</f>
        <v/>
      </c>
      <c r="AF137" s="122">
        <f>IFERROR(L137/$T137,0)</f>
        <v/>
      </c>
      <c r="AG137" s="122" t="n"/>
      <c r="AH137" s="122" t="n"/>
      <c r="AI137" s="122" t="n"/>
      <c r="AJ137" s="122" t="n"/>
      <c r="AK137" s="122" t="n"/>
      <c r="AL137" s="122" t="n"/>
      <c r="AM137" s="122" t="n"/>
      <c r="AN137" s="122">
        <f>SUM(Z137:AC137)</f>
        <v/>
      </c>
      <c r="AO137" s="122">
        <f>SUM(AD137:AL137)</f>
        <v/>
      </c>
      <c r="AP137" s="122">
        <f>SUM(AM137,AB137)</f>
        <v/>
      </c>
      <c r="AQ137" s="122">
        <f>SUM(AA137)</f>
        <v/>
      </c>
      <c r="AR137" s="121">
        <f>(AP137+AQ137)-3%</f>
        <v/>
      </c>
      <c r="AS137" s="122">
        <f>SUM(AO137+AM137)</f>
        <v/>
      </c>
      <c r="AT137" s="122">
        <f>SUM(AH137+AN137)</f>
        <v/>
      </c>
      <c r="AU137" s="122">
        <f>SUM(AN137+AO137)</f>
        <v/>
      </c>
      <c r="AV137" s="122">
        <f>SUM(AN137+AD137+AE137+AF137+AG137+AH137+AJ137+AK137+AL137)</f>
        <v/>
      </c>
      <c r="AW137" s="122">
        <f>SUM(AD137+AE137+AF137+AG137+AI137+AJ137+AK137+AL137)</f>
        <v/>
      </c>
    </row>
    <row r="138" ht="14.1" customHeight="1" s="259">
      <c r="A138" s="174">
        <f>A137+1</f>
        <v/>
      </c>
      <c r="B138" s="199" t="n"/>
      <c r="C138" s="200" t="n"/>
      <c r="D138" s="199" t="n"/>
      <c r="E138" s="201" t="n"/>
      <c r="F138" s="201" t="n"/>
      <c r="G138" s="201" t="n"/>
      <c r="H138" s="201" t="n"/>
      <c r="I138" s="201" t="n"/>
      <c r="J138" s="201" t="n"/>
      <c r="K138" s="201" t="n"/>
      <c r="L138" s="201" t="n"/>
      <c r="M138" s="201" t="n"/>
      <c r="N138" s="201" t="n"/>
      <c r="O138" s="201" t="n"/>
      <c r="P138" s="201" t="n"/>
      <c r="Q138" s="201" t="n"/>
      <c r="R138" s="201" t="n"/>
      <c r="S138" s="201" t="n"/>
      <c r="T138" s="199">
        <f>SUM(F138:S138)</f>
        <v/>
      </c>
      <c r="U138" s="202">
        <f>(HLOOKUP(B138,F:T,A138,FALSE)/T138)</f>
        <v/>
      </c>
      <c r="V138" s="189" t="n"/>
      <c r="W138" s="163">
        <f>YEAR(C138)</f>
        <v/>
      </c>
      <c r="X138" s="116">
        <f>MONTH(C138)</f>
        <v/>
      </c>
      <c r="Y138" s="116">
        <f>WEEKNUM(C138,21)</f>
        <v/>
      </c>
      <c r="Z138" s="122" t="n"/>
      <c r="AA138" s="122" t="n"/>
      <c r="AB138" s="122" t="n"/>
      <c r="AC138" s="122" t="n"/>
      <c r="AD138" s="122" t="n"/>
      <c r="AE138" s="122">
        <f>IFERROR(K138/$T138,0)</f>
        <v/>
      </c>
      <c r="AF138" s="122">
        <f>IFERROR(L138/$T138,0)</f>
        <v/>
      </c>
      <c r="AG138" s="122" t="n"/>
      <c r="AH138" s="122" t="n"/>
      <c r="AI138" s="122" t="n"/>
      <c r="AJ138" s="122" t="n"/>
      <c r="AK138" s="122" t="n"/>
      <c r="AL138" s="122" t="n"/>
      <c r="AM138" s="122" t="n"/>
      <c r="AN138" s="122">
        <f>SUM(Z138:AC138)</f>
        <v/>
      </c>
      <c r="AO138" s="122">
        <f>SUM(AD138:AL138)</f>
        <v/>
      </c>
      <c r="AP138" s="122">
        <f>SUM(AM138,AB138)</f>
        <v/>
      </c>
      <c r="AQ138" s="122">
        <f>SUM(AA138)</f>
        <v/>
      </c>
      <c r="AR138" s="121">
        <f>(AP138+AQ138)-3%</f>
        <v/>
      </c>
      <c r="AS138" s="122">
        <f>SUM(AO138+AM138)</f>
        <v/>
      </c>
      <c r="AT138" s="122">
        <f>SUM(AH138+AN138)</f>
        <v/>
      </c>
      <c r="AU138" s="122">
        <f>SUM(AN138+AO138)</f>
        <v/>
      </c>
      <c r="AV138" s="122">
        <f>SUM(AN138+AD138+AE138+AF138+AG138+AH138+AJ138+AK138+AL138)</f>
        <v/>
      </c>
      <c r="AW138" s="122">
        <f>SUM(AD138+AE138+AF138+AG138+AI138+AJ138+AK138+AL138)</f>
        <v/>
      </c>
    </row>
    <row r="139" ht="14.1" customHeight="1" s="259">
      <c r="A139" s="174">
        <f>A138+1</f>
        <v/>
      </c>
      <c r="B139" s="199" t="n"/>
      <c r="C139" s="200" t="n"/>
      <c r="D139" s="199" t="n"/>
      <c r="E139" s="201" t="n"/>
      <c r="F139" s="201" t="n"/>
      <c r="G139" s="201" t="n"/>
      <c r="H139" s="201" t="n"/>
      <c r="I139" s="201" t="n"/>
      <c r="J139" s="201" t="n"/>
      <c r="K139" s="201" t="n"/>
      <c r="L139" s="201" t="n"/>
      <c r="M139" s="201" t="n"/>
      <c r="N139" s="201" t="n"/>
      <c r="O139" s="201" t="n"/>
      <c r="P139" s="201" t="n"/>
      <c r="Q139" s="201" t="n"/>
      <c r="R139" s="201" t="n"/>
      <c r="S139" s="201" t="n"/>
      <c r="T139" s="199">
        <f>SUM(F139:S139)</f>
        <v/>
      </c>
      <c r="U139" s="202">
        <f>(HLOOKUP(B139,F:T,A139,FALSE)/T139)</f>
        <v/>
      </c>
      <c r="V139" s="189" t="n"/>
      <c r="W139" s="163">
        <f>YEAR(C139)</f>
        <v/>
      </c>
      <c r="X139" s="116">
        <f>MONTH(C139)</f>
        <v/>
      </c>
      <c r="Y139" s="116">
        <f>WEEKNUM(C139,21)</f>
        <v/>
      </c>
      <c r="Z139" s="122" t="n"/>
      <c r="AA139" s="122" t="n"/>
      <c r="AB139" s="122" t="n"/>
      <c r="AC139" s="122" t="n"/>
      <c r="AD139" s="122" t="n"/>
      <c r="AE139" s="122">
        <f>IFERROR(K139/$T139,0)</f>
        <v/>
      </c>
      <c r="AF139" s="122">
        <f>IFERROR(L139/$T139,0)</f>
        <v/>
      </c>
      <c r="AG139" s="122" t="n"/>
      <c r="AH139" s="122" t="n"/>
      <c r="AI139" s="122" t="n"/>
      <c r="AJ139" s="122" t="n"/>
      <c r="AK139" s="122" t="n"/>
      <c r="AL139" s="122" t="n"/>
      <c r="AM139" s="122" t="n"/>
      <c r="AN139" s="122">
        <f>SUM(Z139:AC139)</f>
        <v/>
      </c>
      <c r="AO139" s="122">
        <f>SUM(AD139:AL139)</f>
        <v/>
      </c>
      <c r="AP139" s="122">
        <f>SUM(AM139,AB139)</f>
        <v/>
      </c>
      <c r="AQ139" s="122">
        <f>SUM(AA139)</f>
        <v/>
      </c>
      <c r="AR139" s="121">
        <f>(AP139+AQ139)-3%</f>
        <v/>
      </c>
      <c r="AS139" s="122">
        <f>SUM(AO139+AM139)</f>
        <v/>
      </c>
      <c r="AT139" s="122">
        <f>SUM(AH139+AN139)</f>
        <v/>
      </c>
      <c r="AU139" s="122">
        <f>SUM(AN139+AO139)</f>
        <v/>
      </c>
      <c r="AV139" s="122">
        <f>SUM(AN139+AD139+AE139+AF139+AG139+AH139+AJ139+AK139+AL139)</f>
        <v/>
      </c>
      <c r="AW139" s="122">
        <f>SUM(AD139+AE139+AF139+AG139+AI139+AJ139+AK139+AL139)</f>
        <v/>
      </c>
    </row>
    <row r="140" ht="14.1" customHeight="1" s="259">
      <c r="A140" s="174">
        <f>A139+1</f>
        <v/>
      </c>
      <c r="B140" s="204" t="n"/>
      <c r="C140" s="205" t="n"/>
      <c r="D140" s="204" t="n"/>
      <c r="E140" s="206" t="n"/>
      <c r="F140" s="206" t="n"/>
      <c r="G140" s="206" t="n"/>
      <c r="H140" s="206" t="n"/>
      <c r="I140" s="206" t="n"/>
      <c r="J140" s="206" t="n"/>
      <c r="K140" s="206" t="n"/>
      <c r="L140" s="206" t="n"/>
      <c r="M140" s="206" t="n"/>
      <c r="N140" s="206" t="n"/>
      <c r="O140" s="206" t="n"/>
      <c r="P140" s="206" t="n"/>
      <c r="Q140" s="206" t="n"/>
      <c r="R140" s="206" t="n"/>
      <c r="S140" s="206" t="n"/>
      <c r="T140" s="204">
        <f>SUM(F140:S140)</f>
        <v/>
      </c>
      <c r="U140" s="207">
        <f>(HLOOKUP(B140,F:T,A140,FALSE)/T140)</f>
        <v/>
      </c>
      <c r="V140" s="189" t="n"/>
      <c r="W140" s="163">
        <f>YEAR(C140)</f>
        <v/>
      </c>
      <c r="X140" s="116">
        <f>MONTH(C140)</f>
        <v/>
      </c>
      <c r="Y140" s="116">
        <f>WEEKNUM(C140,21)</f>
        <v/>
      </c>
      <c r="Z140" s="122" t="n"/>
      <c r="AA140" s="122" t="n"/>
      <c r="AB140" s="122" t="n"/>
      <c r="AC140" s="122" t="n"/>
      <c r="AD140" s="122" t="n"/>
      <c r="AE140" s="122">
        <f>IFERROR(K140/$T140,0)</f>
        <v/>
      </c>
      <c r="AF140" s="122">
        <f>IFERROR(L140/$T140,0)</f>
        <v/>
      </c>
      <c r="AG140" s="122" t="n"/>
      <c r="AH140" s="122" t="n"/>
      <c r="AI140" s="122" t="n"/>
      <c r="AJ140" s="122" t="n"/>
      <c r="AK140" s="122" t="n"/>
      <c r="AL140" s="122" t="n"/>
      <c r="AM140" s="122" t="n"/>
      <c r="AN140" s="122">
        <f>SUM(Z140:AC140)</f>
        <v/>
      </c>
      <c r="AO140" s="122">
        <f>SUM(AD140:AL140)</f>
        <v/>
      </c>
      <c r="AP140" s="122">
        <f>SUM(AM140,AB140)</f>
        <v/>
      </c>
      <c r="AQ140" s="122">
        <f>SUM(AA140)</f>
        <v/>
      </c>
      <c r="AR140" s="121">
        <f>(AP140+AQ140)-3%</f>
        <v/>
      </c>
      <c r="AS140" s="122">
        <f>SUM(AO140+AM140)</f>
        <v/>
      </c>
      <c r="AT140" s="122">
        <f>SUM(AH140+AN140)</f>
        <v/>
      </c>
      <c r="AU140" s="122">
        <f>SUM(AN140+AO140)</f>
        <v/>
      </c>
      <c r="AV140" s="122">
        <f>SUM(AN140+AD140+AE140+AF140+AG140+AH140+AJ140+AK140+AL140)</f>
        <v/>
      </c>
      <c r="AW140" s="122">
        <f>SUM(AD140+AE140+AF140+AG140+AI140+AJ140+AK140+AL140)</f>
        <v/>
      </c>
    </row>
    <row r="141" ht="14.1" customHeight="1" s="259">
      <c r="A141" s="174">
        <f>A140+1</f>
        <v/>
      </c>
      <c r="B141" s="204" t="n"/>
      <c r="C141" s="205" t="n"/>
      <c r="D141" s="204" t="n"/>
      <c r="E141" s="206" t="n"/>
      <c r="F141" s="206" t="n"/>
      <c r="G141" s="206" t="n"/>
      <c r="H141" s="206" t="n"/>
      <c r="I141" s="206" t="n"/>
      <c r="J141" s="206" t="n"/>
      <c r="K141" s="206" t="n"/>
      <c r="L141" s="206" t="n"/>
      <c r="M141" s="206" t="n"/>
      <c r="N141" s="206" t="n"/>
      <c r="O141" s="206" t="n"/>
      <c r="P141" s="206" t="n"/>
      <c r="Q141" s="206" t="n"/>
      <c r="R141" s="206" t="n"/>
      <c r="S141" s="206" t="n"/>
      <c r="T141" s="204">
        <f>SUM(F141:S141)</f>
        <v/>
      </c>
      <c r="U141" s="207">
        <f>(HLOOKUP(B141,F:T,A141,FALSE)/T141)</f>
        <v/>
      </c>
      <c r="V141" s="189" t="n"/>
      <c r="W141" s="163">
        <f>YEAR(C141)</f>
        <v/>
      </c>
      <c r="X141" s="116">
        <f>MONTH(C141)</f>
        <v/>
      </c>
      <c r="Y141" s="116">
        <f>WEEKNUM(C141,21)</f>
        <v/>
      </c>
      <c r="Z141" s="122" t="n"/>
      <c r="AA141" s="122" t="n"/>
      <c r="AB141" s="122" t="n"/>
      <c r="AC141" s="122" t="n"/>
      <c r="AD141" s="122" t="n"/>
      <c r="AE141" s="122">
        <f>IFERROR(K141/$T141,0)</f>
        <v/>
      </c>
      <c r="AF141" s="122">
        <f>IFERROR(L141/$T141,0)</f>
        <v/>
      </c>
      <c r="AG141" s="122" t="n"/>
      <c r="AH141" s="122" t="n"/>
      <c r="AI141" s="122" t="n"/>
      <c r="AJ141" s="122" t="n"/>
      <c r="AK141" s="122" t="n"/>
      <c r="AL141" s="122" t="n"/>
      <c r="AM141" s="122" t="n"/>
      <c r="AN141" s="122">
        <f>SUM(Z141:AC141)</f>
        <v/>
      </c>
      <c r="AO141" s="122">
        <f>SUM(AD141:AL141)</f>
        <v/>
      </c>
      <c r="AP141" s="122">
        <f>SUM(AM141,AB141)</f>
        <v/>
      </c>
      <c r="AQ141" s="122">
        <f>SUM(AA141)</f>
        <v/>
      </c>
      <c r="AR141" s="121">
        <f>(AP141+AQ141)-3%</f>
        <v/>
      </c>
      <c r="AS141" s="122">
        <f>SUM(AO141+AM141)</f>
        <v/>
      </c>
      <c r="AT141" s="122">
        <f>SUM(AH141+AN141)</f>
        <v/>
      </c>
      <c r="AU141" s="122">
        <f>SUM(AN141+AO141)</f>
        <v/>
      </c>
      <c r="AV141" s="122">
        <f>SUM(AN141+AD141+AE141+AF141+AG141+AH141+AJ141+AK141+AL141)</f>
        <v/>
      </c>
      <c r="AW141" s="122">
        <f>SUM(AD141+AE141+AF141+AG141+AI141+AJ141+AK141+AL141)</f>
        <v/>
      </c>
    </row>
    <row r="142" ht="14.1" customHeight="1" s="259">
      <c r="A142" s="174">
        <f>A141+1</f>
        <v/>
      </c>
      <c r="B142" s="204" t="n"/>
      <c r="C142" s="205" t="n"/>
      <c r="D142" s="204" t="n"/>
      <c r="E142" s="206" t="n"/>
      <c r="F142" s="206" t="n"/>
      <c r="G142" s="206" t="n"/>
      <c r="H142" s="206" t="n"/>
      <c r="I142" s="206" t="n"/>
      <c r="J142" s="206" t="n"/>
      <c r="K142" s="206" t="n"/>
      <c r="L142" s="206" t="n"/>
      <c r="M142" s="206" t="n"/>
      <c r="N142" s="206" t="n"/>
      <c r="O142" s="206" t="n"/>
      <c r="P142" s="206" t="n"/>
      <c r="Q142" s="206" t="n"/>
      <c r="R142" s="206" t="n"/>
      <c r="S142" s="206" t="n"/>
      <c r="T142" s="204">
        <f>SUM(F142:S142)</f>
        <v/>
      </c>
      <c r="U142" s="207">
        <f>(HLOOKUP(B142,F:T,A142,FALSE)/T142)</f>
        <v/>
      </c>
      <c r="V142" s="189" t="n"/>
      <c r="W142" s="163">
        <f>YEAR(C142)</f>
        <v/>
      </c>
      <c r="X142" s="116">
        <f>MONTH(C142)</f>
        <v/>
      </c>
      <c r="Y142" s="116">
        <f>WEEKNUM(C142,21)</f>
        <v/>
      </c>
      <c r="Z142" s="122" t="n"/>
      <c r="AA142" s="122" t="n"/>
      <c r="AB142" s="122" t="n"/>
      <c r="AC142" s="122" t="n"/>
      <c r="AD142" s="122" t="n"/>
      <c r="AE142" s="122">
        <f>IFERROR(K142/$T142,0)</f>
        <v/>
      </c>
      <c r="AF142" s="122">
        <f>IFERROR(L142/$T142,0)</f>
        <v/>
      </c>
      <c r="AG142" s="122" t="n"/>
      <c r="AH142" s="122" t="n"/>
      <c r="AI142" s="122" t="n"/>
      <c r="AJ142" s="122" t="n"/>
      <c r="AK142" s="122" t="n"/>
      <c r="AL142" s="122" t="n"/>
      <c r="AM142" s="122" t="n"/>
      <c r="AN142" s="122">
        <f>SUM(Z142:AC142)</f>
        <v/>
      </c>
      <c r="AO142" s="122">
        <f>SUM(AD142:AL142)</f>
        <v/>
      </c>
      <c r="AP142" s="122">
        <f>SUM(AM142,AB142)</f>
        <v/>
      </c>
      <c r="AQ142" s="122">
        <f>SUM(AA142)</f>
        <v/>
      </c>
      <c r="AR142" s="121">
        <f>(AP142+AQ142)-3%</f>
        <v/>
      </c>
      <c r="AS142" s="122">
        <f>SUM(AO142+AM142)</f>
        <v/>
      </c>
      <c r="AT142" s="122">
        <f>SUM(AH142+AN142)</f>
        <v/>
      </c>
      <c r="AU142" s="122">
        <f>SUM(AN142+AO142)</f>
        <v/>
      </c>
      <c r="AV142" s="122">
        <f>SUM(AN142+AD142+AE142+AF142+AG142+AH142+AJ142+AK142+AL142)</f>
        <v/>
      </c>
      <c r="AW142" s="122">
        <f>SUM(AD142+AE142+AF142+AG142+AI142+AJ142+AK142+AL142)</f>
        <v/>
      </c>
    </row>
    <row r="143" ht="14.1" customHeight="1" s="259">
      <c r="A143" s="174">
        <f>A142+1</f>
        <v/>
      </c>
      <c r="B143" s="204" t="n"/>
      <c r="C143" s="205" t="n"/>
      <c r="D143" s="204" t="n"/>
      <c r="E143" s="206" t="n"/>
      <c r="F143" s="206" t="n"/>
      <c r="G143" s="206" t="n"/>
      <c r="H143" s="206" t="n"/>
      <c r="I143" s="206" t="n"/>
      <c r="J143" s="206" t="n"/>
      <c r="K143" s="206" t="n"/>
      <c r="L143" s="206" t="n"/>
      <c r="M143" s="206" t="n"/>
      <c r="N143" s="206" t="n"/>
      <c r="O143" s="206" t="n"/>
      <c r="P143" s="206" t="n"/>
      <c r="Q143" s="206" t="n"/>
      <c r="R143" s="206" t="n"/>
      <c r="S143" s="206" t="n"/>
      <c r="T143" s="204">
        <f>SUM(F143:S143)</f>
        <v/>
      </c>
      <c r="U143" s="207">
        <f>(HLOOKUP(B143,F:T,A143,FALSE)/T143)</f>
        <v/>
      </c>
      <c r="V143" s="189" t="n"/>
      <c r="W143" s="163">
        <f>YEAR(C143)</f>
        <v/>
      </c>
      <c r="X143" s="116">
        <f>MONTH(C143)</f>
        <v/>
      </c>
      <c r="Y143" s="116">
        <f>WEEKNUM(C143,21)</f>
        <v/>
      </c>
      <c r="Z143" s="122" t="n"/>
      <c r="AA143" s="122" t="n"/>
      <c r="AB143" s="122" t="n"/>
      <c r="AC143" s="122" t="n"/>
      <c r="AD143" s="122" t="n"/>
      <c r="AE143" s="122">
        <f>IFERROR(K143/$T143,0)</f>
        <v/>
      </c>
      <c r="AF143" s="122">
        <f>IFERROR(L143/$T143,0)</f>
        <v/>
      </c>
      <c r="AG143" s="122" t="n"/>
      <c r="AH143" s="122" t="n"/>
      <c r="AI143" s="122" t="n"/>
      <c r="AJ143" s="122" t="n"/>
      <c r="AK143" s="122" t="n"/>
      <c r="AL143" s="122" t="n"/>
      <c r="AM143" s="122" t="n"/>
      <c r="AN143" s="122">
        <f>SUM(Z143:AC143)</f>
        <v/>
      </c>
      <c r="AO143" s="122">
        <f>SUM(AD143:AL143)</f>
        <v/>
      </c>
      <c r="AP143" s="122">
        <f>SUM(AM143,AB143)</f>
        <v/>
      </c>
      <c r="AQ143" s="122">
        <f>SUM(AA143)</f>
        <v/>
      </c>
      <c r="AR143" s="121">
        <f>(AP143+AQ143)-3%</f>
        <v/>
      </c>
      <c r="AS143" s="122">
        <f>SUM(AO143+AM143)</f>
        <v/>
      </c>
      <c r="AT143" s="122">
        <f>SUM(AH143+AN143)</f>
        <v/>
      </c>
      <c r="AU143" s="122">
        <f>SUM(AN143+AO143)</f>
        <v/>
      </c>
      <c r="AV143" s="122">
        <f>SUM(AN143+AD143+AE143+AF143+AG143+AH143+AJ143+AK143+AL143)</f>
        <v/>
      </c>
      <c r="AW143" s="122">
        <f>SUM(AD143+AE143+AF143+AG143+AI143+AJ143+AK143+AL143)</f>
        <v/>
      </c>
    </row>
    <row r="144" ht="14.1" customHeight="1" s="259">
      <c r="A144" s="174">
        <f>A143+1</f>
        <v/>
      </c>
      <c r="B144" s="204" t="n"/>
      <c r="C144" s="205" t="n"/>
      <c r="D144" s="204" t="n"/>
      <c r="E144" s="206" t="n"/>
      <c r="F144" s="206" t="n"/>
      <c r="G144" s="206" t="n"/>
      <c r="H144" s="206" t="n"/>
      <c r="I144" s="206" t="n"/>
      <c r="J144" s="206" t="n"/>
      <c r="K144" s="206" t="n"/>
      <c r="L144" s="206" t="n"/>
      <c r="M144" s="206" t="n"/>
      <c r="N144" s="206" t="n"/>
      <c r="O144" s="206" t="n"/>
      <c r="P144" s="206" t="n"/>
      <c r="Q144" s="206" t="n"/>
      <c r="R144" s="206" t="n"/>
      <c r="S144" s="206" t="n"/>
      <c r="T144" s="204">
        <f>SUM(F144:S144)</f>
        <v/>
      </c>
      <c r="U144" s="207">
        <f>(HLOOKUP(B144,F:T,A144,FALSE)/T144)</f>
        <v/>
      </c>
      <c r="V144" s="189" t="n"/>
      <c r="W144" s="163">
        <f>YEAR(C144)</f>
        <v/>
      </c>
      <c r="X144" s="116">
        <f>MONTH(C144)</f>
        <v/>
      </c>
      <c r="Y144" s="116">
        <f>WEEKNUM(C144,21)</f>
        <v/>
      </c>
      <c r="Z144" s="122" t="n"/>
      <c r="AA144" s="122" t="n"/>
      <c r="AB144" s="122" t="n"/>
      <c r="AC144" s="122" t="n"/>
      <c r="AD144" s="122" t="n"/>
      <c r="AE144" s="122">
        <f>IFERROR(K144/$T144,0)</f>
        <v/>
      </c>
      <c r="AF144" s="122">
        <f>IFERROR(L144/$T144,0)</f>
        <v/>
      </c>
      <c r="AG144" s="122" t="n"/>
      <c r="AH144" s="122" t="n"/>
      <c r="AI144" s="122" t="n"/>
      <c r="AJ144" s="122" t="n"/>
      <c r="AK144" s="122" t="n"/>
      <c r="AL144" s="122" t="n"/>
      <c r="AM144" s="122" t="n"/>
      <c r="AN144" s="122">
        <f>SUM(Z144:AC144)</f>
        <v/>
      </c>
      <c r="AO144" s="122">
        <f>SUM(AD144:AL144)</f>
        <v/>
      </c>
      <c r="AP144" s="122">
        <f>SUM(AM144,AB144)</f>
        <v/>
      </c>
      <c r="AQ144" s="122">
        <f>SUM(AA144)</f>
        <v/>
      </c>
      <c r="AR144" s="121">
        <f>(AP144+AQ144)-3%</f>
        <v/>
      </c>
      <c r="AS144" s="122">
        <f>SUM(AO144+AM144)</f>
        <v/>
      </c>
      <c r="AT144" s="122">
        <f>SUM(AH144+AN144)</f>
        <v/>
      </c>
      <c r="AU144" s="122">
        <f>SUM(AN144+AO144)</f>
        <v/>
      </c>
      <c r="AV144" s="122">
        <f>SUM(AN144+AD144+AE144+AF144+AG144+AH144+AJ144+AK144+AL144)</f>
        <v/>
      </c>
      <c r="AW144" s="122">
        <f>SUM(AD144+AE144+AF144+AG144+AI144+AJ144+AK144+AL144)</f>
        <v/>
      </c>
    </row>
    <row r="145" ht="14.1" customHeight="1" s="259">
      <c r="A145" s="174">
        <f>A144+1</f>
        <v/>
      </c>
      <c r="B145" s="204" t="n"/>
      <c r="C145" s="205" t="n"/>
      <c r="D145" s="204" t="n"/>
      <c r="E145" s="206" t="n"/>
      <c r="F145" s="206" t="n"/>
      <c r="G145" s="206" t="n"/>
      <c r="H145" s="206" t="n"/>
      <c r="I145" s="206" t="n"/>
      <c r="J145" s="206" t="n"/>
      <c r="K145" s="206" t="n"/>
      <c r="L145" s="206" t="n"/>
      <c r="M145" s="206" t="n"/>
      <c r="N145" s="206" t="n"/>
      <c r="O145" s="206" t="n"/>
      <c r="P145" s="206" t="n"/>
      <c r="Q145" s="206" t="n"/>
      <c r="R145" s="206" t="n"/>
      <c r="S145" s="206" t="n"/>
      <c r="T145" s="204">
        <f>SUM(F145:S145)</f>
        <v/>
      </c>
      <c r="U145" s="207">
        <f>(HLOOKUP(B145,F:T,A145,FALSE)/T145)</f>
        <v/>
      </c>
      <c r="V145" s="189" t="n"/>
      <c r="W145" s="163">
        <f>YEAR(C145)</f>
        <v/>
      </c>
      <c r="X145" s="116">
        <f>MONTH(C145)</f>
        <v/>
      </c>
      <c r="Y145" s="116">
        <f>WEEKNUM(C145,21)</f>
        <v/>
      </c>
      <c r="Z145" s="122" t="n"/>
      <c r="AA145" s="122" t="n"/>
      <c r="AB145" s="122" t="n"/>
      <c r="AC145" s="122" t="n"/>
      <c r="AD145" s="122" t="n"/>
      <c r="AE145" s="122">
        <f>IFERROR(K145/$T145,0)</f>
        <v/>
      </c>
      <c r="AF145" s="122">
        <f>IFERROR(L145/$T145,0)</f>
        <v/>
      </c>
      <c r="AG145" s="122" t="n"/>
      <c r="AH145" s="122" t="n"/>
      <c r="AI145" s="122" t="n"/>
      <c r="AJ145" s="122" t="n"/>
      <c r="AK145" s="122" t="n"/>
      <c r="AL145" s="122" t="n"/>
      <c r="AM145" s="122" t="n"/>
      <c r="AN145" s="122">
        <f>SUM(Z145:AC145)</f>
        <v/>
      </c>
      <c r="AO145" s="122">
        <f>SUM(AD145:AL145)</f>
        <v/>
      </c>
      <c r="AP145" s="122">
        <f>SUM(AM145,AB145)</f>
        <v/>
      </c>
      <c r="AQ145" s="122">
        <f>SUM(AA145)</f>
        <v/>
      </c>
      <c r="AR145" s="121">
        <f>(AP145+AQ145)-3%</f>
        <v/>
      </c>
      <c r="AS145" s="122">
        <f>SUM(AO145+AM145)</f>
        <v/>
      </c>
      <c r="AT145" s="122">
        <f>SUM(AH145+AN145)</f>
        <v/>
      </c>
      <c r="AU145" s="122">
        <f>SUM(AN145+AO145)</f>
        <v/>
      </c>
      <c r="AV145" s="122">
        <f>SUM(AN145+AD145+AE145+AF145+AG145+AH145+AJ145+AK145+AL145)</f>
        <v/>
      </c>
      <c r="AW145" s="122">
        <f>SUM(AD145+AE145+AF145+AG145+AI145+AJ145+AK145+AL145)</f>
        <v/>
      </c>
    </row>
    <row r="146" ht="14.1" customHeight="1" s="259">
      <c r="A146" s="174">
        <f>A145+1</f>
        <v/>
      </c>
      <c r="B146" s="204" t="n"/>
      <c r="C146" s="205" t="n"/>
      <c r="D146" s="204" t="n"/>
      <c r="E146" s="206" t="n"/>
      <c r="F146" s="206" t="n"/>
      <c r="G146" s="206" t="n"/>
      <c r="H146" s="206" t="n"/>
      <c r="I146" s="206" t="n"/>
      <c r="J146" s="206" t="n"/>
      <c r="K146" s="206" t="n"/>
      <c r="L146" s="206" t="n"/>
      <c r="M146" s="206" t="n"/>
      <c r="N146" s="206" t="n"/>
      <c r="O146" s="206" t="n"/>
      <c r="P146" s="206" t="n"/>
      <c r="Q146" s="206" t="n"/>
      <c r="R146" s="206" t="n"/>
      <c r="S146" s="206" t="n"/>
      <c r="T146" s="204">
        <f>SUM(F146:S146)</f>
        <v/>
      </c>
      <c r="U146" s="207">
        <f>(HLOOKUP(B146,F:T,A146,FALSE)/T146)</f>
        <v/>
      </c>
      <c r="V146" s="189" t="n"/>
      <c r="W146" s="163">
        <f>YEAR(C146)</f>
        <v/>
      </c>
      <c r="X146" s="116">
        <f>MONTH(C146)</f>
        <v/>
      </c>
      <c r="Y146" s="116">
        <f>WEEKNUM(C146,21)</f>
        <v/>
      </c>
      <c r="Z146" s="122" t="n"/>
      <c r="AA146" s="122" t="n"/>
      <c r="AB146" s="122" t="n"/>
      <c r="AC146" s="122" t="n"/>
      <c r="AD146" s="122" t="n"/>
      <c r="AE146" s="122">
        <f>IFERROR(K146/$T146,0)</f>
        <v/>
      </c>
      <c r="AF146" s="122">
        <f>IFERROR(L146/$T146,0)</f>
        <v/>
      </c>
      <c r="AG146" s="122" t="n"/>
      <c r="AH146" s="122" t="n"/>
      <c r="AI146" s="122" t="n"/>
      <c r="AJ146" s="122" t="n"/>
      <c r="AK146" s="122" t="n"/>
      <c r="AL146" s="122" t="n"/>
      <c r="AM146" s="122" t="n"/>
      <c r="AN146" s="122">
        <f>SUM(Z146:AC146)</f>
        <v/>
      </c>
      <c r="AO146" s="122">
        <f>SUM(AD146:AL146)</f>
        <v/>
      </c>
      <c r="AP146" s="122">
        <f>SUM(AM146,AB146)</f>
        <v/>
      </c>
      <c r="AQ146" s="122">
        <f>SUM(AA146)</f>
        <v/>
      </c>
      <c r="AR146" s="121">
        <f>(AP146+AQ146)-3%</f>
        <v/>
      </c>
      <c r="AS146" s="122">
        <f>SUM(AO146+AM146)</f>
        <v/>
      </c>
      <c r="AT146" s="122">
        <f>SUM(AH146+AN146)</f>
        <v/>
      </c>
      <c r="AU146" s="122">
        <f>SUM(AN146+AO146)</f>
        <v/>
      </c>
      <c r="AV146" s="122">
        <f>SUM(AN146+AD146+AE146+AF146+AG146+AH146+AJ146+AK146+AL146)</f>
        <v/>
      </c>
      <c r="AW146" s="122">
        <f>SUM(AD146+AE146+AF146+AG146+AI146+AJ146+AK146+AL146)</f>
        <v/>
      </c>
    </row>
    <row r="147" ht="14.1" customHeight="1" s="259">
      <c r="A147" s="174">
        <f>A146+1</f>
        <v/>
      </c>
      <c r="B147" s="204" t="n"/>
      <c r="C147" s="205" t="n"/>
      <c r="D147" s="204" t="n"/>
      <c r="E147" s="206" t="n"/>
      <c r="F147" s="206" t="n"/>
      <c r="G147" s="206" t="n"/>
      <c r="H147" s="206" t="n"/>
      <c r="I147" s="206" t="n"/>
      <c r="J147" s="206" t="n"/>
      <c r="K147" s="206" t="n"/>
      <c r="L147" s="206" t="n"/>
      <c r="M147" s="206" t="n"/>
      <c r="N147" s="206" t="n"/>
      <c r="O147" s="206" t="n"/>
      <c r="P147" s="206" t="n"/>
      <c r="Q147" s="206" t="n"/>
      <c r="R147" s="206" t="n"/>
      <c r="S147" s="206" t="n"/>
      <c r="T147" s="204">
        <f>SUM(F147:S147)</f>
        <v/>
      </c>
      <c r="U147" s="207">
        <f>(HLOOKUP(B147,F:T,A147,FALSE)/T147)</f>
        <v/>
      </c>
      <c r="V147" s="189" t="n"/>
      <c r="W147" s="163">
        <f>YEAR(C147)</f>
        <v/>
      </c>
      <c r="X147" s="116">
        <f>MONTH(C147)</f>
        <v/>
      </c>
      <c r="Y147" s="116">
        <f>WEEKNUM(C147,21)</f>
        <v/>
      </c>
      <c r="Z147" s="122" t="n"/>
      <c r="AA147" s="122" t="n"/>
      <c r="AB147" s="122" t="n"/>
      <c r="AC147" s="122" t="n"/>
      <c r="AD147" s="122" t="n"/>
      <c r="AE147" s="122">
        <f>IFERROR(K147/$T147,0)</f>
        <v/>
      </c>
      <c r="AF147" s="122">
        <f>IFERROR(L147/$T147,0)</f>
        <v/>
      </c>
      <c r="AG147" s="122" t="n"/>
      <c r="AH147" s="122" t="n"/>
      <c r="AI147" s="122" t="n"/>
      <c r="AJ147" s="122" t="n"/>
      <c r="AK147" s="122" t="n"/>
      <c r="AL147" s="122" t="n"/>
      <c r="AM147" s="122" t="n"/>
      <c r="AN147" s="122">
        <f>SUM(Z147:AC147)</f>
        <v/>
      </c>
      <c r="AO147" s="122">
        <f>SUM(AD147:AL147)</f>
        <v/>
      </c>
      <c r="AP147" s="122">
        <f>SUM(AM147,AB147)</f>
        <v/>
      </c>
      <c r="AQ147" s="122">
        <f>SUM(AA147)</f>
        <v/>
      </c>
      <c r="AR147" s="121">
        <f>(AP147+AQ147)-3%</f>
        <v/>
      </c>
      <c r="AS147" s="122">
        <f>SUM(AO147+AM147)</f>
        <v/>
      </c>
      <c r="AT147" s="122">
        <f>SUM(AH147+AN147)</f>
        <v/>
      </c>
      <c r="AU147" s="122">
        <f>SUM(AN147+AO147)</f>
        <v/>
      </c>
      <c r="AV147" s="122">
        <f>SUM(AN147+AD147+AE147+AF147+AG147+AH147+AJ147+AK147+AL147)</f>
        <v/>
      </c>
      <c r="AW147" s="122">
        <f>SUM(AD147+AE147+AF147+AG147+AI147+AJ147+AK147+AL147)</f>
        <v/>
      </c>
    </row>
    <row r="148" ht="14.1" customHeight="1" s="259">
      <c r="A148" s="174">
        <f>A147+1</f>
        <v/>
      </c>
      <c r="B148" s="204" t="n"/>
      <c r="C148" s="205" t="n"/>
      <c r="D148" s="204" t="n"/>
      <c r="E148" s="206" t="n"/>
      <c r="F148" s="206" t="n"/>
      <c r="G148" s="206" t="n"/>
      <c r="H148" s="206" t="n"/>
      <c r="I148" s="206" t="n"/>
      <c r="J148" s="206" t="n"/>
      <c r="K148" s="206" t="n"/>
      <c r="L148" s="206" t="n"/>
      <c r="M148" s="206" t="n"/>
      <c r="N148" s="206" t="n"/>
      <c r="O148" s="206" t="n"/>
      <c r="P148" s="206" t="n"/>
      <c r="Q148" s="206" t="n"/>
      <c r="R148" s="206" t="n"/>
      <c r="S148" s="206" t="n"/>
      <c r="T148" s="204">
        <f>SUM(F148:S148)</f>
        <v/>
      </c>
      <c r="U148" s="207">
        <f>(HLOOKUP(B148,F:T,A148,FALSE)/T148)</f>
        <v/>
      </c>
      <c r="V148" s="189" t="n"/>
      <c r="W148" s="163">
        <f>YEAR(C148)</f>
        <v/>
      </c>
      <c r="X148" s="116">
        <f>MONTH(C148)</f>
        <v/>
      </c>
      <c r="Y148" s="116">
        <f>WEEKNUM(C148,21)</f>
        <v/>
      </c>
      <c r="Z148" s="122" t="n"/>
      <c r="AA148" s="122" t="n"/>
      <c r="AB148" s="122" t="n"/>
      <c r="AC148" s="122" t="n"/>
      <c r="AD148" s="122" t="n"/>
      <c r="AE148" s="122">
        <f>IFERROR(K148/$T148,0)</f>
        <v/>
      </c>
      <c r="AF148" s="122">
        <f>IFERROR(L148/$T148,0)</f>
        <v/>
      </c>
      <c r="AG148" s="122" t="n"/>
      <c r="AH148" s="122" t="n"/>
      <c r="AI148" s="122" t="n"/>
      <c r="AJ148" s="122" t="n"/>
      <c r="AK148" s="122" t="n"/>
      <c r="AL148" s="122" t="n"/>
      <c r="AM148" s="122" t="n"/>
      <c r="AN148" s="122">
        <f>SUM(Z148:AC148)</f>
        <v/>
      </c>
      <c r="AO148" s="122">
        <f>SUM(AD148:AL148)</f>
        <v/>
      </c>
      <c r="AP148" s="122">
        <f>SUM(AM148,AB148)</f>
        <v/>
      </c>
      <c r="AQ148" s="122">
        <f>SUM(AA148)</f>
        <v/>
      </c>
      <c r="AR148" s="121">
        <f>(AP148+AQ148)-3%</f>
        <v/>
      </c>
      <c r="AS148" s="122">
        <f>SUM(AO148+AM148)</f>
        <v/>
      </c>
      <c r="AT148" s="122">
        <f>SUM(AH148+AN148)</f>
        <v/>
      </c>
      <c r="AU148" s="122">
        <f>SUM(AN148+AO148)</f>
        <v/>
      </c>
      <c r="AV148" s="122">
        <f>SUM(AN148+AD148+AE148+AF148+AG148+AH148+AJ148+AK148+AL148)</f>
        <v/>
      </c>
      <c r="AW148" s="122">
        <f>SUM(AD148+AE148+AF148+AG148+AI148+AJ148+AK148+AL148)</f>
        <v/>
      </c>
    </row>
    <row r="149" ht="14.1" customHeight="1" s="259">
      <c r="A149" s="174">
        <f>A148+1</f>
        <v/>
      </c>
      <c r="B149" s="199" t="n"/>
      <c r="C149" s="200" t="n"/>
      <c r="D149" s="199" t="n"/>
      <c r="E149" s="201" t="n"/>
      <c r="F149" s="201" t="n"/>
      <c r="G149" s="201" t="n"/>
      <c r="H149" s="201" t="n"/>
      <c r="I149" s="201" t="n"/>
      <c r="J149" s="201" t="n"/>
      <c r="K149" s="201" t="n"/>
      <c r="L149" s="201" t="n"/>
      <c r="M149" s="201" t="n"/>
      <c r="N149" s="201" t="n"/>
      <c r="O149" s="201" t="n"/>
      <c r="P149" s="201" t="n"/>
      <c r="Q149" s="201" t="n"/>
      <c r="R149" s="201" t="n"/>
      <c r="S149" s="201" t="n"/>
      <c r="T149" s="199">
        <f>SUM(F149:S149)</f>
        <v/>
      </c>
      <c r="U149" s="202">
        <f>(HLOOKUP(B149,F:T,A149,FALSE)/T149)</f>
        <v/>
      </c>
      <c r="V149" s="189" t="n"/>
      <c r="W149" s="163">
        <f>YEAR(C149)</f>
        <v/>
      </c>
      <c r="X149" s="116">
        <f>MONTH(C149)</f>
        <v/>
      </c>
      <c r="Y149" s="116">
        <f>WEEKNUM(C149,21)</f>
        <v/>
      </c>
      <c r="Z149" s="122" t="n"/>
      <c r="AA149" s="122" t="n"/>
      <c r="AB149" s="122" t="n"/>
      <c r="AC149" s="122" t="n"/>
      <c r="AD149" s="122" t="n"/>
      <c r="AE149" s="122">
        <f>IFERROR(K149/$T149,0)</f>
        <v/>
      </c>
      <c r="AF149" s="122">
        <f>IFERROR(L149/$T149,0)</f>
        <v/>
      </c>
      <c r="AG149" s="122" t="n"/>
      <c r="AH149" s="122" t="n"/>
      <c r="AI149" s="122" t="n"/>
      <c r="AJ149" s="122" t="n"/>
      <c r="AK149" s="122" t="n"/>
      <c r="AL149" s="122" t="n"/>
      <c r="AM149" s="122" t="n"/>
      <c r="AN149" s="122">
        <f>SUM(Z149:AC149)</f>
        <v/>
      </c>
      <c r="AO149" s="122">
        <f>SUM(AD149:AL149)</f>
        <v/>
      </c>
      <c r="AP149" s="122">
        <f>SUM(AM149,AB149)</f>
        <v/>
      </c>
      <c r="AQ149" s="122">
        <f>SUM(AA149)</f>
        <v/>
      </c>
      <c r="AR149" s="121">
        <f>(AP149+AQ149)-3%</f>
        <v/>
      </c>
      <c r="AS149" s="122">
        <f>SUM(AO149+AM149)</f>
        <v/>
      </c>
      <c r="AT149" s="122">
        <f>SUM(AH149+AN149)</f>
        <v/>
      </c>
      <c r="AU149" s="122">
        <f>SUM(AN149+AO149)</f>
        <v/>
      </c>
      <c r="AV149" s="122">
        <f>SUM(AN149+AD149+AE149+AF149+AG149+AH149+AJ149+AK149+AL149)</f>
        <v/>
      </c>
      <c r="AW149" s="122">
        <f>SUM(AD149+AE149+AF149+AG149+AI149+AJ149+AK149+AL149)</f>
        <v/>
      </c>
    </row>
    <row r="150" ht="14.1" customHeight="1" s="259">
      <c r="A150" s="174">
        <f>A149+1</f>
        <v/>
      </c>
      <c r="B150" s="199" t="n"/>
      <c r="C150" s="200" t="n"/>
      <c r="D150" s="199" t="n"/>
      <c r="E150" s="201" t="n"/>
      <c r="F150" s="201" t="n"/>
      <c r="G150" s="201" t="n"/>
      <c r="H150" s="201" t="n"/>
      <c r="I150" s="201" t="n"/>
      <c r="J150" s="201" t="n"/>
      <c r="K150" s="201" t="n"/>
      <c r="L150" s="201" t="n"/>
      <c r="M150" s="201" t="n"/>
      <c r="N150" s="201" t="n"/>
      <c r="O150" s="201" t="n"/>
      <c r="P150" s="201" t="n"/>
      <c r="Q150" s="201" t="n"/>
      <c r="R150" s="201" t="n"/>
      <c r="S150" s="201" t="n"/>
      <c r="T150" s="199">
        <f>SUM(F150:S150)</f>
        <v/>
      </c>
      <c r="U150" s="202">
        <f>(HLOOKUP(B150,F:T,A150,FALSE)/T150)</f>
        <v/>
      </c>
      <c r="V150" s="189" t="n"/>
      <c r="W150" s="163">
        <f>YEAR(C150)</f>
        <v/>
      </c>
      <c r="X150" s="116">
        <f>MONTH(C150)</f>
        <v/>
      </c>
      <c r="Y150" s="116">
        <f>WEEKNUM(C150,21)</f>
        <v/>
      </c>
      <c r="Z150" s="122" t="n"/>
      <c r="AA150" s="122" t="n"/>
      <c r="AB150" s="122" t="n"/>
      <c r="AC150" s="122" t="n"/>
      <c r="AD150" s="122" t="n"/>
      <c r="AE150" s="122">
        <f>IFERROR(K150/$T150,0)</f>
        <v/>
      </c>
      <c r="AF150" s="122">
        <f>IFERROR(L150/$T150,0)</f>
        <v/>
      </c>
      <c r="AG150" s="122" t="n"/>
      <c r="AH150" s="122" t="n"/>
      <c r="AI150" s="122" t="n"/>
      <c r="AJ150" s="122" t="n"/>
      <c r="AK150" s="122" t="n"/>
      <c r="AL150" s="122" t="n"/>
      <c r="AM150" s="122" t="n"/>
      <c r="AN150" s="122">
        <f>SUM(Z150:AC150)</f>
        <v/>
      </c>
      <c r="AO150" s="122">
        <f>SUM(AD150:AL150)</f>
        <v/>
      </c>
      <c r="AP150" s="122">
        <f>SUM(AM150,AB150)</f>
        <v/>
      </c>
      <c r="AQ150" s="122">
        <f>SUM(AA150)</f>
        <v/>
      </c>
      <c r="AR150" s="121">
        <f>(AP150+AQ150)-3%</f>
        <v/>
      </c>
      <c r="AS150" s="122">
        <f>SUM(AO150+AM150)</f>
        <v/>
      </c>
      <c r="AT150" s="122">
        <f>SUM(AH150+AN150)</f>
        <v/>
      </c>
      <c r="AU150" s="122">
        <f>SUM(AN150+AO150)</f>
        <v/>
      </c>
      <c r="AV150" s="122">
        <f>SUM(AN150+AD150+AE150+AF150+AG150+AH150+AJ150+AK150+AL150)</f>
        <v/>
      </c>
      <c r="AW150" s="122">
        <f>SUM(AD150+AE150+AF150+AG150+AI150+AJ150+AK150+AL150)</f>
        <v/>
      </c>
    </row>
    <row r="151" ht="14.1" customHeight="1" s="259">
      <c r="A151" s="174">
        <f>A150+1</f>
        <v/>
      </c>
      <c r="B151" s="204" t="n"/>
      <c r="C151" s="205" t="n"/>
      <c r="D151" s="204" t="n"/>
      <c r="E151" s="206" t="n"/>
      <c r="F151" s="206" t="n"/>
      <c r="G151" s="206" t="n"/>
      <c r="H151" s="206" t="n"/>
      <c r="I151" s="206" t="n"/>
      <c r="J151" s="206" t="n"/>
      <c r="K151" s="206" t="n"/>
      <c r="L151" s="206" t="n"/>
      <c r="M151" s="206" t="n"/>
      <c r="N151" s="206" t="n"/>
      <c r="O151" s="206" t="n"/>
      <c r="P151" s="206" t="n"/>
      <c r="Q151" s="206" t="n"/>
      <c r="R151" s="206" t="n"/>
      <c r="S151" s="206" t="n"/>
      <c r="T151" s="204">
        <f>SUM(F151:S151)</f>
        <v/>
      </c>
      <c r="U151" s="207">
        <f>(HLOOKUP(B151,F:T,A151,FALSE)/T151)</f>
        <v/>
      </c>
      <c r="V151" s="189" t="n"/>
      <c r="W151" s="163">
        <f>YEAR(C151)</f>
        <v/>
      </c>
      <c r="X151" s="116">
        <f>MONTH(C151)</f>
        <v/>
      </c>
      <c r="Y151" s="116">
        <f>WEEKNUM(C151,21)</f>
        <v/>
      </c>
      <c r="Z151" s="122" t="n"/>
      <c r="AA151" s="122" t="n"/>
      <c r="AB151" s="122" t="n"/>
      <c r="AC151" s="122" t="n"/>
      <c r="AD151" s="122" t="n"/>
      <c r="AE151" s="122">
        <f>IFERROR(K151/$T151,0)</f>
        <v/>
      </c>
      <c r="AF151" s="122">
        <f>IFERROR(L151/$T151,0)</f>
        <v/>
      </c>
      <c r="AG151" s="122" t="n"/>
      <c r="AH151" s="122" t="n"/>
      <c r="AI151" s="122" t="n"/>
      <c r="AJ151" s="122" t="n"/>
      <c r="AK151" s="122" t="n"/>
      <c r="AL151" s="122" t="n"/>
      <c r="AM151" s="122" t="n"/>
      <c r="AN151" s="122">
        <f>SUM(Z151:AC151)</f>
        <v/>
      </c>
      <c r="AO151" s="122">
        <f>SUM(AD151:AL151)</f>
        <v/>
      </c>
      <c r="AP151" s="122">
        <f>SUM(AM151,AB151)</f>
        <v/>
      </c>
      <c r="AQ151" s="122">
        <f>SUM(AA151)</f>
        <v/>
      </c>
      <c r="AR151" s="121">
        <f>(AP151+AQ151)-3%</f>
        <v/>
      </c>
      <c r="AS151" s="122">
        <f>SUM(AO151+AM151)</f>
        <v/>
      </c>
      <c r="AT151" s="122">
        <f>SUM(AH151+AN151)</f>
        <v/>
      </c>
      <c r="AU151" s="122">
        <f>SUM(AN151+AO151)</f>
        <v/>
      </c>
      <c r="AV151" s="122">
        <f>SUM(AN151+AD151+AE151+AF151+AG151+AH151+AJ151+AK151+AL151)</f>
        <v/>
      </c>
      <c r="AW151" s="122">
        <f>SUM(AD151+AE151+AF151+AG151+AI151+AJ151+AK151+AL151)</f>
        <v/>
      </c>
    </row>
    <row r="152" ht="14.1" customHeight="1" s="259">
      <c r="A152" s="174">
        <f>A151+1</f>
        <v/>
      </c>
      <c r="B152" s="204" t="n"/>
      <c r="C152" s="205" t="n"/>
      <c r="D152" s="204" t="n"/>
      <c r="E152" s="206" t="n"/>
      <c r="F152" s="206" t="n"/>
      <c r="G152" s="206" t="n"/>
      <c r="H152" s="206" t="n"/>
      <c r="I152" s="206" t="n"/>
      <c r="J152" s="206" t="n"/>
      <c r="K152" s="206" t="n"/>
      <c r="L152" s="206" t="n"/>
      <c r="M152" s="206" t="n"/>
      <c r="N152" s="206" t="n"/>
      <c r="O152" s="206" t="n"/>
      <c r="P152" s="206" t="n"/>
      <c r="Q152" s="206" t="n"/>
      <c r="R152" s="206" t="n"/>
      <c r="S152" s="206" t="n"/>
      <c r="T152" s="204">
        <f>SUM(F152:S152)</f>
        <v/>
      </c>
      <c r="U152" s="207">
        <f>(HLOOKUP(B152,F:T,A152,FALSE)/T152)</f>
        <v/>
      </c>
      <c r="V152" s="189" t="n"/>
      <c r="W152" s="163">
        <f>YEAR(C152)</f>
        <v/>
      </c>
      <c r="X152" s="116">
        <f>MONTH(C152)</f>
        <v/>
      </c>
      <c r="Y152" s="116">
        <f>WEEKNUM(C152,21)</f>
        <v/>
      </c>
      <c r="Z152" s="122" t="n"/>
      <c r="AA152" s="122" t="n"/>
      <c r="AB152" s="122" t="n"/>
      <c r="AC152" s="122" t="n"/>
      <c r="AD152" s="122" t="n"/>
      <c r="AE152" s="122">
        <f>IFERROR(K152/$T152,0)</f>
        <v/>
      </c>
      <c r="AF152" s="122">
        <f>IFERROR(L152/$T152,0)</f>
        <v/>
      </c>
      <c r="AG152" s="122" t="n"/>
      <c r="AH152" s="122" t="n"/>
      <c r="AI152" s="122" t="n"/>
      <c r="AJ152" s="122" t="n"/>
      <c r="AK152" s="122" t="n"/>
      <c r="AL152" s="122" t="n"/>
      <c r="AM152" s="122" t="n"/>
      <c r="AN152" s="122">
        <f>SUM(Z152:AC152)</f>
        <v/>
      </c>
      <c r="AO152" s="122">
        <f>SUM(AD152:AL152)</f>
        <v/>
      </c>
      <c r="AP152" s="122">
        <f>SUM(AM152,AB152)</f>
        <v/>
      </c>
      <c r="AQ152" s="122">
        <f>SUM(AA152)</f>
        <v/>
      </c>
      <c r="AR152" s="121">
        <f>(AP152+AQ152)-3%</f>
        <v/>
      </c>
      <c r="AS152" s="122">
        <f>SUM(AO152+AM152)</f>
        <v/>
      </c>
      <c r="AT152" s="122">
        <f>SUM(AH152+AN152)</f>
        <v/>
      </c>
      <c r="AU152" s="122">
        <f>SUM(AN152+AO152)</f>
        <v/>
      </c>
      <c r="AV152" s="122">
        <f>SUM(AN152+AD152+AE152+AF152+AG152+AH152+AJ152+AK152+AL152)</f>
        <v/>
      </c>
      <c r="AW152" s="122">
        <f>SUM(AD152+AE152+AF152+AG152+AI152+AJ152+AK152+AL152)</f>
        <v/>
      </c>
    </row>
    <row r="153" ht="14.1" customHeight="1" s="259">
      <c r="A153" s="174">
        <f>A152+1</f>
        <v/>
      </c>
      <c r="B153" s="204" t="n"/>
      <c r="C153" s="205" t="n"/>
      <c r="D153" s="204" t="n"/>
      <c r="E153" s="206" t="n"/>
      <c r="F153" s="206" t="n"/>
      <c r="G153" s="206" t="n"/>
      <c r="H153" s="206" t="n"/>
      <c r="I153" s="206" t="n"/>
      <c r="J153" s="206" t="n"/>
      <c r="K153" s="206" t="n"/>
      <c r="L153" s="206" t="n"/>
      <c r="M153" s="206" t="n"/>
      <c r="N153" s="206" t="n"/>
      <c r="O153" s="206" t="n"/>
      <c r="P153" s="206" t="n"/>
      <c r="Q153" s="206" t="n"/>
      <c r="R153" s="206" t="n"/>
      <c r="S153" s="206" t="n"/>
      <c r="T153" s="204">
        <f>SUM(F153:S153)</f>
        <v/>
      </c>
      <c r="U153" s="207">
        <f>(HLOOKUP(B153,F:T,A153,FALSE)/T153)</f>
        <v/>
      </c>
      <c r="V153" s="189" t="n"/>
      <c r="W153" s="163">
        <f>YEAR(C153)</f>
        <v/>
      </c>
      <c r="X153" s="116">
        <f>MONTH(C153)</f>
        <v/>
      </c>
      <c r="Y153" s="116">
        <f>WEEKNUM(C153,21)</f>
        <v/>
      </c>
      <c r="Z153" s="122" t="n"/>
      <c r="AA153" s="122" t="n"/>
      <c r="AB153" s="122" t="n"/>
      <c r="AC153" s="122" t="n"/>
      <c r="AD153" s="122" t="n"/>
      <c r="AE153" s="122">
        <f>IFERROR(K153/$T153,0)</f>
        <v/>
      </c>
      <c r="AF153" s="122">
        <f>IFERROR(L153/$T153,0)</f>
        <v/>
      </c>
      <c r="AG153" s="122" t="n"/>
      <c r="AH153" s="122" t="n"/>
      <c r="AI153" s="122" t="n"/>
      <c r="AJ153" s="122" t="n"/>
      <c r="AK153" s="122" t="n"/>
      <c r="AL153" s="122" t="n"/>
      <c r="AM153" s="122" t="n"/>
      <c r="AN153" s="122">
        <f>SUM(Z153:AC153)</f>
        <v/>
      </c>
      <c r="AO153" s="122">
        <f>SUM(AD153:AL153)</f>
        <v/>
      </c>
      <c r="AP153" s="122">
        <f>SUM(AM153,AB153)</f>
        <v/>
      </c>
      <c r="AQ153" s="122">
        <f>SUM(AA153)</f>
        <v/>
      </c>
      <c r="AR153" s="121">
        <f>(AP153+AQ153)-3%</f>
        <v/>
      </c>
      <c r="AS153" s="122">
        <f>SUM(AO153+AM153)</f>
        <v/>
      </c>
      <c r="AT153" s="122">
        <f>SUM(AH153+AN153)</f>
        <v/>
      </c>
      <c r="AU153" s="122">
        <f>SUM(AN153+AO153)</f>
        <v/>
      </c>
      <c r="AV153" s="122">
        <f>SUM(AN153+AD153+AE153+AF153+AG153+AH153+AJ153+AK153+AL153)</f>
        <v/>
      </c>
      <c r="AW153" s="122">
        <f>SUM(AD153+AE153+AF153+AG153+AI153+AJ153+AK153+AL153)</f>
        <v/>
      </c>
    </row>
    <row r="154" ht="14.1" customHeight="1" s="259">
      <c r="A154" s="174">
        <f>A153+1</f>
        <v/>
      </c>
      <c r="B154" s="204" t="n"/>
      <c r="C154" s="205" t="n"/>
      <c r="D154" s="204" t="n"/>
      <c r="E154" s="206" t="n"/>
      <c r="F154" s="206" t="n"/>
      <c r="G154" s="206" t="n"/>
      <c r="H154" s="206" t="n"/>
      <c r="I154" s="206" t="n"/>
      <c r="J154" s="206" t="n"/>
      <c r="K154" s="206" t="n"/>
      <c r="L154" s="206" t="n"/>
      <c r="M154" s="206" t="n"/>
      <c r="N154" s="206" t="n"/>
      <c r="O154" s="206" t="n"/>
      <c r="P154" s="206" t="n"/>
      <c r="Q154" s="206" t="n"/>
      <c r="R154" s="206" t="n"/>
      <c r="S154" s="206" t="n"/>
      <c r="T154" s="204">
        <f>SUM(F154:S154)</f>
        <v/>
      </c>
      <c r="U154" s="207">
        <f>(HLOOKUP(B154,F:T,A154,FALSE)/T154)</f>
        <v/>
      </c>
      <c r="V154" s="189" t="n"/>
      <c r="W154" s="163">
        <f>YEAR(C154)</f>
        <v/>
      </c>
      <c r="X154" s="116">
        <f>MONTH(C154)</f>
        <v/>
      </c>
      <c r="Y154" s="116">
        <f>WEEKNUM(C154,21)</f>
        <v/>
      </c>
      <c r="Z154" s="122" t="n"/>
      <c r="AA154" s="122" t="n"/>
      <c r="AB154" s="122" t="n"/>
      <c r="AC154" s="122" t="n"/>
      <c r="AD154" s="122" t="n"/>
      <c r="AE154" s="122">
        <f>IFERROR(K154/$T154,0)</f>
        <v/>
      </c>
      <c r="AF154" s="122">
        <f>IFERROR(L154/$T154,0)</f>
        <v/>
      </c>
      <c r="AG154" s="122" t="n"/>
      <c r="AH154" s="122" t="n"/>
      <c r="AI154" s="122" t="n"/>
      <c r="AJ154" s="122" t="n"/>
      <c r="AK154" s="122" t="n"/>
      <c r="AL154" s="122" t="n"/>
      <c r="AM154" s="122" t="n"/>
      <c r="AN154" s="122">
        <f>SUM(Z154:AC154)</f>
        <v/>
      </c>
      <c r="AO154" s="122">
        <f>SUM(AD154:AL154)</f>
        <v/>
      </c>
      <c r="AP154" s="122">
        <f>SUM(AM154,AB154)</f>
        <v/>
      </c>
      <c r="AQ154" s="122">
        <f>SUM(AA154)</f>
        <v/>
      </c>
      <c r="AR154" s="121">
        <f>(AP154+AQ154)-3%</f>
        <v/>
      </c>
      <c r="AS154" s="122">
        <f>SUM(AO154+AM154)</f>
        <v/>
      </c>
      <c r="AT154" s="122">
        <f>SUM(AH154+AN154)</f>
        <v/>
      </c>
      <c r="AU154" s="122">
        <f>SUM(AN154+AO154)</f>
        <v/>
      </c>
      <c r="AV154" s="122">
        <f>SUM(AN154+AD154+AE154+AF154+AG154+AH154+AJ154+AK154+AL154)</f>
        <v/>
      </c>
      <c r="AW154" s="122">
        <f>SUM(AD154+AE154+AF154+AG154+AI154+AJ154+AK154+AL154)</f>
        <v/>
      </c>
    </row>
    <row r="155" ht="14.1" customHeight="1" s="259">
      <c r="A155" s="174">
        <f>A154+1</f>
        <v/>
      </c>
      <c r="B155" s="204" t="n"/>
      <c r="C155" s="205" t="n"/>
      <c r="D155" s="204" t="n"/>
      <c r="E155" s="206" t="n"/>
      <c r="F155" s="206" t="n"/>
      <c r="G155" s="206" t="n"/>
      <c r="H155" s="206" t="n"/>
      <c r="I155" s="206" t="n"/>
      <c r="J155" s="206" t="n"/>
      <c r="K155" s="206" t="n"/>
      <c r="L155" s="206" t="n"/>
      <c r="M155" s="206" t="n"/>
      <c r="N155" s="206" t="n"/>
      <c r="O155" s="206" t="n"/>
      <c r="P155" s="206" t="n"/>
      <c r="Q155" s="206" t="n"/>
      <c r="R155" s="206" t="n"/>
      <c r="S155" s="206" t="n"/>
      <c r="T155" s="204">
        <f>SUM(F155:S155)</f>
        <v/>
      </c>
      <c r="U155" s="207">
        <f>(HLOOKUP(B155,F:T,A155,FALSE)/T155)</f>
        <v/>
      </c>
      <c r="V155" s="189" t="n"/>
      <c r="W155" s="163">
        <f>YEAR(C155)</f>
        <v/>
      </c>
      <c r="X155" s="116">
        <f>MONTH(C155)</f>
        <v/>
      </c>
      <c r="Y155" s="116">
        <f>WEEKNUM(C155,21)</f>
        <v/>
      </c>
      <c r="Z155" s="122" t="n"/>
      <c r="AA155" s="122" t="n"/>
      <c r="AB155" s="122" t="n"/>
      <c r="AC155" s="122" t="n"/>
      <c r="AD155" s="122" t="n"/>
      <c r="AE155" s="122">
        <f>IFERROR(K155/$T155,0)</f>
        <v/>
      </c>
      <c r="AF155" s="122">
        <f>IFERROR(L155/$T155,0)</f>
        <v/>
      </c>
      <c r="AG155" s="122" t="n"/>
      <c r="AH155" s="122" t="n"/>
      <c r="AI155" s="122" t="n"/>
      <c r="AJ155" s="122" t="n"/>
      <c r="AK155" s="122" t="n"/>
      <c r="AL155" s="122" t="n"/>
      <c r="AM155" s="122" t="n"/>
      <c r="AN155" s="122">
        <f>SUM(Z155:AC155)</f>
        <v/>
      </c>
      <c r="AO155" s="122">
        <f>SUM(AD155:AL155)</f>
        <v/>
      </c>
      <c r="AP155" s="122">
        <f>SUM(AM155,AB155)</f>
        <v/>
      </c>
      <c r="AQ155" s="122">
        <f>SUM(AA155)</f>
        <v/>
      </c>
      <c r="AR155" s="121">
        <f>(AP155+AQ155)-3%</f>
        <v/>
      </c>
      <c r="AS155" s="122">
        <f>SUM(AO155+AM155)</f>
        <v/>
      </c>
      <c r="AT155" s="122">
        <f>SUM(AH155+AN155)</f>
        <v/>
      </c>
      <c r="AU155" s="122">
        <f>SUM(AN155+AO155)</f>
        <v/>
      </c>
      <c r="AV155" s="122">
        <f>SUM(AN155+AD155+AE155+AF155+AG155+AH155+AJ155+AK155+AL155)</f>
        <v/>
      </c>
      <c r="AW155" s="122">
        <f>SUM(AD155+AE155+AF155+AG155+AI155+AJ155+AK155+AL155)</f>
        <v/>
      </c>
    </row>
    <row r="156" ht="14.1" customHeight="1" s="259">
      <c r="A156" s="174">
        <f>A155+1</f>
        <v/>
      </c>
      <c r="B156" s="204" t="n"/>
      <c r="C156" s="205" t="n"/>
      <c r="D156" s="204" t="n"/>
      <c r="E156" s="206" t="n"/>
      <c r="F156" s="206" t="n"/>
      <c r="G156" s="206" t="n"/>
      <c r="H156" s="206" t="n"/>
      <c r="I156" s="206" t="n"/>
      <c r="J156" s="206" t="n"/>
      <c r="K156" s="206" t="n"/>
      <c r="L156" s="206" t="n"/>
      <c r="M156" s="206" t="n"/>
      <c r="N156" s="206" t="n"/>
      <c r="O156" s="206" t="n"/>
      <c r="P156" s="206" t="n"/>
      <c r="Q156" s="206" t="n"/>
      <c r="R156" s="206" t="n"/>
      <c r="S156" s="206" t="n"/>
      <c r="T156" s="204">
        <f>SUM(F156:S156)</f>
        <v/>
      </c>
      <c r="U156" s="207">
        <f>(HLOOKUP(B156,F:T,A156,FALSE)/T156)</f>
        <v/>
      </c>
      <c r="V156" s="189" t="n"/>
      <c r="W156" s="163">
        <f>YEAR(C156)</f>
        <v/>
      </c>
      <c r="X156" s="116">
        <f>MONTH(C156)</f>
        <v/>
      </c>
      <c r="Y156" s="116">
        <f>WEEKNUM(C156,21)</f>
        <v/>
      </c>
      <c r="Z156" s="122" t="n"/>
      <c r="AA156" s="122" t="n"/>
      <c r="AB156" s="122" t="n"/>
      <c r="AC156" s="122" t="n"/>
      <c r="AD156" s="122" t="n"/>
      <c r="AE156" s="122">
        <f>IFERROR(K156/$T156,0)</f>
        <v/>
      </c>
      <c r="AF156" s="122">
        <f>IFERROR(L156/$T156,0)</f>
        <v/>
      </c>
      <c r="AG156" s="122" t="n"/>
      <c r="AH156" s="122" t="n"/>
      <c r="AI156" s="122" t="n"/>
      <c r="AJ156" s="122" t="n"/>
      <c r="AK156" s="122" t="n"/>
      <c r="AL156" s="122" t="n"/>
      <c r="AM156" s="122" t="n"/>
      <c r="AN156" s="122">
        <f>SUM(Z156:AC156)</f>
        <v/>
      </c>
      <c r="AO156" s="122">
        <f>SUM(AD156:AL156)</f>
        <v/>
      </c>
      <c r="AP156" s="122">
        <f>SUM(AM156,AB156)</f>
        <v/>
      </c>
      <c r="AQ156" s="122">
        <f>SUM(AA156)</f>
        <v/>
      </c>
      <c r="AR156" s="121">
        <f>(AP156+AQ156)-3%</f>
        <v/>
      </c>
      <c r="AS156" s="122">
        <f>SUM(AO156+AM156)</f>
        <v/>
      </c>
      <c r="AT156" s="122">
        <f>SUM(AH156+AN156)</f>
        <v/>
      </c>
      <c r="AU156" s="122">
        <f>SUM(AN156+AO156)</f>
        <v/>
      </c>
      <c r="AV156" s="122">
        <f>SUM(AN156+AD156+AE156+AF156+AG156+AH156+AJ156+AK156+AL156)</f>
        <v/>
      </c>
      <c r="AW156" s="122">
        <f>SUM(AD156+AE156+AF156+AG156+AI156+AJ156+AK156+AL156)</f>
        <v/>
      </c>
    </row>
    <row r="157" ht="14.1" customHeight="1" s="259">
      <c r="A157" s="174">
        <f>A156+1</f>
        <v/>
      </c>
      <c r="B157" s="204" t="n"/>
      <c r="C157" s="205" t="n"/>
      <c r="D157" s="204" t="n"/>
      <c r="E157" s="206" t="n"/>
      <c r="F157" s="206" t="n"/>
      <c r="G157" s="206" t="n"/>
      <c r="H157" s="206" t="n"/>
      <c r="I157" s="206" t="n"/>
      <c r="J157" s="206" t="n"/>
      <c r="K157" s="206" t="n"/>
      <c r="L157" s="206" t="n"/>
      <c r="M157" s="206" t="n"/>
      <c r="N157" s="206" t="n"/>
      <c r="O157" s="206" t="n"/>
      <c r="P157" s="206" t="n"/>
      <c r="Q157" s="206" t="n"/>
      <c r="R157" s="206" t="n"/>
      <c r="S157" s="206" t="n"/>
      <c r="T157" s="204">
        <f>SUM(F157:S157)</f>
        <v/>
      </c>
      <c r="U157" s="207">
        <f>(HLOOKUP(B157,F:T,A157,FALSE)/T157)</f>
        <v/>
      </c>
      <c r="V157" s="189" t="n"/>
      <c r="W157" s="163">
        <f>YEAR(C157)</f>
        <v/>
      </c>
      <c r="X157" s="116">
        <f>MONTH(C157)</f>
        <v/>
      </c>
      <c r="Y157" s="116">
        <f>WEEKNUM(C157,21)</f>
        <v/>
      </c>
      <c r="Z157" s="122" t="n"/>
      <c r="AA157" s="122" t="n"/>
      <c r="AB157" s="122" t="n"/>
      <c r="AC157" s="122" t="n"/>
      <c r="AD157" s="122" t="n"/>
      <c r="AE157" s="122">
        <f>IFERROR(K157/$T157,0)</f>
        <v/>
      </c>
      <c r="AF157" s="122">
        <f>IFERROR(L157/$T157,0)</f>
        <v/>
      </c>
      <c r="AG157" s="122" t="n"/>
      <c r="AH157" s="122" t="n"/>
      <c r="AI157" s="122" t="n"/>
      <c r="AJ157" s="122" t="n"/>
      <c r="AK157" s="122" t="n"/>
      <c r="AL157" s="122" t="n"/>
      <c r="AM157" s="122" t="n"/>
      <c r="AN157" s="122">
        <f>SUM(Z157:AC157)</f>
        <v/>
      </c>
      <c r="AO157" s="122">
        <f>SUM(AD157:AL157)</f>
        <v/>
      </c>
      <c r="AP157" s="122">
        <f>SUM(AM157,AB157)</f>
        <v/>
      </c>
      <c r="AQ157" s="122">
        <f>SUM(AA157)</f>
        <v/>
      </c>
      <c r="AR157" s="121">
        <f>(AP157+AQ157)-3%</f>
        <v/>
      </c>
      <c r="AS157" s="122">
        <f>SUM(AO157+AM157)</f>
        <v/>
      </c>
      <c r="AT157" s="122">
        <f>SUM(AH157+AN157)</f>
        <v/>
      </c>
      <c r="AU157" s="122">
        <f>SUM(AN157+AO157)</f>
        <v/>
      </c>
      <c r="AV157" s="122">
        <f>SUM(AN157+AD157+AE157+AF157+AG157+AH157+AJ157+AK157+AL157)</f>
        <v/>
      </c>
      <c r="AW157" s="122">
        <f>SUM(AD157+AE157+AF157+AG157+AI157+AJ157+AK157+AL157)</f>
        <v/>
      </c>
    </row>
    <row r="158" ht="14.1" customHeight="1" s="259">
      <c r="A158" s="174">
        <f>A157+1</f>
        <v/>
      </c>
      <c r="B158" s="204" t="n"/>
      <c r="C158" s="205" t="n"/>
      <c r="D158" s="204" t="n"/>
      <c r="E158" s="206" t="n"/>
      <c r="F158" s="206" t="n"/>
      <c r="G158" s="206" t="n"/>
      <c r="H158" s="206" t="n"/>
      <c r="I158" s="206" t="n"/>
      <c r="J158" s="206" t="n"/>
      <c r="K158" s="206" t="n"/>
      <c r="L158" s="206" t="n"/>
      <c r="M158" s="206" t="n"/>
      <c r="N158" s="206" t="n"/>
      <c r="O158" s="206" t="n"/>
      <c r="P158" s="206" t="n"/>
      <c r="Q158" s="206" t="n"/>
      <c r="R158" s="206" t="n"/>
      <c r="S158" s="206" t="n"/>
      <c r="T158" s="204">
        <f>SUM(F158:S158)</f>
        <v/>
      </c>
      <c r="U158" s="207">
        <f>(HLOOKUP(B158,F:T,A158,FALSE)/T158)</f>
        <v/>
      </c>
      <c r="V158" s="189" t="n"/>
      <c r="W158" s="163">
        <f>YEAR(C158)</f>
        <v/>
      </c>
      <c r="X158" s="116">
        <f>MONTH(C158)</f>
        <v/>
      </c>
      <c r="Y158" s="116">
        <f>WEEKNUM(C158,21)</f>
        <v/>
      </c>
      <c r="Z158" s="122" t="n"/>
      <c r="AA158" s="122" t="n"/>
      <c r="AB158" s="122" t="n"/>
      <c r="AC158" s="122" t="n"/>
      <c r="AD158" s="122" t="n"/>
      <c r="AE158" s="122">
        <f>IFERROR(K158/$T158,0)</f>
        <v/>
      </c>
      <c r="AF158" s="122">
        <f>IFERROR(L158/$T158,0)</f>
        <v/>
      </c>
      <c r="AG158" s="122" t="n"/>
      <c r="AH158" s="122" t="n"/>
      <c r="AI158" s="122" t="n"/>
      <c r="AJ158" s="122" t="n"/>
      <c r="AK158" s="122" t="n"/>
      <c r="AL158" s="122" t="n"/>
      <c r="AM158" s="122" t="n"/>
      <c r="AN158" s="122">
        <f>SUM(Z158:AC158)</f>
        <v/>
      </c>
      <c r="AO158" s="122">
        <f>SUM(AD158:AL158)</f>
        <v/>
      </c>
      <c r="AP158" s="122">
        <f>SUM(AM158,AB158)</f>
        <v/>
      </c>
      <c r="AQ158" s="122">
        <f>SUM(AA158)</f>
        <v/>
      </c>
      <c r="AR158" s="121">
        <f>(AP158+AQ158)-3%</f>
        <v/>
      </c>
      <c r="AS158" s="122">
        <f>SUM(AO158+AM158)</f>
        <v/>
      </c>
      <c r="AT158" s="122">
        <f>SUM(AH158+AN158)</f>
        <v/>
      </c>
      <c r="AU158" s="122">
        <f>SUM(AN158+AO158)</f>
        <v/>
      </c>
      <c r="AV158" s="122">
        <f>SUM(AN158+AD158+AE158+AF158+AG158+AH158+AJ158+AK158+AL158)</f>
        <v/>
      </c>
      <c r="AW158" s="122">
        <f>SUM(AD158+AE158+AF158+AG158+AI158+AJ158+AK158+AL158)</f>
        <v/>
      </c>
    </row>
    <row r="159" ht="14.1" customHeight="1" s="259">
      <c r="A159" s="174">
        <f>A158+1</f>
        <v/>
      </c>
      <c r="B159" s="204" t="n"/>
      <c r="C159" s="205" t="n"/>
      <c r="D159" s="204" t="n"/>
      <c r="E159" s="206" t="n"/>
      <c r="F159" s="206" t="n"/>
      <c r="G159" s="206" t="n"/>
      <c r="H159" s="206" t="n"/>
      <c r="I159" s="206" t="n"/>
      <c r="J159" s="206" t="n"/>
      <c r="K159" s="206" t="n"/>
      <c r="L159" s="206" t="n"/>
      <c r="M159" s="206" t="n"/>
      <c r="N159" s="206" t="n"/>
      <c r="O159" s="206" t="n"/>
      <c r="P159" s="206" t="n"/>
      <c r="Q159" s="206" t="n"/>
      <c r="R159" s="206" t="n"/>
      <c r="S159" s="206" t="n"/>
      <c r="T159" s="204">
        <f>SUM(F159:S159)</f>
        <v/>
      </c>
      <c r="U159" s="207">
        <f>(HLOOKUP(B159,F:T,A159,FALSE)/T159)</f>
        <v/>
      </c>
      <c r="V159" s="189" t="n"/>
      <c r="W159" s="163">
        <f>YEAR(C159)</f>
        <v/>
      </c>
      <c r="X159" s="116">
        <f>MONTH(C159)</f>
        <v/>
      </c>
      <c r="Y159" s="116">
        <f>WEEKNUM(C159,21)</f>
        <v/>
      </c>
      <c r="Z159" s="122" t="n"/>
      <c r="AA159" s="122" t="n"/>
      <c r="AB159" s="122" t="n"/>
      <c r="AC159" s="122" t="n"/>
      <c r="AD159" s="122" t="n"/>
      <c r="AE159" s="122">
        <f>IFERROR(K159/$T159,0)</f>
        <v/>
      </c>
      <c r="AF159" s="122">
        <f>IFERROR(L159/$T159,0)</f>
        <v/>
      </c>
      <c r="AG159" s="122" t="n"/>
      <c r="AH159" s="122" t="n"/>
      <c r="AI159" s="122" t="n"/>
      <c r="AJ159" s="122" t="n"/>
      <c r="AK159" s="122" t="n"/>
      <c r="AL159" s="122" t="n"/>
      <c r="AM159" s="122" t="n"/>
      <c r="AN159" s="122">
        <f>SUM(Z159:AC159)</f>
        <v/>
      </c>
      <c r="AO159" s="122">
        <f>SUM(AD159:AL159)</f>
        <v/>
      </c>
      <c r="AP159" s="122">
        <f>SUM(AM159,AB159)</f>
        <v/>
      </c>
      <c r="AQ159" s="122">
        <f>SUM(AA159)</f>
        <v/>
      </c>
      <c r="AR159" s="121">
        <f>(AP159+AQ159)-3%</f>
        <v/>
      </c>
      <c r="AS159" s="122">
        <f>SUM(AO159+AM159)</f>
        <v/>
      </c>
      <c r="AT159" s="122">
        <f>SUM(AH159+AN159)</f>
        <v/>
      </c>
      <c r="AU159" s="122">
        <f>SUM(AN159+AO159)</f>
        <v/>
      </c>
      <c r="AV159" s="122">
        <f>SUM(AN159+AD159+AE159+AF159+AG159+AH159+AJ159+AK159+AL159)</f>
        <v/>
      </c>
      <c r="AW159" s="122">
        <f>SUM(AD159+AE159+AF159+AG159+AI159+AJ159+AK159+AL159)</f>
        <v/>
      </c>
    </row>
    <row r="160" ht="14.1" customHeight="1" s="259">
      <c r="A160" s="174">
        <f>A159+1</f>
        <v/>
      </c>
      <c r="B160" s="199" t="n"/>
      <c r="C160" s="200" t="n"/>
      <c r="D160" s="199" t="n"/>
      <c r="E160" s="201" t="n"/>
      <c r="F160" s="201" t="n"/>
      <c r="G160" s="201" t="n"/>
      <c r="H160" s="201" t="n"/>
      <c r="I160" s="201" t="n"/>
      <c r="J160" s="201" t="n"/>
      <c r="K160" s="201" t="n"/>
      <c r="L160" s="201" t="n"/>
      <c r="M160" s="201" t="n"/>
      <c r="N160" s="201" t="n"/>
      <c r="O160" s="201" t="n"/>
      <c r="P160" s="201" t="n"/>
      <c r="Q160" s="201" t="n"/>
      <c r="R160" s="201" t="n"/>
      <c r="S160" s="201" t="n"/>
      <c r="T160" s="199">
        <f>SUM(F160:S160)</f>
        <v/>
      </c>
      <c r="U160" s="202">
        <f>(HLOOKUP(B160,F:T,A160,FALSE)/T160)</f>
        <v/>
      </c>
      <c r="V160" s="189" t="n"/>
      <c r="W160" s="163">
        <f>YEAR(C160)</f>
        <v/>
      </c>
      <c r="X160" s="116">
        <f>MONTH(C160)</f>
        <v/>
      </c>
      <c r="Y160" s="116">
        <f>WEEKNUM(C160,21)</f>
        <v/>
      </c>
      <c r="Z160" s="122" t="n"/>
      <c r="AA160" s="122" t="n"/>
      <c r="AB160" s="122" t="n"/>
      <c r="AC160" s="122" t="n"/>
      <c r="AD160" s="122" t="n"/>
      <c r="AE160" s="122">
        <f>IFERROR(K160/$T160,0)</f>
        <v/>
      </c>
      <c r="AF160" s="122">
        <f>IFERROR(L160/$T160,0)</f>
        <v/>
      </c>
      <c r="AG160" s="122" t="n"/>
      <c r="AH160" s="122" t="n"/>
      <c r="AI160" s="122" t="n"/>
      <c r="AJ160" s="122" t="n"/>
      <c r="AK160" s="122" t="n"/>
      <c r="AL160" s="122" t="n"/>
      <c r="AM160" s="122" t="n"/>
      <c r="AN160" s="122">
        <f>SUM(Z160:AC160)</f>
        <v/>
      </c>
      <c r="AO160" s="122">
        <f>SUM(AD160:AL160)</f>
        <v/>
      </c>
      <c r="AP160" s="122">
        <f>SUM(AM160,AB160)</f>
        <v/>
      </c>
      <c r="AQ160" s="122">
        <f>SUM(AA160)</f>
        <v/>
      </c>
      <c r="AR160" s="121">
        <f>(AP160+AQ160)-3%</f>
        <v/>
      </c>
      <c r="AS160" s="122">
        <f>SUM(AO160+AM160)</f>
        <v/>
      </c>
      <c r="AT160" s="122">
        <f>SUM(AH160+AN160)</f>
        <v/>
      </c>
      <c r="AU160" s="122">
        <f>SUM(AN160+AO160)</f>
        <v/>
      </c>
      <c r="AV160" s="122">
        <f>SUM(AN160+AD160+AE160+AF160+AG160+AH160+AJ160+AK160+AL160)</f>
        <v/>
      </c>
      <c r="AW160" s="122">
        <f>SUM(AD160+AE160+AF160+AG160+AI160+AJ160+AK160+AL160)</f>
        <v/>
      </c>
    </row>
    <row r="161" ht="14.1" customHeight="1" s="259">
      <c r="A161" s="174">
        <f>A160+1</f>
        <v/>
      </c>
      <c r="B161" s="199" t="n"/>
      <c r="C161" s="200" t="n"/>
      <c r="D161" s="199" t="n"/>
      <c r="E161" s="201" t="n"/>
      <c r="F161" s="201" t="n"/>
      <c r="G161" s="201" t="n"/>
      <c r="H161" s="201" t="n"/>
      <c r="I161" s="201" t="n"/>
      <c r="J161" s="201" t="n"/>
      <c r="K161" s="201" t="n"/>
      <c r="L161" s="201" t="n"/>
      <c r="M161" s="201" t="n"/>
      <c r="N161" s="201" t="n"/>
      <c r="O161" s="201" t="n"/>
      <c r="P161" s="201" t="n"/>
      <c r="Q161" s="201" t="n"/>
      <c r="R161" s="201" t="n"/>
      <c r="S161" s="201" t="n"/>
      <c r="T161" s="199">
        <f>SUM(F161:S161)</f>
        <v/>
      </c>
      <c r="U161" s="202">
        <f>(HLOOKUP(B161,F:T,A161,FALSE)/T161)</f>
        <v/>
      </c>
      <c r="V161" s="189" t="n"/>
      <c r="W161" s="163">
        <f>YEAR(C161)</f>
        <v/>
      </c>
      <c r="X161" s="116">
        <f>MONTH(C161)</f>
        <v/>
      </c>
      <c r="Y161" s="116">
        <f>WEEKNUM(C161,21)</f>
        <v/>
      </c>
      <c r="Z161" s="122" t="n"/>
      <c r="AA161" s="122" t="n"/>
      <c r="AB161" s="122" t="n"/>
      <c r="AC161" s="122" t="n"/>
      <c r="AD161" s="122" t="n"/>
      <c r="AE161" s="122">
        <f>IFERROR(K161/$T161,0)</f>
        <v/>
      </c>
      <c r="AF161" s="122">
        <f>IFERROR(L161/$T161,0)</f>
        <v/>
      </c>
      <c r="AG161" s="122" t="n"/>
      <c r="AH161" s="122" t="n"/>
      <c r="AI161" s="122" t="n"/>
      <c r="AJ161" s="122" t="n"/>
      <c r="AK161" s="122" t="n"/>
      <c r="AL161" s="122" t="n"/>
      <c r="AM161" s="122" t="n"/>
      <c r="AN161" s="122">
        <f>SUM(Z161:AC161)</f>
        <v/>
      </c>
      <c r="AO161" s="122">
        <f>SUM(AD161:AL161)</f>
        <v/>
      </c>
      <c r="AP161" s="122">
        <f>SUM(AM161,AB161)</f>
        <v/>
      </c>
      <c r="AQ161" s="122">
        <f>SUM(AA161)</f>
        <v/>
      </c>
      <c r="AR161" s="121">
        <f>(AP161+AQ161)-3%</f>
        <v/>
      </c>
      <c r="AS161" s="122">
        <f>SUM(AO161+AM161)</f>
        <v/>
      </c>
      <c r="AT161" s="122">
        <f>SUM(AH161+AN161)</f>
        <v/>
      </c>
      <c r="AU161" s="122">
        <f>SUM(AN161+AO161)</f>
        <v/>
      </c>
      <c r="AV161" s="122">
        <f>SUM(AN161+AD161+AE161+AF161+AG161+AH161+AJ161+AK161+AL161)</f>
        <v/>
      </c>
      <c r="AW161" s="122">
        <f>SUM(AD161+AE161+AF161+AG161+AI161+AJ161+AK161+AL161)</f>
        <v/>
      </c>
    </row>
    <row r="162" ht="14.1" customHeight="1" s="259">
      <c r="A162" s="174">
        <f>A161+1</f>
        <v/>
      </c>
      <c r="B162" s="204" t="n"/>
      <c r="C162" s="205" t="n"/>
      <c r="D162" s="204" t="n"/>
      <c r="E162" s="206" t="n"/>
      <c r="F162" s="206" t="n"/>
      <c r="G162" s="206" t="n"/>
      <c r="H162" s="206" t="n"/>
      <c r="I162" s="206" t="n"/>
      <c r="J162" s="206" t="n"/>
      <c r="K162" s="206" t="n"/>
      <c r="L162" s="206" t="n"/>
      <c r="M162" s="206" t="n"/>
      <c r="N162" s="206" t="n"/>
      <c r="O162" s="206" t="n"/>
      <c r="P162" s="206" t="n"/>
      <c r="Q162" s="206" t="n"/>
      <c r="R162" s="206" t="n"/>
      <c r="S162" s="206" t="n"/>
      <c r="T162" s="204">
        <f>SUM(F162:S162)</f>
        <v/>
      </c>
      <c r="U162" s="207">
        <f>(HLOOKUP(B162,F:T,A162,FALSE)/T162)</f>
        <v/>
      </c>
      <c r="V162" s="189" t="n"/>
      <c r="W162" s="163">
        <f>YEAR(C162)</f>
        <v/>
      </c>
      <c r="X162" s="116">
        <f>MONTH(C162)</f>
        <v/>
      </c>
      <c r="Y162" s="116">
        <f>WEEKNUM(C162,21)</f>
        <v/>
      </c>
      <c r="Z162" s="122" t="n"/>
      <c r="AA162" s="122" t="n"/>
      <c r="AB162" s="122" t="n"/>
      <c r="AC162" s="122" t="n"/>
      <c r="AD162" s="122" t="n"/>
      <c r="AE162" s="122">
        <f>IFERROR(K162/$T162,0)</f>
        <v/>
      </c>
      <c r="AF162" s="122">
        <f>IFERROR(L162/$T162,0)</f>
        <v/>
      </c>
      <c r="AG162" s="122" t="n"/>
      <c r="AH162" s="122" t="n"/>
      <c r="AI162" s="122" t="n"/>
      <c r="AJ162" s="122" t="n"/>
      <c r="AK162" s="122" t="n"/>
      <c r="AL162" s="122" t="n"/>
      <c r="AM162" s="122" t="n"/>
      <c r="AN162" s="122">
        <f>SUM(Z162:AC162)</f>
        <v/>
      </c>
      <c r="AO162" s="122">
        <f>SUM(AD162:AL162)</f>
        <v/>
      </c>
      <c r="AP162" s="122">
        <f>SUM(AM162,AB162)</f>
        <v/>
      </c>
      <c r="AQ162" s="122">
        <f>SUM(AA162)</f>
        <v/>
      </c>
      <c r="AR162" s="121">
        <f>(AP162+AQ162)-3%</f>
        <v/>
      </c>
      <c r="AS162" s="122">
        <f>SUM(AO162+AM162)</f>
        <v/>
      </c>
      <c r="AT162" s="122">
        <f>SUM(AH162+AN162)</f>
        <v/>
      </c>
      <c r="AU162" s="122">
        <f>SUM(AN162+AO162)</f>
        <v/>
      </c>
      <c r="AV162" s="122">
        <f>SUM(AN162+AD162+AE162+AF162+AG162+AH162+AJ162+AK162+AL162)</f>
        <v/>
      </c>
      <c r="AW162" s="122">
        <f>SUM(AD162+AE162+AF162+AG162+AI162+AJ162+AK162+AL162)</f>
        <v/>
      </c>
    </row>
    <row r="163" ht="14.1" customHeight="1" s="259">
      <c r="A163" s="174">
        <f>A162+1</f>
        <v/>
      </c>
      <c r="B163" s="204" t="n"/>
      <c r="C163" s="205" t="n"/>
      <c r="D163" s="204" t="n"/>
      <c r="E163" s="206" t="n"/>
      <c r="F163" s="206" t="n"/>
      <c r="G163" s="206" t="n"/>
      <c r="H163" s="206" t="n"/>
      <c r="I163" s="206" t="n"/>
      <c r="J163" s="206" t="n"/>
      <c r="K163" s="206" t="n"/>
      <c r="L163" s="206" t="n"/>
      <c r="M163" s="206" t="n"/>
      <c r="N163" s="206" t="n"/>
      <c r="O163" s="206" t="n"/>
      <c r="P163" s="206" t="n"/>
      <c r="Q163" s="206" t="n"/>
      <c r="R163" s="206" t="n"/>
      <c r="S163" s="206" t="n"/>
      <c r="T163" s="204">
        <f>SUM(F163:S163)</f>
        <v/>
      </c>
      <c r="U163" s="207">
        <f>(HLOOKUP(B163,F:T,A163,FALSE)/T163)</f>
        <v/>
      </c>
      <c r="V163" s="189" t="n"/>
      <c r="W163" s="163">
        <f>YEAR(C163)</f>
        <v/>
      </c>
      <c r="X163" s="116">
        <f>MONTH(C163)</f>
        <v/>
      </c>
      <c r="Y163" s="116">
        <f>WEEKNUM(C163,21)</f>
        <v/>
      </c>
      <c r="Z163" s="122" t="n"/>
      <c r="AA163" s="122" t="n"/>
      <c r="AB163" s="122" t="n"/>
      <c r="AC163" s="122" t="n"/>
      <c r="AD163" s="122" t="n"/>
      <c r="AE163" s="122">
        <f>IFERROR(K163/$T163,0)</f>
        <v/>
      </c>
      <c r="AF163" s="122">
        <f>IFERROR(L163/$T163,0)</f>
        <v/>
      </c>
      <c r="AG163" s="122" t="n"/>
      <c r="AH163" s="122" t="n"/>
      <c r="AI163" s="122" t="n"/>
      <c r="AJ163" s="122" t="n"/>
      <c r="AK163" s="122" t="n"/>
      <c r="AL163" s="122" t="n"/>
      <c r="AM163" s="122" t="n"/>
      <c r="AN163" s="122">
        <f>SUM(Z163:AC163)</f>
        <v/>
      </c>
      <c r="AO163" s="122">
        <f>SUM(AD163:AL163)</f>
        <v/>
      </c>
      <c r="AP163" s="122">
        <f>SUM(AM163,AB163)</f>
        <v/>
      </c>
      <c r="AQ163" s="122">
        <f>SUM(AA163)</f>
        <v/>
      </c>
      <c r="AR163" s="121">
        <f>(AP163+AQ163)-3%</f>
        <v/>
      </c>
      <c r="AS163" s="122">
        <f>SUM(AO163+AM163)</f>
        <v/>
      </c>
      <c r="AT163" s="122">
        <f>SUM(AH163+AN163)</f>
        <v/>
      </c>
      <c r="AU163" s="122">
        <f>SUM(AN163+AO163)</f>
        <v/>
      </c>
      <c r="AV163" s="122">
        <f>SUM(AN163+AD163+AE163+AF163+AG163+AH163+AJ163+AK163+AL163)</f>
        <v/>
      </c>
      <c r="AW163" s="122">
        <f>SUM(AD163+AE163+AF163+AG163+AI163+AJ163+AK163+AL163)</f>
        <v/>
      </c>
    </row>
    <row r="164" ht="14.1" customHeight="1" s="259">
      <c r="A164" s="174">
        <f>A163+1</f>
        <v/>
      </c>
      <c r="B164" s="204" t="n"/>
      <c r="C164" s="205" t="n"/>
      <c r="D164" s="204" t="n"/>
      <c r="E164" s="206" t="n"/>
      <c r="F164" s="206" t="n"/>
      <c r="G164" s="206" t="n"/>
      <c r="H164" s="206" t="n"/>
      <c r="I164" s="206" t="n"/>
      <c r="J164" s="206" t="n"/>
      <c r="K164" s="206" t="n"/>
      <c r="L164" s="206" t="n"/>
      <c r="M164" s="206" t="n"/>
      <c r="N164" s="206" t="n"/>
      <c r="O164" s="206" t="n"/>
      <c r="P164" s="206" t="n"/>
      <c r="Q164" s="206" t="n"/>
      <c r="R164" s="206" t="n"/>
      <c r="S164" s="206" t="n"/>
      <c r="T164" s="204">
        <f>SUM(F164:S164)</f>
        <v/>
      </c>
      <c r="U164" s="207">
        <f>(HLOOKUP(B164,F:T,A164,FALSE)/T164)</f>
        <v/>
      </c>
      <c r="V164" s="189" t="n"/>
      <c r="W164" s="163">
        <f>YEAR(C164)</f>
        <v/>
      </c>
      <c r="X164" s="116">
        <f>MONTH(C164)</f>
        <v/>
      </c>
      <c r="Y164" s="116">
        <f>WEEKNUM(C164,21)</f>
        <v/>
      </c>
      <c r="Z164" s="122" t="n"/>
      <c r="AA164" s="122" t="n"/>
      <c r="AB164" s="122" t="n"/>
      <c r="AC164" s="122" t="n"/>
      <c r="AD164" s="122" t="n"/>
      <c r="AE164" s="122">
        <f>IFERROR(K164/$T164,0)</f>
        <v/>
      </c>
      <c r="AF164" s="122">
        <f>IFERROR(L164/$T164,0)</f>
        <v/>
      </c>
      <c r="AG164" s="122" t="n"/>
      <c r="AH164" s="122" t="n"/>
      <c r="AI164" s="122" t="n"/>
      <c r="AJ164" s="122" t="n"/>
      <c r="AK164" s="122" t="n"/>
      <c r="AL164" s="122" t="n"/>
      <c r="AM164" s="122" t="n"/>
      <c r="AN164" s="122">
        <f>SUM(Z164:AC164)</f>
        <v/>
      </c>
      <c r="AO164" s="122">
        <f>SUM(AD164:AL164)</f>
        <v/>
      </c>
      <c r="AP164" s="122">
        <f>SUM(AM164,AB164)</f>
        <v/>
      </c>
      <c r="AQ164" s="122">
        <f>SUM(AA164)</f>
        <v/>
      </c>
      <c r="AR164" s="121">
        <f>(AP164+AQ164)-3%</f>
        <v/>
      </c>
      <c r="AS164" s="122">
        <f>SUM(AO164+AM164)</f>
        <v/>
      </c>
      <c r="AT164" s="122">
        <f>SUM(AH164+AN164)</f>
        <v/>
      </c>
      <c r="AU164" s="122">
        <f>SUM(AN164+AO164)</f>
        <v/>
      </c>
      <c r="AV164" s="122">
        <f>SUM(AN164+AD164+AE164+AF164+AG164+AH164+AJ164+AK164+AL164)</f>
        <v/>
      </c>
      <c r="AW164" s="122">
        <f>SUM(AD164+AE164+AF164+AG164+AI164+AJ164+AK164+AL164)</f>
        <v/>
      </c>
    </row>
    <row r="165" ht="14.1" customHeight="1" s="259">
      <c r="A165" s="174">
        <f>A164+1</f>
        <v/>
      </c>
      <c r="B165" s="204" t="n"/>
      <c r="C165" s="205" t="n"/>
      <c r="D165" s="204" t="n"/>
      <c r="E165" s="206" t="n"/>
      <c r="F165" s="206" t="n"/>
      <c r="G165" s="206" t="n"/>
      <c r="H165" s="206" t="n"/>
      <c r="I165" s="206" t="n"/>
      <c r="J165" s="206" t="n"/>
      <c r="K165" s="206" t="n"/>
      <c r="L165" s="206" t="n"/>
      <c r="M165" s="206" t="n"/>
      <c r="N165" s="206" t="n"/>
      <c r="O165" s="206" t="n"/>
      <c r="P165" s="206" t="n"/>
      <c r="Q165" s="206" t="n"/>
      <c r="R165" s="206" t="n"/>
      <c r="S165" s="206" t="n"/>
      <c r="T165" s="204">
        <f>SUM(F165:S165)</f>
        <v/>
      </c>
      <c r="U165" s="207">
        <f>(HLOOKUP(B165,F:T,A165,FALSE)/T165)</f>
        <v/>
      </c>
      <c r="V165" s="189" t="n"/>
      <c r="W165" s="163">
        <f>YEAR(C165)</f>
        <v/>
      </c>
      <c r="X165" s="116">
        <f>MONTH(C165)</f>
        <v/>
      </c>
      <c r="Y165" s="116">
        <f>WEEKNUM(C165,21)</f>
        <v/>
      </c>
      <c r="Z165" s="122" t="n"/>
      <c r="AA165" s="122" t="n"/>
      <c r="AB165" s="122" t="n"/>
      <c r="AC165" s="122" t="n"/>
      <c r="AD165" s="122" t="n"/>
      <c r="AE165" s="122">
        <f>IFERROR(K165/$T165,0)</f>
        <v/>
      </c>
      <c r="AF165" s="122">
        <f>IFERROR(L165/$T165,0)</f>
        <v/>
      </c>
      <c r="AG165" s="122" t="n"/>
      <c r="AH165" s="122" t="n"/>
      <c r="AI165" s="122" t="n"/>
      <c r="AJ165" s="122" t="n"/>
      <c r="AK165" s="122" t="n"/>
      <c r="AL165" s="122" t="n"/>
      <c r="AM165" s="122" t="n"/>
      <c r="AN165" s="122">
        <f>SUM(Z165:AC165)</f>
        <v/>
      </c>
      <c r="AO165" s="122">
        <f>SUM(AD165:AL165)</f>
        <v/>
      </c>
      <c r="AP165" s="122">
        <f>SUM(AM165,AB165)</f>
        <v/>
      </c>
      <c r="AQ165" s="122">
        <f>SUM(AA165)</f>
        <v/>
      </c>
      <c r="AR165" s="121">
        <f>(AP165+AQ165)-3%</f>
        <v/>
      </c>
      <c r="AS165" s="122">
        <f>SUM(AO165+AM165)</f>
        <v/>
      </c>
      <c r="AT165" s="122">
        <f>SUM(AH165+AN165)</f>
        <v/>
      </c>
      <c r="AU165" s="122">
        <f>SUM(AN165+AO165)</f>
        <v/>
      </c>
      <c r="AV165" s="122">
        <f>SUM(AN165+AD165+AE165+AF165+AG165+AH165+AJ165+AK165+AL165)</f>
        <v/>
      </c>
      <c r="AW165" s="122">
        <f>SUM(AD165+AE165+AF165+AG165+AI165+AJ165+AK165+AL165)</f>
        <v/>
      </c>
    </row>
    <row r="166" ht="14.1" customHeight="1" s="259">
      <c r="A166" s="174">
        <f>A165+1</f>
        <v/>
      </c>
      <c r="B166" s="204" t="n"/>
      <c r="C166" s="205" t="n"/>
      <c r="D166" s="204" t="n"/>
      <c r="E166" s="206" t="n"/>
      <c r="F166" s="206" t="n"/>
      <c r="G166" s="206" t="n"/>
      <c r="H166" s="206" t="n"/>
      <c r="I166" s="206" t="n"/>
      <c r="J166" s="206" t="n"/>
      <c r="K166" s="206" t="n"/>
      <c r="L166" s="206" t="n"/>
      <c r="M166" s="206" t="n"/>
      <c r="N166" s="206" t="n"/>
      <c r="O166" s="206" t="n"/>
      <c r="P166" s="206" t="n"/>
      <c r="Q166" s="206" t="n"/>
      <c r="R166" s="206" t="n"/>
      <c r="S166" s="206" t="n"/>
      <c r="T166" s="204">
        <f>SUM(F166:S166)</f>
        <v/>
      </c>
      <c r="U166" s="207">
        <f>(HLOOKUP(B166,F:T,A166,FALSE)/T166)</f>
        <v/>
      </c>
      <c r="V166" s="189" t="n"/>
      <c r="W166" s="163">
        <f>YEAR(C166)</f>
        <v/>
      </c>
      <c r="X166" s="116">
        <f>MONTH(C166)</f>
        <v/>
      </c>
      <c r="Y166" s="116">
        <f>WEEKNUM(C166,21)</f>
        <v/>
      </c>
      <c r="Z166" s="122" t="n"/>
      <c r="AA166" s="122" t="n"/>
      <c r="AB166" s="122" t="n"/>
      <c r="AC166" s="122" t="n"/>
      <c r="AD166" s="122" t="n"/>
      <c r="AE166" s="122">
        <f>IFERROR(K166/$T166,0)</f>
        <v/>
      </c>
      <c r="AF166" s="122">
        <f>IFERROR(L166/$T166,0)</f>
        <v/>
      </c>
      <c r="AG166" s="122" t="n"/>
      <c r="AH166" s="122" t="n"/>
      <c r="AI166" s="122" t="n"/>
      <c r="AJ166" s="122" t="n"/>
      <c r="AK166" s="122" t="n"/>
      <c r="AL166" s="122" t="n"/>
      <c r="AM166" s="122" t="n"/>
      <c r="AN166" s="122">
        <f>SUM(Z166:AC166)</f>
        <v/>
      </c>
      <c r="AO166" s="122">
        <f>SUM(AD166:AL166)</f>
        <v/>
      </c>
      <c r="AP166" s="122">
        <f>SUM(AM166,AB166)</f>
        <v/>
      </c>
      <c r="AQ166" s="122">
        <f>SUM(AA166)</f>
        <v/>
      </c>
      <c r="AR166" s="121">
        <f>(AP166+AQ166)-3%</f>
        <v/>
      </c>
      <c r="AS166" s="122">
        <f>SUM(AO166+AM166)</f>
        <v/>
      </c>
      <c r="AT166" s="122">
        <f>SUM(AH166+AN166)</f>
        <v/>
      </c>
      <c r="AU166" s="122">
        <f>SUM(AN166+AO166)</f>
        <v/>
      </c>
      <c r="AV166" s="122">
        <f>SUM(AN166+AD166+AE166+AF166+AG166+AH166+AJ166+AK166+AL166)</f>
        <v/>
      </c>
      <c r="AW166" s="122">
        <f>SUM(AD166+AE166+AF166+AG166+AI166+AJ166+AK166+AL166)</f>
        <v/>
      </c>
    </row>
    <row r="167" ht="14.1" customHeight="1" s="259">
      <c r="A167" s="174">
        <f>A166+1</f>
        <v/>
      </c>
      <c r="B167" s="204" t="n"/>
      <c r="C167" s="205" t="n"/>
      <c r="D167" s="204" t="n"/>
      <c r="E167" s="206" t="n"/>
      <c r="F167" s="206" t="n"/>
      <c r="G167" s="206" t="n"/>
      <c r="H167" s="206" t="n"/>
      <c r="I167" s="206" t="n"/>
      <c r="J167" s="206" t="n"/>
      <c r="K167" s="206" t="n"/>
      <c r="L167" s="206" t="n"/>
      <c r="M167" s="206" t="n"/>
      <c r="N167" s="206" t="n"/>
      <c r="O167" s="206" t="n"/>
      <c r="P167" s="206" t="n"/>
      <c r="Q167" s="206" t="n"/>
      <c r="R167" s="206" t="n"/>
      <c r="S167" s="206" t="n"/>
      <c r="T167" s="204">
        <f>SUM(F167:S167)</f>
        <v/>
      </c>
      <c r="U167" s="207">
        <f>(HLOOKUP(B167,F:T,A167,FALSE)/T167)</f>
        <v/>
      </c>
      <c r="V167" s="189" t="n"/>
      <c r="W167" s="163">
        <f>YEAR(C167)</f>
        <v/>
      </c>
      <c r="X167" s="116">
        <f>MONTH(C167)</f>
        <v/>
      </c>
      <c r="Y167" s="116">
        <f>WEEKNUM(C167,21)</f>
        <v/>
      </c>
      <c r="Z167" s="122" t="n"/>
      <c r="AA167" s="122" t="n"/>
      <c r="AB167" s="122" t="n"/>
      <c r="AC167" s="122" t="n"/>
      <c r="AD167" s="122" t="n"/>
      <c r="AE167" s="122">
        <f>IFERROR(K167/$T167,0)</f>
        <v/>
      </c>
      <c r="AF167" s="122">
        <f>IFERROR(L167/$T167,0)</f>
        <v/>
      </c>
      <c r="AG167" s="122" t="n"/>
      <c r="AH167" s="122" t="n"/>
      <c r="AI167" s="122" t="n"/>
      <c r="AJ167" s="122" t="n"/>
      <c r="AK167" s="122" t="n"/>
      <c r="AL167" s="122" t="n"/>
      <c r="AM167" s="122" t="n"/>
      <c r="AN167" s="122">
        <f>SUM(Z167:AC167)</f>
        <v/>
      </c>
      <c r="AO167" s="122">
        <f>SUM(AD167:AL167)</f>
        <v/>
      </c>
      <c r="AP167" s="122">
        <f>SUM(AM167,AB167)</f>
        <v/>
      </c>
      <c r="AQ167" s="122">
        <f>SUM(AA167)</f>
        <v/>
      </c>
      <c r="AR167" s="121">
        <f>(AP167+AQ167)-3%</f>
        <v/>
      </c>
      <c r="AS167" s="122">
        <f>SUM(AO167+AM167)</f>
        <v/>
      </c>
      <c r="AT167" s="122">
        <f>SUM(AH167+AN167)</f>
        <v/>
      </c>
      <c r="AU167" s="122">
        <f>SUM(AN167+AO167)</f>
        <v/>
      </c>
      <c r="AV167" s="122">
        <f>SUM(AN167+AD167+AE167+AF167+AG167+AH167+AJ167+AK167+AL167)</f>
        <v/>
      </c>
      <c r="AW167" s="122">
        <f>SUM(AD167+AE167+AF167+AG167+AI167+AJ167+AK167+AL167)</f>
        <v/>
      </c>
    </row>
    <row r="168" ht="14.1" customHeight="1" s="259">
      <c r="A168" s="174">
        <f>A167+1</f>
        <v/>
      </c>
      <c r="B168" s="204" t="n"/>
      <c r="C168" s="205" t="n"/>
      <c r="D168" s="204" t="n"/>
      <c r="E168" s="206" t="n"/>
      <c r="F168" s="206" t="n"/>
      <c r="G168" s="206" t="n"/>
      <c r="H168" s="206" t="n"/>
      <c r="I168" s="206" t="n"/>
      <c r="J168" s="206" t="n"/>
      <c r="K168" s="206" t="n"/>
      <c r="L168" s="206" t="n"/>
      <c r="M168" s="206" t="n"/>
      <c r="N168" s="206" t="n"/>
      <c r="O168" s="206" t="n"/>
      <c r="P168" s="206" t="n"/>
      <c r="Q168" s="206" t="n"/>
      <c r="R168" s="206" t="n"/>
      <c r="S168" s="206" t="n"/>
      <c r="T168" s="204">
        <f>SUM(F168:S168)</f>
        <v/>
      </c>
      <c r="U168" s="207">
        <f>(HLOOKUP(B168,F:T,A168,FALSE)/T168)</f>
        <v/>
      </c>
      <c r="V168" s="189" t="n"/>
      <c r="W168" s="163">
        <f>YEAR(C168)</f>
        <v/>
      </c>
      <c r="X168" s="116">
        <f>MONTH(C168)</f>
        <v/>
      </c>
      <c r="Y168" s="116">
        <f>WEEKNUM(C168,21)</f>
        <v/>
      </c>
      <c r="Z168" s="122" t="n"/>
      <c r="AA168" s="122" t="n"/>
      <c r="AB168" s="122" t="n"/>
      <c r="AC168" s="122" t="n"/>
      <c r="AD168" s="122" t="n"/>
      <c r="AE168" s="122">
        <f>IFERROR(K168/$T168,0)</f>
        <v/>
      </c>
      <c r="AF168" s="122">
        <f>IFERROR(L168/$T168,0)</f>
        <v/>
      </c>
      <c r="AG168" s="122" t="n"/>
      <c r="AH168" s="122" t="n"/>
      <c r="AI168" s="122" t="n"/>
      <c r="AJ168" s="122" t="n"/>
      <c r="AK168" s="122" t="n"/>
      <c r="AL168" s="122" t="n"/>
      <c r="AM168" s="122" t="n"/>
      <c r="AN168" s="122">
        <f>SUM(Z168:AC168)</f>
        <v/>
      </c>
      <c r="AO168" s="122">
        <f>SUM(AD168:AL168)</f>
        <v/>
      </c>
      <c r="AP168" s="122">
        <f>SUM(AM168,AB168)</f>
        <v/>
      </c>
      <c r="AQ168" s="122">
        <f>SUM(AA168)</f>
        <v/>
      </c>
      <c r="AR168" s="121">
        <f>(AP168+AQ168)-3%</f>
        <v/>
      </c>
      <c r="AS168" s="122">
        <f>SUM(AO168+AM168)</f>
        <v/>
      </c>
      <c r="AT168" s="122">
        <f>SUM(AH168+AN168)</f>
        <v/>
      </c>
      <c r="AU168" s="122">
        <f>SUM(AN168+AO168)</f>
        <v/>
      </c>
      <c r="AV168" s="122">
        <f>SUM(AN168+AD168+AE168+AF168+AG168+AH168+AJ168+AK168+AL168)</f>
        <v/>
      </c>
      <c r="AW168" s="122">
        <f>SUM(AD168+AE168+AF168+AG168+AI168+AJ168+AK168+AL168)</f>
        <v/>
      </c>
    </row>
    <row r="169" ht="14.1" customHeight="1" s="259">
      <c r="A169" s="174">
        <f>A168+1</f>
        <v/>
      </c>
      <c r="B169" s="204" t="n"/>
      <c r="C169" s="205" t="n"/>
      <c r="D169" s="204" t="n"/>
      <c r="E169" s="206" t="n"/>
      <c r="F169" s="206" t="n"/>
      <c r="G169" s="206" t="n"/>
      <c r="H169" s="206" t="n"/>
      <c r="I169" s="206" t="n"/>
      <c r="J169" s="206" t="n"/>
      <c r="K169" s="206" t="n"/>
      <c r="L169" s="206" t="n"/>
      <c r="M169" s="206" t="n"/>
      <c r="N169" s="206" t="n"/>
      <c r="O169" s="206" t="n"/>
      <c r="P169" s="206" t="n"/>
      <c r="Q169" s="206" t="n"/>
      <c r="R169" s="206" t="n"/>
      <c r="S169" s="206" t="n"/>
      <c r="T169" s="204">
        <f>SUM(F169:S169)</f>
        <v/>
      </c>
      <c r="U169" s="207">
        <f>(HLOOKUP(B169,F:T,A169,FALSE)/T169)</f>
        <v/>
      </c>
      <c r="V169" s="189" t="n"/>
      <c r="W169" s="163">
        <f>YEAR(C169)</f>
        <v/>
      </c>
      <c r="X169" s="116">
        <f>MONTH(C169)</f>
        <v/>
      </c>
      <c r="Y169" s="116">
        <f>WEEKNUM(C169,21)</f>
        <v/>
      </c>
      <c r="Z169" s="122" t="n"/>
      <c r="AA169" s="122" t="n"/>
      <c r="AB169" s="122" t="n"/>
      <c r="AC169" s="122" t="n"/>
      <c r="AD169" s="122" t="n"/>
      <c r="AE169" s="122">
        <f>IFERROR(K169/$T169,0)</f>
        <v/>
      </c>
      <c r="AF169" s="122">
        <f>IFERROR(L169/$T169,0)</f>
        <v/>
      </c>
      <c r="AG169" s="122" t="n"/>
      <c r="AH169" s="122" t="n"/>
      <c r="AI169" s="122" t="n"/>
      <c r="AJ169" s="122" t="n"/>
      <c r="AK169" s="122" t="n"/>
      <c r="AL169" s="122" t="n"/>
      <c r="AM169" s="122" t="n"/>
      <c r="AN169" s="122">
        <f>SUM(Z169:AC169)</f>
        <v/>
      </c>
      <c r="AO169" s="122">
        <f>SUM(AD169:AL169)</f>
        <v/>
      </c>
      <c r="AP169" s="122">
        <f>SUM(AM169,AB169)</f>
        <v/>
      </c>
      <c r="AQ169" s="122">
        <f>SUM(AA169)</f>
        <v/>
      </c>
      <c r="AR169" s="121">
        <f>(AP169+AQ169)-3%</f>
        <v/>
      </c>
      <c r="AS169" s="122">
        <f>SUM(AO169+AM169)</f>
        <v/>
      </c>
      <c r="AT169" s="122">
        <f>SUM(AH169+AN169)</f>
        <v/>
      </c>
      <c r="AU169" s="122">
        <f>SUM(AN169+AO169)</f>
        <v/>
      </c>
      <c r="AV169" s="122">
        <f>SUM(AN169+AD169+AE169+AF169+AG169+AH169+AJ169+AK169+AL169)</f>
        <v/>
      </c>
      <c r="AW169" s="122">
        <f>SUM(AD169+AE169+AF169+AG169+AI169+AJ169+AK169+AL169)</f>
        <v/>
      </c>
    </row>
    <row r="170" ht="14.1" customHeight="1" s="259">
      <c r="A170" s="174">
        <f>A169+1</f>
        <v/>
      </c>
      <c r="B170" s="204" t="n"/>
      <c r="C170" s="205" t="n"/>
      <c r="D170" s="204" t="n"/>
      <c r="E170" s="206" t="n"/>
      <c r="F170" s="206" t="n"/>
      <c r="G170" s="206" t="n"/>
      <c r="H170" s="206" t="n"/>
      <c r="I170" s="206" t="n"/>
      <c r="J170" s="206" t="n"/>
      <c r="K170" s="206" t="n"/>
      <c r="L170" s="206" t="n"/>
      <c r="M170" s="206" t="n"/>
      <c r="N170" s="206" t="n"/>
      <c r="O170" s="206" t="n"/>
      <c r="P170" s="206" t="n"/>
      <c r="Q170" s="206" t="n"/>
      <c r="R170" s="206" t="n"/>
      <c r="S170" s="206" t="n"/>
      <c r="T170" s="204">
        <f>SUM(F170:S170)</f>
        <v/>
      </c>
      <c r="U170" s="207">
        <f>(HLOOKUP(B170,F:T,A170,FALSE)/T170)</f>
        <v/>
      </c>
      <c r="V170" s="189" t="n"/>
      <c r="W170" s="163">
        <f>YEAR(C170)</f>
        <v/>
      </c>
      <c r="X170" s="116">
        <f>MONTH(C170)</f>
        <v/>
      </c>
      <c r="Y170" s="116">
        <f>WEEKNUM(C170,21)</f>
        <v/>
      </c>
      <c r="Z170" s="122" t="n"/>
      <c r="AA170" s="122" t="n"/>
      <c r="AB170" s="122" t="n"/>
      <c r="AC170" s="122" t="n"/>
      <c r="AD170" s="122" t="n"/>
      <c r="AE170" s="122">
        <f>IFERROR(K170/$T170,0)</f>
        <v/>
      </c>
      <c r="AF170" s="122">
        <f>IFERROR(L170/$T170,0)</f>
        <v/>
      </c>
      <c r="AG170" s="122" t="n"/>
      <c r="AH170" s="122" t="n"/>
      <c r="AI170" s="122" t="n"/>
      <c r="AJ170" s="122" t="n"/>
      <c r="AK170" s="122" t="n"/>
      <c r="AL170" s="122" t="n"/>
      <c r="AM170" s="122" t="n"/>
      <c r="AN170" s="122">
        <f>SUM(Z170:AC170)</f>
        <v/>
      </c>
      <c r="AO170" s="122">
        <f>SUM(AD170:AL170)</f>
        <v/>
      </c>
      <c r="AP170" s="122">
        <f>SUM(AM170,AB170)</f>
        <v/>
      </c>
      <c r="AQ170" s="122">
        <f>SUM(AA170)</f>
        <v/>
      </c>
      <c r="AR170" s="121">
        <f>(AP170+AQ170)-3%</f>
        <v/>
      </c>
      <c r="AS170" s="122">
        <f>SUM(AO170+AM170)</f>
        <v/>
      </c>
      <c r="AT170" s="122">
        <f>SUM(AH170+AN170)</f>
        <v/>
      </c>
      <c r="AU170" s="122">
        <f>SUM(AN170+AO170)</f>
        <v/>
      </c>
      <c r="AV170" s="122">
        <f>SUM(AN170+AD170+AE170+AF170+AG170+AH170+AJ170+AK170+AL170)</f>
        <v/>
      </c>
      <c r="AW170" s="122">
        <f>SUM(AD170+AE170+AF170+AG170+AI170+AJ170+AK170+AL170)</f>
        <v/>
      </c>
    </row>
    <row r="171" ht="14.1" customHeight="1" s="259">
      <c r="A171" s="174">
        <f>A170+1</f>
        <v/>
      </c>
      <c r="B171" s="199" t="n"/>
      <c r="C171" s="200" t="n"/>
      <c r="D171" s="199" t="n"/>
      <c r="E171" s="201" t="n"/>
      <c r="F171" s="201" t="n"/>
      <c r="G171" s="201" t="n"/>
      <c r="H171" s="201" t="n"/>
      <c r="I171" s="201" t="n"/>
      <c r="J171" s="201" t="n"/>
      <c r="K171" s="201" t="n"/>
      <c r="L171" s="201" t="n"/>
      <c r="M171" s="201" t="n"/>
      <c r="N171" s="201" t="n"/>
      <c r="O171" s="201" t="n"/>
      <c r="P171" s="201" t="n"/>
      <c r="Q171" s="201" t="n"/>
      <c r="R171" s="201" t="n"/>
      <c r="S171" s="201" t="n"/>
      <c r="T171" s="199">
        <f>SUM(F171:S171)</f>
        <v/>
      </c>
      <c r="U171" s="202">
        <f>(HLOOKUP(B171,F:T,A171,FALSE)/T171)</f>
        <v/>
      </c>
      <c r="V171" s="189" t="n"/>
      <c r="W171" s="163">
        <f>YEAR(C171)</f>
        <v/>
      </c>
      <c r="X171" s="116">
        <f>MONTH(C171)</f>
        <v/>
      </c>
      <c r="Y171" s="116">
        <f>WEEKNUM(C171,21)</f>
        <v/>
      </c>
      <c r="Z171" s="122" t="n"/>
      <c r="AA171" s="122" t="n"/>
      <c r="AB171" s="122" t="n"/>
      <c r="AC171" s="122" t="n"/>
      <c r="AD171" s="122" t="n"/>
      <c r="AE171" s="122">
        <f>IFERROR(K171/$T171,0)</f>
        <v/>
      </c>
      <c r="AF171" s="122">
        <f>IFERROR(L171/$T171,0)</f>
        <v/>
      </c>
      <c r="AG171" s="122" t="n"/>
      <c r="AH171" s="122" t="n"/>
      <c r="AI171" s="122" t="n"/>
      <c r="AJ171" s="122" t="n"/>
      <c r="AK171" s="122" t="n"/>
      <c r="AL171" s="122" t="n"/>
      <c r="AM171" s="122" t="n"/>
      <c r="AN171" s="122">
        <f>SUM(Z171:AC171)</f>
        <v/>
      </c>
      <c r="AO171" s="122">
        <f>SUM(AD171:AL171)</f>
        <v/>
      </c>
      <c r="AP171" s="122">
        <f>SUM(AM171,AB171)</f>
        <v/>
      </c>
      <c r="AQ171" s="122">
        <f>SUM(AA171)</f>
        <v/>
      </c>
      <c r="AR171" s="121">
        <f>(AP171+AQ171)-3%</f>
        <v/>
      </c>
      <c r="AS171" s="122">
        <f>SUM(AO171+AM171)</f>
        <v/>
      </c>
      <c r="AT171" s="122">
        <f>SUM(AH171+AN171)</f>
        <v/>
      </c>
      <c r="AU171" s="122">
        <f>SUM(AN171+AO171)</f>
        <v/>
      </c>
      <c r="AV171" s="122">
        <f>SUM(AN171+AD171+AE171+AF171+AG171+AH171+AJ171+AK171+AL171)</f>
        <v/>
      </c>
      <c r="AW171" s="122">
        <f>SUM(AD171+AE171+AF171+AG171+AI171+AJ171+AK171+AL171)</f>
        <v/>
      </c>
    </row>
    <row r="172" ht="14.1" customHeight="1" s="259">
      <c r="A172" s="174">
        <f>A171+1</f>
        <v/>
      </c>
      <c r="B172" s="199" t="n"/>
      <c r="C172" s="200" t="n"/>
      <c r="D172" s="199" t="n"/>
      <c r="E172" s="201" t="n"/>
      <c r="F172" s="201" t="n"/>
      <c r="G172" s="201" t="n"/>
      <c r="H172" s="201" t="n"/>
      <c r="I172" s="201" t="n"/>
      <c r="J172" s="201" t="n"/>
      <c r="K172" s="201" t="n"/>
      <c r="L172" s="201" t="n"/>
      <c r="M172" s="201" t="n"/>
      <c r="N172" s="201" t="n"/>
      <c r="O172" s="201" t="n"/>
      <c r="P172" s="201" t="n"/>
      <c r="Q172" s="201" t="n"/>
      <c r="R172" s="201" t="n"/>
      <c r="S172" s="201" t="n"/>
      <c r="T172" s="199">
        <f>SUM(F172:S172)</f>
        <v/>
      </c>
      <c r="U172" s="202">
        <f>(HLOOKUP(B172,F:T,A172,FALSE)/T172)</f>
        <v/>
      </c>
      <c r="V172" s="189" t="n"/>
      <c r="W172" s="163">
        <f>YEAR(C172)</f>
        <v/>
      </c>
      <c r="X172" s="116">
        <f>MONTH(C172)</f>
        <v/>
      </c>
      <c r="Y172" s="116">
        <f>WEEKNUM(C172,21)</f>
        <v/>
      </c>
      <c r="Z172" s="122" t="n"/>
      <c r="AA172" s="122" t="n"/>
      <c r="AB172" s="122" t="n"/>
      <c r="AC172" s="122" t="n"/>
      <c r="AD172" s="122" t="n"/>
      <c r="AE172" s="122">
        <f>IFERROR(K172/$T172,0)</f>
        <v/>
      </c>
      <c r="AF172" s="122">
        <f>IFERROR(L172/$T172,0)</f>
        <v/>
      </c>
      <c r="AG172" s="122" t="n"/>
      <c r="AH172" s="122" t="n"/>
      <c r="AI172" s="122" t="n"/>
      <c r="AJ172" s="122" t="n"/>
      <c r="AK172" s="122" t="n"/>
      <c r="AL172" s="122" t="n"/>
      <c r="AM172" s="122" t="n"/>
      <c r="AN172" s="122">
        <f>SUM(Z172:AC172)</f>
        <v/>
      </c>
      <c r="AO172" s="122">
        <f>SUM(AD172:AL172)</f>
        <v/>
      </c>
      <c r="AP172" s="122">
        <f>SUM(AM172,AB172)</f>
        <v/>
      </c>
      <c r="AQ172" s="122">
        <f>SUM(AA172)</f>
        <v/>
      </c>
      <c r="AR172" s="121">
        <f>(AP172+AQ172)-3%</f>
        <v/>
      </c>
      <c r="AS172" s="122">
        <f>SUM(AO172+AM172)</f>
        <v/>
      </c>
      <c r="AT172" s="122">
        <f>SUM(AH172+AN172)</f>
        <v/>
      </c>
      <c r="AU172" s="122">
        <f>SUM(AN172+AO172)</f>
        <v/>
      </c>
      <c r="AV172" s="122">
        <f>SUM(AN172+AD172+AE172+AF172+AG172+AH172+AJ172+AK172+AL172)</f>
        <v/>
      </c>
      <c r="AW172" s="122">
        <f>SUM(AD172+AE172+AF172+AG172+AI172+AJ172+AK172+AL172)</f>
        <v/>
      </c>
    </row>
    <row r="173" ht="14.1" customHeight="1" s="259">
      <c r="A173" s="174">
        <f>A172+1</f>
        <v/>
      </c>
      <c r="B173" s="204" t="n"/>
      <c r="C173" s="205" t="n"/>
      <c r="D173" s="204" t="n"/>
      <c r="E173" s="206" t="n"/>
      <c r="F173" s="206" t="n"/>
      <c r="G173" s="206" t="n"/>
      <c r="H173" s="206" t="n"/>
      <c r="I173" s="206" t="n"/>
      <c r="J173" s="206" t="n"/>
      <c r="K173" s="206" t="n"/>
      <c r="L173" s="206" t="n"/>
      <c r="M173" s="206" t="n"/>
      <c r="N173" s="206" t="n"/>
      <c r="O173" s="206" t="n"/>
      <c r="P173" s="206" t="n"/>
      <c r="Q173" s="206" t="n"/>
      <c r="R173" s="206" t="n"/>
      <c r="S173" s="206" t="n"/>
      <c r="T173" s="204">
        <f>SUM(F173:S173)</f>
        <v/>
      </c>
      <c r="U173" s="207">
        <f>(HLOOKUP(B173,F:T,A173,FALSE)/T173)</f>
        <v/>
      </c>
      <c r="V173" s="189" t="n"/>
      <c r="W173" s="163">
        <f>YEAR(C173)</f>
        <v/>
      </c>
      <c r="X173" s="116">
        <f>MONTH(C173)</f>
        <v/>
      </c>
      <c r="Y173" s="116">
        <f>WEEKNUM(C173,21)</f>
        <v/>
      </c>
      <c r="Z173" s="122" t="n"/>
      <c r="AA173" s="122" t="n"/>
      <c r="AB173" s="122" t="n"/>
      <c r="AC173" s="122" t="n"/>
      <c r="AD173" s="122" t="n"/>
      <c r="AE173" s="122">
        <f>IFERROR(K173/$T173,0)</f>
        <v/>
      </c>
      <c r="AF173" s="122">
        <f>IFERROR(L173/$T173,0)</f>
        <v/>
      </c>
      <c r="AG173" s="122" t="n"/>
      <c r="AH173" s="122" t="n"/>
      <c r="AI173" s="122" t="n"/>
      <c r="AJ173" s="122" t="n"/>
      <c r="AK173" s="122" t="n"/>
      <c r="AL173" s="122" t="n"/>
      <c r="AM173" s="122" t="n"/>
      <c r="AN173" s="122">
        <f>SUM(Z173:AC173)</f>
        <v/>
      </c>
      <c r="AO173" s="122">
        <f>SUM(AD173:AL173)</f>
        <v/>
      </c>
      <c r="AP173" s="122">
        <f>SUM(AM173,AB173)</f>
        <v/>
      </c>
      <c r="AQ173" s="122">
        <f>SUM(AA173)</f>
        <v/>
      </c>
      <c r="AR173" s="121">
        <f>(AP173+AQ173)-3%</f>
        <v/>
      </c>
      <c r="AS173" s="122">
        <f>SUM(AO173+AM173)</f>
        <v/>
      </c>
      <c r="AT173" s="122">
        <f>SUM(AH173+AN173)</f>
        <v/>
      </c>
      <c r="AU173" s="122">
        <f>SUM(AN173+AO173)</f>
        <v/>
      </c>
      <c r="AV173" s="122">
        <f>SUM(AN173+AD173+AE173+AF173+AG173+AH173+AJ173+AK173+AL173)</f>
        <v/>
      </c>
      <c r="AW173" s="122">
        <f>SUM(AD173+AE173+AF173+AG173+AI173+AJ173+AK173+AL173)</f>
        <v/>
      </c>
    </row>
    <row r="174" ht="14.1" customHeight="1" s="259">
      <c r="A174" s="174">
        <f>A173+1</f>
        <v/>
      </c>
      <c r="B174" s="204" t="n"/>
      <c r="C174" s="205" t="n"/>
      <c r="D174" s="204" t="n"/>
      <c r="E174" s="206" t="n"/>
      <c r="F174" s="206" t="n"/>
      <c r="G174" s="206" t="n"/>
      <c r="H174" s="206" t="n"/>
      <c r="I174" s="206" t="n"/>
      <c r="J174" s="206" t="n"/>
      <c r="K174" s="206" t="n"/>
      <c r="L174" s="206" t="n"/>
      <c r="M174" s="206" t="n"/>
      <c r="N174" s="206" t="n"/>
      <c r="O174" s="206" t="n"/>
      <c r="P174" s="206" t="n"/>
      <c r="Q174" s="206" t="n"/>
      <c r="R174" s="206" t="n"/>
      <c r="S174" s="206" t="n"/>
      <c r="T174" s="204">
        <f>SUM(F174:S174)</f>
        <v/>
      </c>
      <c r="U174" s="207">
        <f>(HLOOKUP(B174,F:T,A174,FALSE)/T174)</f>
        <v/>
      </c>
      <c r="V174" s="189" t="n"/>
      <c r="W174" s="163">
        <f>YEAR(C174)</f>
        <v/>
      </c>
      <c r="X174" s="116">
        <f>MONTH(C174)</f>
        <v/>
      </c>
      <c r="Y174" s="116">
        <f>WEEKNUM(C174,21)</f>
        <v/>
      </c>
      <c r="Z174" s="122" t="n"/>
      <c r="AA174" s="122" t="n"/>
      <c r="AB174" s="122" t="n"/>
      <c r="AC174" s="122" t="n"/>
      <c r="AD174" s="122" t="n"/>
      <c r="AE174" s="122">
        <f>IFERROR(K174/$T174,0)</f>
        <v/>
      </c>
      <c r="AF174" s="122">
        <f>IFERROR(L174/$T174,0)</f>
        <v/>
      </c>
      <c r="AG174" s="122" t="n"/>
      <c r="AH174" s="122" t="n"/>
      <c r="AI174" s="122" t="n"/>
      <c r="AJ174" s="122" t="n"/>
      <c r="AK174" s="122" t="n"/>
      <c r="AL174" s="122" t="n"/>
      <c r="AM174" s="122" t="n"/>
      <c r="AN174" s="122">
        <f>SUM(Z174:AC174)</f>
        <v/>
      </c>
      <c r="AO174" s="122">
        <f>SUM(AD174:AL174)</f>
        <v/>
      </c>
      <c r="AP174" s="122">
        <f>SUM(AM174,AB174)</f>
        <v/>
      </c>
      <c r="AQ174" s="122">
        <f>SUM(AA174)</f>
        <v/>
      </c>
      <c r="AR174" s="121">
        <f>(AP174+AQ174)-3%</f>
        <v/>
      </c>
      <c r="AS174" s="122">
        <f>SUM(AO174+AM174)</f>
        <v/>
      </c>
      <c r="AT174" s="122">
        <f>SUM(AH174+AN174)</f>
        <v/>
      </c>
      <c r="AU174" s="122">
        <f>SUM(AN174+AO174)</f>
        <v/>
      </c>
      <c r="AV174" s="122">
        <f>SUM(AN174+AD174+AE174+AF174+AG174+AH174+AJ174+AK174+AL174)</f>
        <v/>
      </c>
      <c r="AW174" s="122">
        <f>SUM(AD174+AE174+AF174+AG174+AI174+AJ174+AK174+AL174)</f>
        <v/>
      </c>
    </row>
    <row r="175" ht="14.1" customHeight="1" s="259">
      <c r="A175" s="174">
        <f>A174+1</f>
        <v/>
      </c>
      <c r="B175" s="204" t="n"/>
      <c r="C175" s="205" t="n"/>
      <c r="D175" s="204" t="n"/>
      <c r="E175" s="206" t="n"/>
      <c r="F175" s="206" t="n"/>
      <c r="G175" s="206" t="n"/>
      <c r="H175" s="206" t="n"/>
      <c r="I175" s="206" t="n"/>
      <c r="J175" s="206" t="n"/>
      <c r="K175" s="206" t="n"/>
      <c r="L175" s="206" t="n"/>
      <c r="M175" s="206" t="n"/>
      <c r="N175" s="206" t="n"/>
      <c r="O175" s="206" t="n"/>
      <c r="P175" s="206" t="n"/>
      <c r="Q175" s="206" t="n"/>
      <c r="R175" s="206" t="n"/>
      <c r="S175" s="206" t="n"/>
      <c r="T175" s="204">
        <f>SUM(F175:S175)</f>
        <v/>
      </c>
      <c r="U175" s="207">
        <f>(HLOOKUP(B175,F:T,A175,FALSE)/T175)</f>
        <v/>
      </c>
      <c r="V175" s="189" t="n"/>
      <c r="W175" s="163">
        <f>YEAR(C175)</f>
        <v/>
      </c>
      <c r="X175" s="116">
        <f>MONTH(C175)</f>
        <v/>
      </c>
      <c r="Y175" s="116">
        <f>WEEKNUM(C175,21)</f>
        <v/>
      </c>
      <c r="Z175" s="122" t="n"/>
      <c r="AA175" s="122" t="n"/>
      <c r="AB175" s="122" t="n"/>
      <c r="AC175" s="122" t="n"/>
      <c r="AD175" s="122" t="n"/>
      <c r="AE175" s="122">
        <f>IFERROR(K175/$T175,0)</f>
        <v/>
      </c>
      <c r="AF175" s="122">
        <f>IFERROR(L175/$T175,0)</f>
        <v/>
      </c>
      <c r="AG175" s="122" t="n"/>
      <c r="AH175" s="122" t="n"/>
      <c r="AI175" s="122" t="n"/>
      <c r="AJ175" s="122" t="n"/>
      <c r="AK175" s="122" t="n"/>
      <c r="AL175" s="122" t="n"/>
      <c r="AM175" s="122" t="n"/>
      <c r="AN175" s="122">
        <f>SUM(Z175:AC175)</f>
        <v/>
      </c>
      <c r="AO175" s="122">
        <f>SUM(AD175:AL175)</f>
        <v/>
      </c>
      <c r="AP175" s="122">
        <f>SUM(AM175,AB175)</f>
        <v/>
      </c>
      <c r="AQ175" s="122">
        <f>SUM(AA175)</f>
        <v/>
      </c>
      <c r="AR175" s="121">
        <f>(AP175+AQ175)-3%</f>
        <v/>
      </c>
      <c r="AS175" s="122">
        <f>SUM(AO175+AM175)</f>
        <v/>
      </c>
      <c r="AT175" s="122">
        <f>SUM(AH175+AN175)</f>
        <v/>
      </c>
      <c r="AU175" s="122">
        <f>SUM(AN175+AO175)</f>
        <v/>
      </c>
      <c r="AV175" s="122">
        <f>SUM(AN175+AD175+AE175+AF175+AG175+AH175+AJ175+AK175+AL175)</f>
        <v/>
      </c>
      <c r="AW175" s="122">
        <f>SUM(AD175+AE175+AF175+AG175+AI175+AJ175+AK175+AL175)</f>
        <v/>
      </c>
    </row>
    <row r="176" ht="14.1" customHeight="1" s="259">
      <c r="A176" s="174">
        <f>A175+1</f>
        <v/>
      </c>
      <c r="B176" s="204" t="n"/>
      <c r="C176" s="205" t="n"/>
      <c r="D176" s="204" t="n"/>
      <c r="E176" s="206" t="n"/>
      <c r="F176" s="206" t="n"/>
      <c r="G176" s="206" t="n"/>
      <c r="H176" s="206" t="n"/>
      <c r="I176" s="206" t="n"/>
      <c r="J176" s="206" t="n"/>
      <c r="K176" s="206" t="n"/>
      <c r="L176" s="206" t="n"/>
      <c r="M176" s="206" t="n"/>
      <c r="N176" s="206" t="n"/>
      <c r="O176" s="206" t="n"/>
      <c r="P176" s="206" t="n"/>
      <c r="Q176" s="206" t="n"/>
      <c r="R176" s="206" t="n"/>
      <c r="S176" s="206" t="n"/>
      <c r="T176" s="204">
        <f>SUM(F176:S176)</f>
        <v/>
      </c>
      <c r="U176" s="207">
        <f>(HLOOKUP(B176,F:T,A176,FALSE)/T176)</f>
        <v/>
      </c>
      <c r="V176" s="189" t="n"/>
      <c r="W176" s="163">
        <f>YEAR(C176)</f>
        <v/>
      </c>
      <c r="X176" s="116">
        <f>MONTH(C176)</f>
        <v/>
      </c>
      <c r="Y176" s="116">
        <f>WEEKNUM(C176,21)</f>
        <v/>
      </c>
      <c r="Z176" s="122" t="n"/>
      <c r="AA176" s="122" t="n"/>
      <c r="AB176" s="122" t="n"/>
      <c r="AC176" s="122" t="n"/>
      <c r="AD176" s="122" t="n"/>
      <c r="AE176" s="122">
        <f>IFERROR(K176/$T176,0)</f>
        <v/>
      </c>
      <c r="AF176" s="122">
        <f>IFERROR(L176/$T176,0)</f>
        <v/>
      </c>
      <c r="AG176" s="122" t="n"/>
      <c r="AH176" s="122" t="n"/>
      <c r="AI176" s="122" t="n"/>
      <c r="AJ176" s="122" t="n"/>
      <c r="AK176" s="122" t="n"/>
      <c r="AL176" s="122" t="n"/>
      <c r="AM176" s="122" t="n"/>
      <c r="AN176" s="122">
        <f>SUM(Z176:AC176)</f>
        <v/>
      </c>
      <c r="AO176" s="122">
        <f>SUM(AD176:AL176)</f>
        <v/>
      </c>
      <c r="AP176" s="122">
        <f>SUM(AM176,AB176)</f>
        <v/>
      </c>
      <c r="AQ176" s="122">
        <f>SUM(AA176)</f>
        <v/>
      </c>
      <c r="AR176" s="121">
        <f>(AP176+AQ176)-3%</f>
        <v/>
      </c>
      <c r="AS176" s="122">
        <f>SUM(AO176+AM176)</f>
        <v/>
      </c>
      <c r="AT176" s="122">
        <f>SUM(AH176+AN176)</f>
        <v/>
      </c>
      <c r="AU176" s="122">
        <f>SUM(AN176+AO176)</f>
        <v/>
      </c>
      <c r="AV176" s="122">
        <f>SUM(AN176+AD176+AE176+AF176+AG176+AH176+AJ176+AK176+AL176)</f>
        <v/>
      </c>
      <c r="AW176" s="122">
        <f>SUM(AD176+AE176+AF176+AG176+AI176+AJ176+AK176+AL176)</f>
        <v/>
      </c>
    </row>
    <row r="177" ht="14.1" customHeight="1" s="259">
      <c r="A177" s="174">
        <f>A176+1</f>
        <v/>
      </c>
      <c r="B177" s="204" t="n"/>
      <c r="C177" s="205" t="n"/>
      <c r="D177" s="204" t="n"/>
      <c r="E177" s="206" t="n"/>
      <c r="F177" s="206" t="n"/>
      <c r="G177" s="206" t="n"/>
      <c r="H177" s="206" t="n"/>
      <c r="I177" s="206" t="n"/>
      <c r="J177" s="206" t="n"/>
      <c r="K177" s="206" t="n"/>
      <c r="L177" s="206" t="n"/>
      <c r="M177" s="206" t="n"/>
      <c r="N177" s="206" t="n"/>
      <c r="O177" s="206" t="n"/>
      <c r="P177" s="206" t="n"/>
      <c r="Q177" s="206" t="n"/>
      <c r="R177" s="206" t="n"/>
      <c r="S177" s="206" t="n"/>
      <c r="T177" s="204">
        <f>SUM(F177:S177)</f>
        <v/>
      </c>
      <c r="U177" s="207">
        <f>(HLOOKUP(B177,F:T,A177,FALSE)/T177)</f>
        <v/>
      </c>
      <c r="V177" s="189" t="n"/>
      <c r="W177" s="163">
        <f>YEAR(C177)</f>
        <v/>
      </c>
      <c r="X177" s="116">
        <f>MONTH(C177)</f>
        <v/>
      </c>
      <c r="Y177" s="116">
        <f>WEEKNUM(C177,21)</f>
        <v/>
      </c>
      <c r="Z177" s="122" t="n"/>
      <c r="AA177" s="122" t="n"/>
      <c r="AB177" s="122" t="n"/>
      <c r="AC177" s="122" t="n"/>
      <c r="AD177" s="122" t="n"/>
      <c r="AE177" s="122">
        <f>IFERROR(K177/$T177,0)</f>
        <v/>
      </c>
      <c r="AF177" s="122">
        <f>IFERROR(L177/$T177,0)</f>
        <v/>
      </c>
      <c r="AG177" s="122" t="n"/>
      <c r="AH177" s="122" t="n"/>
      <c r="AI177" s="122" t="n"/>
      <c r="AJ177" s="122" t="n"/>
      <c r="AK177" s="122" t="n"/>
      <c r="AL177" s="122" t="n"/>
      <c r="AM177" s="122" t="n"/>
      <c r="AN177" s="122">
        <f>SUM(Z177:AC177)</f>
        <v/>
      </c>
      <c r="AO177" s="122">
        <f>SUM(AD177:AL177)</f>
        <v/>
      </c>
      <c r="AP177" s="122">
        <f>SUM(AM177,AB177)</f>
        <v/>
      </c>
      <c r="AQ177" s="122">
        <f>SUM(AA177)</f>
        <v/>
      </c>
      <c r="AR177" s="121">
        <f>(AP177+AQ177)-3%</f>
        <v/>
      </c>
      <c r="AS177" s="122">
        <f>SUM(AO177+AM177)</f>
        <v/>
      </c>
      <c r="AT177" s="122">
        <f>SUM(AH177+AN177)</f>
        <v/>
      </c>
      <c r="AU177" s="122">
        <f>SUM(AN177+AO177)</f>
        <v/>
      </c>
      <c r="AV177" s="122">
        <f>SUM(AN177+AD177+AE177+AF177+AG177+AH177+AJ177+AK177+AL177)</f>
        <v/>
      </c>
      <c r="AW177" s="122">
        <f>SUM(AD177+AE177+AF177+AG177+AI177+AJ177+AK177+AL177)</f>
        <v/>
      </c>
    </row>
    <row r="178" ht="14.1" customHeight="1" s="259">
      <c r="A178" s="174">
        <f>A177+1</f>
        <v/>
      </c>
      <c r="B178" s="204" t="n"/>
      <c r="C178" s="205" t="n"/>
      <c r="D178" s="204" t="n"/>
      <c r="E178" s="206" t="n"/>
      <c r="F178" s="206" t="n"/>
      <c r="G178" s="206" t="n"/>
      <c r="H178" s="206" t="n"/>
      <c r="I178" s="206" t="n"/>
      <c r="J178" s="206" t="n"/>
      <c r="K178" s="206" t="n"/>
      <c r="L178" s="206" t="n"/>
      <c r="M178" s="206" t="n"/>
      <c r="N178" s="206" t="n"/>
      <c r="O178" s="206" t="n"/>
      <c r="P178" s="206" t="n"/>
      <c r="Q178" s="206" t="n"/>
      <c r="R178" s="206" t="n"/>
      <c r="S178" s="206" t="n"/>
      <c r="T178" s="204">
        <f>SUM(F178:S178)</f>
        <v/>
      </c>
      <c r="U178" s="207">
        <f>(HLOOKUP(B178,F:T,A178,FALSE)/T178)</f>
        <v/>
      </c>
      <c r="V178" s="189" t="n"/>
      <c r="W178" s="163">
        <f>YEAR(C178)</f>
        <v/>
      </c>
      <c r="X178" s="116">
        <f>MONTH(C178)</f>
        <v/>
      </c>
      <c r="Y178" s="116">
        <f>WEEKNUM(C178,21)</f>
        <v/>
      </c>
      <c r="Z178" s="122" t="n"/>
      <c r="AA178" s="122" t="n"/>
      <c r="AB178" s="122" t="n"/>
      <c r="AC178" s="122" t="n"/>
      <c r="AD178" s="122" t="n"/>
      <c r="AE178" s="122">
        <f>IFERROR(K178/$T178,0)</f>
        <v/>
      </c>
      <c r="AF178" s="122">
        <f>IFERROR(L178/$T178,0)</f>
        <v/>
      </c>
      <c r="AG178" s="122" t="n"/>
      <c r="AH178" s="122" t="n"/>
      <c r="AI178" s="122" t="n"/>
      <c r="AJ178" s="122" t="n"/>
      <c r="AK178" s="122" t="n"/>
      <c r="AL178" s="122" t="n"/>
      <c r="AM178" s="122" t="n"/>
      <c r="AN178" s="122">
        <f>SUM(Z178:AC178)</f>
        <v/>
      </c>
      <c r="AO178" s="122">
        <f>SUM(AD178:AL178)</f>
        <v/>
      </c>
      <c r="AP178" s="122">
        <f>SUM(AM178,AB178)</f>
        <v/>
      </c>
      <c r="AQ178" s="122">
        <f>SUM(AA178)</f>
        <v/>
      </c>
      <c r="AR178" s="121">
        <f>(AP178+AQ178)-3%</f>
        <v/>
      </c>
      <c r="AS178" s="122">
        <f>SUM(AO178+AM178)</f>
        <v/>
      </c>
      <c r="AT178" s="122">
        <f>SUM(AH178+AN178)</f>
        <v/>
      </c>
      <c r="AU178" s="122">
        <f>SUM(AN178+AO178)</f>
        <v/>
      </c>
      <c r="AV178" s="122">
        <f>SUM(AN178+AD178+AE178+AF178+AG178+AH178+AJ178+AK178+AL178)</f>
        <v/>
      </c>
      <c r="AW178" s="122">
        <f>SUM(AD178+AE178+AF178+AG178+AI178+AJ178+AK178+AL178)</f>
        <v/>
      </c>
    </row>
    <row r="179" ht="14.1" customHeight="1" s="259">
      <c r="A179" s="174">
        <f>A178+1</f>
        <v/>
      </c>
      <c r="B179" s="204" t="n"/>
      <c r="C179" s="205" t="n"/>
      <c r="D179" s="204" t="n"/>
      <c r="E179" s="206" t="n"/>
      <c r="F179" s="206" t="n"/>
      <c r="G179" s="206" t="n"/>
      <c r="H179" s="206" t="n"/>
      <c r="I179" s="206" t="n"/>
      <c r="J179" s="206" t="n"/>
      <c r="K179" s="206" t="n"/>
      <c r="L179" s="206" t="n"/>
      <c r="M179" s="206" t="n"/>
      <c r="N179" s="206" t="n"/>
      <c r="O179" s="206" t="n"/>
      <c r="P179" s="206" t="n"/>
      <c r="Q179" s="206" t="n"/>
      <c r="R179" s="206" t="n"/>
      <c r="S179" s="206" t="n"/>
      <c r="T179" s="204">
        <f>SUM(F179:S179)</f>
        <v/>
      </c>
      <c r="U179" s="207">
        <f>(HLOOKUP(B179,F:T,A179,FALSE)/T179)</f>
        <v/>
      </c>
      <c r="V179" s="189" t="n"/>
      <c r="W179" s="163">
        <f>YEAR(C179)</f>
        <v/>
      </c>
      <c r="X179" s="116">
        <f>MONTH(C179)</f>
        <v/>
      </c>
      <c r="Y179" s="116">
        <f>WEEKNUM(C179,21)</f>
        <v/>
      </c>
      <c r="Z179" s="122" t="n"/>
      <c r="AA179" s="122" t="n"/>
      <c r="AB179" s="122" t="n"/>
      <c r="AC179" s="122" t="n"/>
      <c r="AD179" s="122" t="n"/>
      <c r="AE179" s="122">
        <f>IFERROR(K179/$T179,0)</f>
        <v/>
      </c>
      <c r="AF179" s="122">
        <f>IFERROR(L179/$T179,0)</f>
        <v/>
      </c>
      <c r="AG179" s="122" t="n"/>
      <c r="AH179" s="122" t="n"/>
      <c r="AI179" s="122" t="n"/>
      <c r="AJ179" s="122" t="n"/>
      <c r="AK179" s="122" t="n"/>
      <c r="AL179" s="122" t="n"/>
      <c r="AM179" s="122" t="n"/>
      <c r="AN179" s="122">
        <f>SUM(Z179:AC179)</f>
        <v/>
      </c>
      <c r="AO179" s="122">
        <f>SUM(AD179:AL179)</f>
        <v/>
      </c>
      <c r="AP179" s="122">
        <f>SUM(AM179,AB179)</f>
        <v/>
      </c>
      <c r="AQ179" s="122">
        <f>SUM(AA179)</f>
        <v/>
      </c>
      <c r="AR179" s="121">
        <f>(AP179+AQ179)-3%</f>
        <v/>
      </c>
      <c r="AS179" s="122">
        <f>SUM(AO179+AM179)</f>
        <v/>
      </c>
      <c r="AT179" s="122">
        <f>SUM(AH179+AN179)</f>
        <v/>
      </c>
      <c r="AU179" s="122">
        <f>SUM(AN179+AO179)</f>
        <v/>
      </c>
      <c r="AV179" s="122">
        <f>SUM(AN179+AD179+AE179+AF179+AG179+AH179+AJ179+AK179+AL179)</f>
        <v/>
      </c>
      <c r="AW179" s="122">
        <f>SUM(AD179+AE179+AF179+AG179+AI179+AJ179+AK179+AL179)</f>
        <v/>
      </c>
    </row>
    <row r="180" ht="14.1" customHeight="1" s="259">
      <c r="A180" s="174">
        <f>A179+1</f>
        <v/>
      </c>
      <c r="B180" s="204" t="n"/>
      <c r="C180" s="205" t="n"/>
      <c r="D180" s="204" t="n"/>
      <c r="E180" s="206" t="n"/>
      <c r="F180" s="206" t="n"/>
      <c r="G180" s="206" t="n"/>
      <c r="H180" s="206" t="n"/>
      <c r="I180" s="206" t="n"/>
      <c r="J180" s="206" t="n"/>
      <c r="K180" s="206" t="n"/>
      <c r="L180" s="206" t="n"/>
      <c r="M180" s="206" t="n"/>
      <c r="N180" s="206" t="n"/>
      <c r="O180" s="206" t="n"/>
      <c r="P180" s="206" t="n"/>
      <c r="Q180" s="206" t="n"/>
      <c r="R180" s="206" t="n"/>
      <c r="S180" s="206" t="n"/>
      <c r="T180" s="204">
        <f>SUM(F180:S180)</f>
        <v/>
      </c>
      <c r="U180" s="207">
        <f>(HLOOKUP(B180,F:T,A180,FALSE)/T180)</f>
        <v/>
      </c>
      <c r="V180" s="189" t="n"/>
      <c r="W180" s="163">
        <f>YEAR(C180)</f>
        <v/>
      </c>
      <c r="X180" s="116">
        <f>MONTH(C180)</f>
        <v/>
      </c>
      <c r="Y180" s="116">
        <f>WEEKNUM(C180,21)</f>
        <v/>
      </c>
      <c r="Z180" s="122" t="n"/>
      <c r="AA180" s="122" t="n"/>
      <c r="AB180" s="122" t="n"/>
      <c r="AC180" s="122" t="n"/>
      <c r="AD180" s="122" t="n"/>
      <c r="AE180" s="122">
        <f>IFERROR(K180/$T180,0)</f>
        <v/>
      </c>
      <c r="AF180" s="122">
        <f>IFERROR(L180/$T180,0)</f>
        <v/>
      </c>
      <c r="AG180" s="122" t="n"/>
      <c r="AH180" s="122" t="n"/>
      <c r="AI180" s="122" t="n"/>
      <c r="AJ180" s="122" t="n"/>
      <c r="AK180" s="122" t="n"/>
      <c r="AL180" s="122" t="n"/>
      <c r="AM180" s="122" t="n"/>
      <c r="AN180" s="122">
        <f>SUM(Z180:AC180)</f>
        <v/>
      </c>
      <c r="AO180" s="122">
        <f>SUM(AD180:AL180)</f>
        <v/>
      </c>
      <c r="AP180" s="122">
        <f>SUM(AM180,AB180)</f>
        <v/>
      </c>
      <c r="AQ180" s="122">
        <f>SUM(AA180)</f>
        <v/>
      </c>
      <c r="AR180" s="121">
        <f>(AP180+AQ180)-3%</f>
        <v/>
      </c>
      <c r="AS180" s="122">
        <f>SUM(AO180+AM180)</f>
        <v/>
      </c>
      <c r="AT180" s="122">
        <f>SUM(AH180+AN180)</f>
        <v/>
      </c>
      <c r="AU180" s="122">
        <f>SUM(AN180+AO180)</f>
        <v/>
      </c>
      <c r="AV180" s="122">
        <f>SUM(AN180+AD180+AE180+AF180+AG180+AH180+AJ180+AK180+AL180)</f>
        <v/>
      </c>
      <c r="AW180" s="122">
        <f>SUM(AD180+AE180+AF180+AG180+AI180+AJ180+AK180+AL180)</f>
        <v/>
      </c>
    </row>
    <row r="181" ht="14.1" customHeight="1" s="259">
      <c r="A181" s="174">
        <f>A180+1</f>
        <v/>
      </c>
      <c r="B181" s="204" t="n"/>
      <c r="C181" s="205" t="n"/>
      <c r="D181" s="204" t="n"/>
      <c r="E181" s="206" t="n"/>
      <c r="F181" s="206" t="n"/>
      <c r="G181" s="206" t="n"/>
      <c r="H181" s="206" t="n"/>
      <c r="I181" s="206" t="n"/>
      <c r="J181" s="206" t="n"/>
      <c r="K181" s="206" t="n"/>
      <c r="L181" s="206" t="n"/>
      <c r="M181" s="206" t="n"/>
      <c r="N181" s="206" t="n"/>
      <c r="O181" s="206" t="n"/>
      <c r="P181" s="206" t="n"/>
      <c r="Q181" s="206" t="n"/>
      <c r="R181" s="206" t="n"/>
      <c r="S181" s="206" t="n"/>
      <c r="T181" s="204">
        <f>SUM(F181:S181)</f>
        <v/>
      </c>
      <c r="U181" s="207">
        <f>(HLOOKUP(B181,F:T,A181,FALSE)/T181)</f>
        <v/>
      </c>
      <c r="V181" s="189" t="n"/>
      <c r="W181" s="163">
        <f>YEAR(C181)</f>
        <v/>
      </c>
      <c r="X181" s="116">
        <f>MONTH(C181)</f>
        <v/>
      </c>
      <c r="Y181" s="116">
        <f>WEEKNUM(C181,21)</f>
        <v/>
      </c>
      <c r="Z181" s="122" t="n"/>
      <c r="AA181" s="122" t="n"/>
      <c r="AB181" s="122" t="n"/>
      <c r="AC181" s="122" t="n"/>
      <c r="AD181" s="122" t="n"/>
      <c r="AE181" s="122">
        <f>IFERROR(K181/$T181,0)</f>
        <v/>
      </c>
      <c r="AF181" s="122">
        <f>IFERROR(L181/$T181,0)</f>
        <v/>
      </c>
      <c r="AG181" s="122" t="n"/>
      <c r="AH181" s="122" t="n"/>
      <c r="AI181" s="122" t="n"/>
      <c r="AJ181" s="122" t="n"/>
      <c r="AK181" s="122" t="n"/>
      <c r="AL181" s="122" t="n"/>
      <c r="AM181" s="122" t="n"/>
      <c r="AN181" s="122">
        <f>SUM(Z181:AC181)</f>
        <v/>
      </c>
      <c r="AO181" s="122">
        <f>SUM(AD181:AL181)</f>
        <v/>
      </c>
      <c r="AP181" s="122">
        <f>SUM(AM181,AB181)</f>
        <v/>
      </c>
      <c r="AQ181" s="122">
        <f>SUM(AA181)</f>
        <v/>
      </c>
      <c r="AR181" s="121">
        <f>(AP181+AQ181)-3%</f>
        <v/>
      </c>
      <c r="AS181" s="122">
        <f>SUM(AO181+AM181)</f>
        <v/>
      </c>
      <c r="AT181" s="122">
        <f>SUM(AH181+AN181)</f>
        <v/>
      </c>
      <c r="AU181" s="122">
        <f>SUM(AN181+AO181)</f>
        <v/>
      </c>
      <c r="AV181" s="122">
        <f>SUM(AN181+AD181+AE181+AF181+AG181+AH181+AJ181+AK181+AL181)</f>
        <v/>
      </c>
      <c r="AW181" s="122">
        <f>SUM(AD181+AE181+AF181+AG181+AI181+AJ181+AK181+AL181)</f>
        <v/>
      </c>
    </row>
    <row r="182" ht="14.1" customHeight="1" s="259">
      <c r="A182" s="174">
        <f>A181+1</f>
        <v/>
      </c>
      <c r="B182" s="199" t="n"/>
      <c r="C182" s="200" t="n"/>
      <c r="D182" s="199" t="n"/>
      <c r="E182" s="201" t="n"/>
      <c r="F182" s="201" t="n"/>
      <c r="G182" s="201" t="n"/>
      <c r="H182" s="201" t="n"/>
      <c r="I182" s="201" t="n"/>
      <c r="J182" s="201" t="n"/>
      <c r="K182" s="201" t="n"/>
      <c r="L182" s="201" t="n"/>
      <c r="M182" s="201" t="n"/>
      <c r="N182" s="201" t="n"/>
      <c r="O182" s="201" t="n"/>
      <c r="P182" s="201" t="n"/>
      <c r="Q182" s="201" t="n"/>
      <c r="R182" s="201" t="n"/>
      <c r="S182" s="201" t="n"/>
      <c r="T182" s="199">
        <f>SUM(F182:S182)</f>
        <v/>
      </c>
      <c r="U182" s="202">
        <f>(HLOOKUP(B182,F:T,A182,FALSE)/T182)</f>
        <v/>
      </c>
      <c r="V182" s="189" t="n"/>
      <c r="W182" s="163">
        <f>YEAR(C182)</f>
        <v/>
      </c>
      <c r="X182" s="116">
        <f>MONTH(C182)</f>
        <v/>
      </c>
      <c r="Y182" s="116">
        <f>WEEKNUM(C182,21)</f>
        <v/>
      </c>
      <c r="Z182" s="122" t="n"/>
      <c r="AA182" s="122" t="n"/>
      <c r="AB182" s="122" t="n"/>
      <c r="AC182" s="122" t="n"/>
      <c r="AD182" s="122" t="n"/>
      <c r="AE182" s="122">
        <f>IFERROR(K182/$T182,0)</f>
        <v/>
      </c>
      <c r="AF182" s="122">
        <f>IFERROR(L182/$T182,0)</f>
        <v/>
      </c>
      <c r="AG182" s="122" t="n"/>
      <c r="AH182" s="122" t="n"/>
      <c r="AI182" s="122" t="n"/>
      <c r="AJ182" s="122" t="n"/>
      <c r="AK182" s="122" t="n"/>
      <c r="AL182" s="122" t="n"/>
      <c r="AM182" s="122" t="n"/>
      <c r="AN182" s="122">
        <f>SUM(Z182:AC182)</f>
        <v/>
      </c>
      <c r="AO182" s="122">
        <f>SUM(AD182:AL182)</f>
        <v/>
      </c>
      <c r="AP182" s="122">
        <f>SUM(AM182,AB182)</f>
        <v/>
      </c>
      <c r="AQ182" s="122">
        <f>SUM(AA182)</f>
        <v/>
      </c>
      <c r="AR182" s="121">
        <f>(AP182+AQ182)-3%</f>
        <v/>
      </c>
      <c r="AS182" s="122">
        <f>SUM(AO182+AM182)</f>
        <v/>
      </c>
      <c r="AT182" s="122">
        <f>SUM(AH182+AN182)</f>
        <v/>
      </c>
      <c r="AU182" s="122">
        <f>SUM(AN182+AO182)</f>
        <v/>
      </c>
      <c r="AV182" s="122">
        <f>SUM(AN182+AD182+AE182+AF182+AG182+AH182+AJ182+AK182+AL182)</f>
        <v/>
      </c>
      <c r="AW182" s="122">
        <f>SUM(AD182+AE182+AF182+AG182+AI182+AJ182+AK182+AL182)</f>
        <v/>
      </c>
    </row>
    <row r="183" ht="14.1" customHeight="1" s="259">
      <c r="A183" s="174">
        <f>A182+1</f>
        <v/>
      </c>
      <c r="B183" s="199" t="n"/>
      <c r="C183" s="200" t="n"/>
      <c r="D183" s="199" t="n"/>
      <c r="E183" s="201" t="n"/>
      <c r="F183" s="201" t="n"/>
      <c r="G183" s="201" t="n"/>
      <c r="H183" s="201" t="n"/>
      <c r="I183" s="201" t="n"/>
      <c r="J183" s="201" t="n"/>
      <c r="K183" s="201" t="n"/>
      <c r="L183" s="201" t="n"/>
      <c r="M183" s="201" t="n"/>
      <c r="N183" s="201" t="n"/>
      <c r="O183" s="201" t="n"/>
      <c r="P183" s="201" t="n"/>
      <c r="Q183" s="201" t="n"/>
      <c r="R183" s="201" t="n"/>
      <c r="S183" s="201" t="n"/>
      <c r="T183" s="199">
        <f>SUM(F183:S183)</f>
        <v/>
      </c>
      <c r="U183" s="202">
        <f>(HLOOKUP(B183,F:T,A183,FALSE)/T183)</f>
        <v/>
      </c>
      <c r="V183" s="189" t="n"/>
      <c r="W183" s="163">
        <f>YEAR(C183)</f>
        <v/>
      </c>
      <c r="X183" s="116">
        <f>MONTH(C183)</f>
        <v/>
      </c>
      <c r="Y183" s="116">
        <f>WEEKNUM(C183,21)</f>
        <v/>
      </c>
      <c r="Z183" s="122" t="n"/>
      <c r="AA183" s="122" t="n"/>
      <c r="AB183" s="122" t="n"/>
      <c r="AC183" s="122" t="n"/>
      <c r="AD183" s="122" t="n"/>
      <c r="AE183" s="122">
        <f>IFERROR(K183/$T183,0)</f>
        <v/>
      </c>
      <c r="AF183" s="122">
        <f>IFERROR(L183/$T183,0)</f>
        <v/>
      </c>
      <c r="AG183" s="122" t="n"/>
      <c r="AH183" s="122" t="n"/>
      <c r="AI183" s="122" t="n"/>
      <c r="AJ183" s="122" t="n"/>
      <c r="AK183" s="122" t="n"/>
      <c r="AL183" s="122" t="n"/>
      <c r="AM183" s="122" t="n"/>
      <c r="AN183" s="122">
        <f>SUM(Z183:AC183)</f>
        <v/>
      </c>
      <c r="AO183" s="122">
        <f>SUM(AD183:AL183)</f>
        <v/>
      </c>
      <c r="AP183" s="122">
        <f>SUM(AM183,AB183)</f>
        <v/>
      </c>
      <c r="AQ183" s="122">
        <f>SUM(AA183)</f>
        <v/>
      </c>
      <c r="AR183" s="121">
        <f>(AP183+AQ183)-3%</f>
        <v/>
      </c>
      <c r="AS183" s="122">
        <f>SUM(AO183+AM183)</f>
        <v/>
      </c>
      <c r="AT183" s="122">
        <f>SUM(AH183+AN183)</f>
        <v/>
      </c>
      <c r="AU183" s="122">
        <f>SUM(AN183+AO183)</f>
        <v/>
      </c>
      <c r="AV183" s="122">
        <f>SUM(AN183+AD183+AE183+AF183+AG183+AH183+AJ183+AK183+AL183)</f>
        <v/>
      </c>
      <c r="AW183" s="122">
        <f>SUM(AD183+AE183+AF183+AG183+AI183+AJ183+AK183+AL183)</f>
        <v/>
      </c>
    </row>
    <row r="184" ht="14.1" customHeight="1" s="259">
      <c r="A184" s="174">
        <f>A183+1</f>
        <v/>
      </c>
      <c r="B184" s="204" t="n"/>
      <c r="C184" s="205" t="n"/>
      <c r="D184" s="204" t="n"/>
      <c r="E184" s="206" t="n"/>
      <c r="F184" s="206" t="n"/>
      <c r="G184" s="206" t="n"/>
      <c r="H184" s="206" t="n"/>
      <c r="I184" s="206" t="n"/>
      <c r="J184" s="206" t="n"/>
      <c r="K184" s="206" t="n"/>
      <c r="L184" s="206" t="n"/>
      <c r="M184" s="206" t="n"/>
      <c r="N184" s="206" t="n"/>
      <c r="O184" s="206" t="n"/>
      <c r="P184" s="206" t="n"/>
      <c r="Q184" s="206" t="n"/>
      <c r="R184" s="206" t="n"/>
      <c r="S184" s="206" t="n"/>
      <c r="T184" s="204">
        <f>SUM(F184:S184)</f>
        <v/>
      </c>
      <c r="U184" s="207">
        <f>(HLOOKUP(B184,F:T,A184,FALSE)/T184)</f>
        <v/>
      </c>
      <c r="V184" s="189" t="n"/>
      <c r="W184" s="163">
        <f>YEAR(C184)</f>
        <v/>
      </c>
      <c r="X184" s="116">
        <f>MONTH(C184)</f>
        <v/>
      </c>
      <c r="Y184" s="116">
        <f>WEEKNUM(C184,21)</f>
        <v/>
      </c>
      <c r="Z184" s="122" t="n"/>
      <c r="AA184" s="122" t="n"/>
      <c r="AB184" s="122" t="n"/>
      <c r="AC184" s="122" t="n"/>
      <c r="AD184" s="122" t="n"/>
      <c r="AE184" s="122">
        <f>IFERROR(K184/$T184,0)</f>
        <v/>
      </c>
      <c r="AF184" s="122">
        <f>IFERROR(L184/$T184,0)</f>
        <v/>
      </c>
      <c r="AG184" s="122" t="n"/>
      <c r="AH184" s="122" t="n"/>
      <c r="AI184" s="122" t="n"/>
      <c r="AJ184" s="122" t="n"/>
      <c r="AK184" s="122" t="n"/>
      <c r="AL184" s="122" t="n"/>
      <c r="AM184" s="122" t="n"/>
      <c r="AN184" s="122">
        <f>SUM(Z184:AC184)</f>
        <v/>
      </c>
      <c r="AO184" s="122">
        <f>SUM(AD184:AL184)</f>
        <v/>
      </c>
      <c r="AP184" s="122">
        <f>SUM(AM184,AB184)</f>
        <v/>
      </c>
      <c r="AQ184" s="122">
        <f>SUM(AA184)</f>
        <v/>
      </c>
      <c r="AR184" s="121">
        <f>(AP184+AQ184)-3%</f>
        <v/>
      </c>
      <c r="AS184" s="122">
        <f>SUM(AO184+AM184)</f>
        <v/>
      </c>
      <c r="AT184" s="122">
        <f>SUM(AH184+AN184)</f>
        <v/>
      </c>
      <c r="AU184" s="122">
        <f>SUM(AN184+AO184)</f>
        <v/>
      </c>
      <c r="AV184" s="122">
        <f>SUM(AN184+AD184+AE184+AF184+AG184+AH184+AJ184+AK184+AL184)</f>
        <v/>
      </c>
      <c r="AW184" s="122">
        <f>SUM(AD184+AE184+AF184+AG184+AI184+AJ184+AK184+AL184)</f>
        <v/>
      </c>
    </row>
    <row r="185" ht="14.1" customHeight="1" s="259">
      <c r="A185" s="174">
        <f>A184+1</f>
        <v/>
      </c>
      <c r="B185" s="204" t="n"/>
      <c r="C185" s="205" t="n"/>
      <c r="D185" s="204" t="n"/>
      <c r="E185" s="206" t="n"/>
      <c r="F185" s="206" t="n"/>
      <c r="G185" s="206" t="n"/>
      <c r="H185" s="206" t="n"/>
      <c r="I185" s="206" t="n"/>
      <c r="J185" s="206" t="n"/>
      <c r="K185" s="206" t="n"/>
      <c r="L185" s="206" t="n"/>
      <c r="M185" s="206" t="n"/>
      <c r="N185" s="206" t="n"/>
      <c r="O185" s="206" t="n"/>
      <c r="P185" s="206" t="n"/>
      <c r="Q185" s="206" t="n"/>
      <c r="R185" s="206" t="n"/>
      <c r="S185" s="206" t="n"/>
      <c r="T185" s="204">
        <f>SUM(F185:S185)</f>
        <v/>
      </c>
      <c r="U185" s="207">
        <f>(HLOOKUP(B185,F:T,A185,FALSE)/T185)</f>
        <v/>
      </c>
      <c r="V185" s="189" t="n"/>
      <c r="W185" s="163">
        <f>YEAR(C185)</f>
        <v/>
      </c>
      <c r="X185" s="116">
        <f>MONTH(C185)</f>
        <v/>
      </c>
      <c r="Y185" s="116">
        <f>WEEKNUM(C185,21)</f>
        <v/>
      </c>
      <c r="Z185" s="122" t="n"/>
      <c r="AA185" s="122" t="n"/>
      <c r="AB185" s="122" t="n"/>
      <c r="AC185" s="122" t="n"/>
      <c r="AD185" s="122" t="n"/>
      <c r="AE185" s="122">
        <f>IFERROR(K185/$T185,0)</f>
        <v/>
      </c>
      <c r="AF185" s="122">
        <f>IFERROR(L185/$T185,0)</f>
        <v/>
      </c>
      <c r="AG185" s="122" t="n"/>
      <c r="AH185" s="122" t="n"/>
      <c r="AI185" s="122" t="n"/>
      <c r="AJ185" s="122" t="n"/>
      <c r="AK185" s="122" t="n"/>
      <c r="AL185" s="122" t="n"/>
      <c r="AM185" s="122" t="n"/>
      <c r="AN185" s="122">
        <f>SUM(Z185:AC185)</f>
        <v/>
      </c>
      <c r="AO185" s="122">
        <f>SUM(AD185:AL185)</f>
        <v/>
      </c>
      <c r="AP185" s="122">
        <f>SUM(AM185,AB185)</f>
        <v/>
      </c>
      <c r="AQ185" s="122">
        <f>SUM(AA185)</f>
        <v/>
      </c>
      <c r="AR185" s="121">
        <f>(AP185+AQ185)-3%</f>
        <v/>
      </c>
      <c r="AS185" s="122">
        <f>SUM(AO185+AM185)</f>
        <v/>
      </c>
      <c r="AT185" s="122">
        <f>SUM(AH185+AN185)</f>
        <v/>
      </c>
      <c r="AU185" s="122">
        <f>SUM(AN185+AO185)</f>
        <v/>
      </c>
      <c r="AV185" s="122">
        <f>SUM(AN185+AD185+AE185+AF185+AG185+AH185+AJ185+AK185+AL185)</f>
        <v/>
      </c>
      <c r="AW185" s="122">
        <f>SUM(AD185+AE185+AF185+AG185+AI185+AJ185+AK185+AL185)</f>
        <v/>
      </c>
    </row>
    <row r="186" ht="14.1" customHeight="1" s="259">
      <c r="A186" s="174">
        <f>A185+1</f>
        <v/>
      </c>
      <c r="B186" s="204" t="n"/>
      <c r="C186" s="205" t="n"/>
      <c r="D186" s="204" t="n"/>
      <c r="E186" s="206" t="n"/>
      <c r="F186" s="206" t="n"/>
      <c r="G186" s="206" t="n"/>
      <c r="H186" s="206" t="n"/>
      <c r="I186" s="206" t="n"/>
      <c r="J186" s="206" t="n"/>
      <c r="K186" s="206" t="n"/>
      <c r="L186" s="206" t="n"/>
      <c r="M186" s="206" t="n"/>
      <c r="N186" s="206" t="n"/>
      <c r="O186" s="206" t="n"/>
      <c r="P186" s="206" t="n"/>
      <c r="Q186" s="206" t="n"/>
      <c r="R186" s="206" t="n"/>
      <c r="S186" s="206" t="n"/>
      <c r="T186" s="204">
        <f>SUM(F186:S186)</f>
        <v/>
      </c>
      <c r="U186" s="207">
        <f>(HLOOKUP(B186,F:T,A186,FALSE)/T186)</f>
        <v/>
      </c>
      <c r="V186" s="189" t="n"/>
      <c r="W186" s="163">
        <f>YEAR(C186)</f>
        <v/>
      </c>
      <c r="X186" s="116">
        <f>MONTH(C186)</f>
        <v/>
      </c>
      <c r="Y186" s="116">
        <f>WEEKNUM(C186,21)</f>
        <v/>
      </c>
      <c r="Z186" s="122" t="n"/>
      <c r="AA186" s="122" t="n"/>
      <c r="AB186" s="122" t="n"/>
      <c r="AC186" s="122" t="n"/>
      <c r="AD186" s="122" t="n"/>
      <c r="AE186" s="122">
        <f>IFERROR(K186/$T186,0)</f>
        <v/>
      </c>
      <c r="AF186" s="122">
        <f>IFERROR(L186/$T186,0)</f>
        <v/>
      </c>
      <c r="AG186" s="122" t="n"/>
      <c r="AH186" s="122" t="n"/>
      <c r="AI186" s="122" t="n"/>
      <c r="AJ186" s="122" t="n"/>
      <c r="AK186" s="122" t="n"/>
      <c r="AL186" s="122" t="n"/>
      <c r="AM186" s="122" t="n"/>
      <c r="AN186" s="122">
        <f>SUM(Z186:AC186)</f>
        <v/>
      </c>
      <c r="AO186" s="122">
        <f>SUM(AD186:AL186)</f>
        <v/>
      </c>
      <c r="AP186" s="122">
        <f>SUM(AM186,AB186)</f>
        <v/>
      </c>
      <c r="AQ186" s="122">
        <f>SUM(AA186)</f>
        <v/>
      </c>
      <c r="AR186" s="121">
        <f>(AP186+AQ186)-3%</f>
        <v/>
      </c>
      <c r="AS186" s="122">
        <f>SUM(AO186+AM186)</f>
        <v/>
      </c>
      <c r="AT186" s="122">
        <f>SUM(AH186+AN186)</f>
        <v/>
      </c>
      <c r="AU186" s="122">
        <f>SUM(AN186+AO186)</f>
        <v/>
      </c>
      <c r="AV186" s="122">
        <f>SUM(AN186+AD186+AE186+AF186+AG186+AH186+AJ186+AK186+AL186)</f>
        <v/>
      </c>
      <c r="AW186" s="122">
        <f>SUM(AD186+AE186+AF186+AG186+AI186+AJ186+AK186+AL186)</f>
        <v/>
      </c>
    </row>
    <row r="187" ht="14.1" customHeight="1" s="259">
      <c r="A187" s="174">
        <f>A186+1</f>
        <v/>
      </c>
      <c r="B187" s="204" t="n"/>
      <c r="C187" s="205" t="n"/>
      <c r="D187" s="204" t="n"/>
      <c r="E187" s="206" t="n"/>
      <c r="F187" s="206" t="n"/>
      <c r="G187" s="206" t="n"/>
      <c r="H187" s="206" t="n"/>
      <c r="I187" s="206" t="n"/>
      <c r="J187" s="206" t="n"/>
      <c r="K187" s="206" t="n"/>
      <c r="L187" s="206" t="n"/>
      <c r="M187" s="206" t="n"/>
      <c r="N187" s="206" t="n"/>
      <c r="O187" s="206" t="n"/>
      <c r="P187" s="206" t="n"/>
      <c r="Q187" s="206" t="n"/>
      <c r="R187" s="206" t="n"/>
      <c r="S187" s="206" t="n"/>
      <c r="T187" s="204">
        <f>SUM(F187:S187)</f>
        <v/>
      </c>
      <c r="U187" s="207">
        <f>(HLOOKUP(B187,F:T,A187,FALSE)/T187)</f>
        <v/>
      </c>
      <c r="V187" s="189" t="n"/>
      <c r="W187" s="163">
        <f>YEAR(C187)</f>
        <v/>
      </c>
      <c r="X187" s="116">
        <f>MONTH(C187)</f>
        <v/>
      </c>
      <c r="Y187" s="116">
        <f>WEEKNUM(C187,21)</f>
        <v/>
      </c>
      <c r="Z187" s="122" t="n"/>
      <c r="AA187" s="122" t="n"/>
      <c r="AB187" s="122" t="n"/>
      <c r="AC187" s="122" t="n"/>
      <c r="AD187" s="122" t="n"/>
      <c r="AE187" s="122">
        <f>IFERROR(K187/$T187,0)</f>
        <v/>
      </c>
      <c r="AF187" s="122">
        <f>IFERROR(L187/$T187,0)</f>
        <v/>
      </c>
      <c r="AG187" s="122" t="n"/>
      <c r="AH187" s="122" t="n"/>
      <c r="AI187" s="122" t="n"/>
      <c r="AJ187" s="122" t="n"/>
      <c r="AK187" s="122" t="n"/>
      <c r="AL187" s="122" t="n"/>
      <c r="AM187" s="122" t="n"/>
      <c r="AN187" s="122">
        <f>SUM(Z187:AC187)</f>
        <v/>
      </c>
      <c r="AO187" s="122">
        <f>SUM(AD187:AL187)</f>
        <v/>
      </c>
      <c r="AP187" s="122">
        <f>SUM(AM187,AB187)</f>
        <v/>
      </c>
      <c r="AQ187" s="122">
        <f>SUM(AA187)</f>
        <v/>
      </c>
      <c r="AR187" s="121">
        <f>(AP187+AQ187)-3%</f>
        <v/>
      </c>
      <c r="AS187" s="122">
        <f>SUM(AO187+AM187)</f>
        <v/>
      </c>
      <c r="AT187" s="122">
        <f>SUM(AH187+AN187)</f>
        <v/>
      </c>
      <c r="AU187" s="122">
        <f>SUM(AN187+AO187)</f>
        <v/>
      </c>
      <c r="AV187" s="122">
        <f>SUM(AN187+AD187+AE187+AF187+AG187+AH187+AJ187+AK187+AL187)</f>
        <v/>
      </c>
      <c r="AW187" s="122">
        <f>SUM(AD187+AE187+AF187+AG187+AI187+AJ187+AK187+AL187)</f>
        <v/>
      </c>
    </row>
    <row r="188" ht="14.1" customHeight="1" s="259">
      <c r="A188" s="174">
        <f>A187+1</f>
        <v/>
      </c>
      <c r="B188" s="204" t="n"/>
      <c r="C188" s="205" t="n"/>
      <c r="D188" s="204" t="n"/>
      <c r="E188" s="206" t="n"/>
      <c r="F188" s="206" t="n"/>
      <c r="G188" s="206" t="n"/>
      <c r="H188" s="206" t="n"/>
      <c r="I188" s="206" t="n"/>
      <c r="J188" s="206" t="n"/>
      <c r="K188" s="206" t="n"/>
      <c r="L188" s="206" t="n"/>
      <c r="M188" s="206" t="n"/>
      <c r="N188" s="206" t="n"/>
      <c r="O188" s="206" t="n"/>
      <c r="P188" s="206" t="n"/>
      <c r="Q188" s="206" t="n"/>
      <c r="R188" s="206" t="n"/>
      <c r="S188" s="206" t="n"/>
      <c r="T188" s="204">
        <f>SUM(F188:S188)</f>
        <v/>
      </c>
      <c r="U188" s="207">
        <f>(HLOOKUP(B188,F:T,A188,FALSE)/T188)</f>
        <v/>
      </c>
      <c r="V188" s="189" t="n"/>
      <c r="W188" s="163">
        <f>YEAR(C188)</f>
        <v/>
      </c>
      <c r="X188" s="116">
        <f>MONTH(C188)</f>
        <v/>
      </c>
      <c r="Y188" s="116">
        <f>WEEKNUM(C188,21)</f>
        <v/>
      </c>
      <c r="Z188" s="122" t="n"/>
      <c r="AA188" s="122" t="n"/>
      <c r="AB188" s="122" t="n"/>
      <c r="AC188" s="122" t="n"/>
      <c r="AD188" s="122" t="n"/>
      <c r="AE188" s="122">
        <f>IFERROR(K188/$T188,0)</f>
        <v/>
      </c>
      <c r="AF188" s="122">
        <f>IFERROR(L188/$T188,0)</f>
        <v/>
      </c>
      <c r="AG188" s="122" t="n"/>
      <c r="AH188" s="122" t="n"/>
      <c r="AI188" s="122" t="n"/>
      <c r="AJ188" s="122" t="n"/>
      <c r="AK188" s="122" t="n"/>
      <c r="AL188" s="122" t="n"/>
      <c r="AM188" s="122" t="n"/>
      <c r="AN188" s="122">
        <f>SUM(Z188:AC188)</f>
        <v/>
      </c>
      <c r="AO188" s="122">
        <f>SUM(AD188:AL188)</f>
        <v/>
      </c>
      <c r="AP188" s="122">
        <f>SUM(AM188,AB188)</f>
        <v/>
      </c>
      <c r="AQ188" s="122">
        <f>SUM(AA188)</f>
        <v/>
      </c>
      <c r="AR188" s="121">
        <f>(AP188+AQ188)-3%</f>
        <v/>
      </c>
      <c r="AS188" s="122">
        <f>SUM(AO188+AM188)</f>
        <v/>
      </c>
      <c r="AT188" s="122">
        <f>SUM(AH188+AN188)</f>
        <v/>
      </c>
      <c r="AU188" s="122">
        <f>SUM(AN188+AO188)</f>
        <v/>
      </c>
      <c r="AV188" s="122">
        <f>SUM(AN188+AD188+AE188+AF188+AG188+AH188+AJ188+AK188+AL188)</f>
        <v/>
      </c>
      <c r="AW188" s="122">
        <f>SUM(AD188+AE188+AF188+AG188+AI188+AJ188+AK188+AL188)</f>
        <v/>
      </c>
    </row>
    <row r="189" ht="14.1" customHeight="1" s="259">
      <c r="A189" s="174">
        <f>A188+1</f>
        <v/>
      </c>
      <c r="B189" s="204" t="n"/>
      <c r="C189" s="205" t="n"/>
      <c r="D189" s="204" t="n"/>
      <c r="E189" s="206" t="n"/>
      <c r="F189" s="206" t="n"/>
      <c r="G189" s="206" t="n"/>
      <c r="H189" s="206" t="n"/>
      <c r="I189" s="206" t="n"/>
      <c r="J189" s="206" t="n"/>
      <c r="K189" s="206" t="n"/>
      <c r="L189" s="206" t="n"/>
      <c r="M189" s="206" t="n"/>
      <c r="N189" s="206" t="n"/>
      <c r="O189" s="206" t="n"/>
      <c r="P189" s="206" t="n"/>
      <c r="Q189" s="206" t="n"/>
      <c r="R189" s="206" t="n"/>
      <c r="S189" s="206" t="n"/>
      <c r="T189" s="204">
        <f>SUM(F189:S189)</f>
        <v/>
      </c>
      <c r="U189" s="207">
        <f>(HLOOKUP(B189,F:T,A189,FALSE)/T189)</f>
        <v/>
      </c>
      <c r="V189" s="189" t="n"/>
      <c r="W189" s="163">
        <f>YEAR(C189)</f>
        <v/>
      </c>
      <c r="X189" s="116">
        <f>MONTH(C189)</f>
        <v/>
      </c>
      <c r="Y189" s="116">
        <f>WEEKNUM(C189,21)</f>
        <v/>
      </c>
      <c r="Z189" s="122" t="n"/>
      <c r="AA189" s="122" t="n"/>
      <c r="AB189" s="122" t="n"/>
      <c r="AC189" s="122" t="n"/>
      <c r="AD189" s="122" t="n"/>
      <c r="AE189" s="122">
        <f>IFERROR(K189/$T189,0)</f>
        <v/>
      </c>
      <c r="AF189" s="122">
        <f>IFERROR(L189/$T189,0)</f>
        <v/>
      </c>
      <c r="AG189" s="122" t="n"/>
      <c r="AH189" s="122" t="n"/>
      <c r="AI189" s="122" t="n"/>
      <c r="AJ189" s="122" t="n"/>
      <c r="AK189" s="122" t="n"/>
      <c r="AL189" s="122" t="n"/>
      <c r="AM189" s="122" t="n"/>
      <c r="AN189" s="122">
        <f>SUM(Z189:AC189)</f>
        <v/>
      </c>
      <c r="AO189" s="122">
        <f>SUM(AD189:AL189)</f>
        <v/>
      </c>
      <c r="AP189" s="122">
        <f>SUM(AM189,AB189)</f>
        <v/>
      </c>
      <c r="AQ189" s="122">
        <f>SUM(AA189)</f>
        <v/>
      </c>
      <c r="AR189" s="121">
        <f>(AP189+AQ189)-3%</f>
        <v/>
      </c>
      <c r="AS189" s="122">
        <f>SUM(AO189+AM189)</f>
        <v/>
      </c>
      <c r="AT189" s="122">
        <f>SUM(AH189+AN189)</f>
        <v/>
      </c>
      <c r="AU189" s="122">
        <f>SUM(AN189+AO189)</f>
        <v/>
      </c>
      <c r="AV189" s="122">
        <f>SUM(AN189+AD189+AE189+AF189+AG189+AH189+AJ189+AK189+AL189)</f>
        <v/>
      </c>
      <c r="AW189" s="122">
        <f>SUM(AD189+AE189+AF189+AG189+AI189+AJ189+AK189+AL189)</f>
        <v/>
      </c>
    </row>
    <row r="190" ht="14.1" customHeight="1" s="259">
      <c r="A190" s="174">
        <f>A189+1</f>
        <v/>
      </c>
      <c r="B190" s="204" t="n"/>
      <c r="C190" s="205" t="n"/>
      <c r="D190" s="204" t="n"/>
      <c r="E190" s="206" t="n"/>
      <c r="F190" s="206" t="n"/>
      <c r="G190" s="206" t="n"/>
      <c r="H190" s="206" t="n"/>
      <c r="I190" s="206" t="n"/>
      <c r="J190" s="206" t="n"/>
      <c r="K190" s="206" t="n"/>
      <c r="L190" s="206" t="n"/>
      <c r="M190" s="206" t="n"/>
      <c r="N190" s="206" t="n"/>
      <c r="O190" s="206" t="n"/>
      <c r="P190" s="206" t="n"/>
      <c r="Q190" s="206" t="n"/>
      <c r="R190" s="206" t="n"/>
      <c r="S190" s="206" t="n"/>
      <c r="T190" s="204">
        <f>SUM(F190:S190)</f>
        <v/>
      </c>
      <c r="U190" s="207">
        <f>(HLOOKUP(B190,F:T,A190,FALSE)/T190)</f>
        <v/>
      </c>
      <c r="V190" s="189" t="n"/>
      <c r="W190" s="163">
        <f>YEAR(C190)</f>
        <v/>
      </c>
      <c r="X190" s="116">
        <f>MONTH(C190)</f>
        <v/>
      </c>
      <c r="Y190" s="116">
        <f>WEEKNUM(C190,21)</f>
        <v/>
      </c>
      <c r="Z190" s="122" t="n"/>
      <c r="AA190" s="122" t="n"/>
      <c r="AB190" s="122" t="n"/>
      <c r="AC190" s="122" t="n"/>
      <c r="AD190" s="122" t="n"/>
      <c r="AE190" s="122">
        <f>IFERROR(K190/$T190,0)</f>
        <v/>
      </c>
      <c r="AF190" s="122">
        <f>IFERROR(L190/$T190,0)</f>
        <v/>
      </c>
      <c r="AG190" s="122" t="n"/>
      <c r="AH190" s="122" t="n"/>
      <c r="AI190" s="122" t="n"/>
      <c r="AJ190" s="122" t="n"/>
      <c r="AK190" s="122" t="n"/>
      <c r="AL190" s="122" t="n"/>
      <c r="AM190" s="122" t="n"/>
      <c r="AN190" s="122">
        <f>SUM(Z190:AC190)</f>
        <v/>
      </c>
      <c r="AO190" s="122">
        <f>SUM(AD190:AL190)</f>
        <v/>
      </c>
      <c r="AP190" s="122">
        <f>SUM(AM190,AB190)</f>
        <v/>
      </c>
      <c r="AQ190" s="122">
        <f>SUM(AA190)</f>
        <v/>
      </c>
      <c r="AR190" s="121">
        <f>(AP190+AQ190)-3%</f>
        <v/>
      </c>
      <c r="AS190" s="122">
        <f>SUM(AO190+AM190)</f>
        <v/>
      </c>
      <c r="AT190" s="122">
        <f>SUM(AH190+AN190)</f>
        <v/>
      </c>
      <c r="AU190" s="122">
        <f>SUM(AN190+AO190)</f>
        <v/>
      </c>
      <c r="AV190" s="122">
        <f>SUM(AN190+AD190+AE190+AF190+AG190+AH190+AJ190+AK190+AL190)</f>
        <v/>
      </c>
      <c r="AW190" s="122">
        <f>SUM(AD190+AE190+AF190+AG190+AI190+AJ190+AK190+AL190)</f>
        <v/>
      </c>
    </row>
    <row r="191" ht="14.1" customHeight="1" s="259">
      <c r="A191" s="174">
        <f>A190+1</f>
        <v/>
      </c>
      <c r="B191" s="204" t="n"/>
      <c r="C191" s="205" t="n"/>
      <c r="D191" s="204" t="n"/>
      <c r="E191" s="206" t="n"/>
      <c r="F191" s="206" t="n"/>
      <c r="G191" s="206" t="n"/>
      <c r="H191" s="206" t="n"/>
      <c r="I191" s="206" t="n"/>
      <c r="J191" s="206" t="n"/>
      <c r="K191" s="206" t="n"/>
      <c r="L191" s="206" t="n"/>
      <c r="M191" s="206" t="n"/>
      <c r="N191" s="206" t="n"/>
      <c r="O191" s="206" t="n"/>
      <c r="P191" s="206" t="n"/>
      <c r="Q191" s="206" t="n"/>
      <c r="R191" s="206" t="n"/>
      <c r="S191" s="206" t="n"/>
      <c r="T191" s="204">
        <f>SUM(F191:S191)</f>
        <v/>
      </c>
      <c r="U191" s="207">
        <f>(HLOOKUP(B191,F:T,A191,FALSE)/T191)</f>
        <v/>
      </c>
      <c r="V191" s="189" t="n"/>
      <c r="W191" s="163">
        <f>YEAR(C191)</f>
        <v/>
      </c>
      <c r="X191" s="116">
        <f>MONTH(C191)</f>
        <v/>
      </c>
      <c r="Y191" s="116">
        <f>WEEKNUM(C191,21)</f>
        <v/>
      </c>
      <c r="Z191" s="122" t="n"/>
      <c r="AA191" s="122" t="n"/>
      <c r="AB191" s="122" t="n"/>
      <c r="AC191" s="122" t="n"/>
      <c r="AD191" s="122" t="n"/>
      <c r="AE191" s="122">
        <f>IFERROR(K191/$T191,0)</f>
        <v/>
      </c>
      <c r="AF191" s="122">
        <f>IFERROR(L191/$T191,0)</f>
        <v/>
      </c>
      <c r="AG191" s="122" t="n"/>
      <c r="AH191" s="122" t="n"/>
      <c r="AI191" s="122" t="n"/>
      <c r="AJ191" s="122" t="n"/>
      <c r="AK191" s="122" t="n"/>
      <c r="AL191" s="122" t="n"/>
      <c r="AM191" s="122" t="n"/>
      <c r="AN191" s="122">
        <f>SUM(Z191:AC191)</f>
        <v/>
      </c>
      <c r="AO191" s="122">
        <f>SUM(AD191:AL191)</f>
        <v/>
      </c>
      <c r="AP191" s="122">
        <f>SUM(AM191,AB191)</f>
        <v/>
      </c>
      <c r="AQ191" s="122">
        <f>SUM(AA191)</f>
        <v/>
      </c>
      <c r="AR191" s="121">
        <f>(AP191+AQ191)-3%</f>
        <v/>
      </c>
      <c r="AS191" s="122">
        <f>SUM(AO191+AM191)</f>
        <v/>
      </c>
      <c r="AT191" s="122">
        <f>SUM(AH191+AN191)</f>
        <v/>
      </c>
      <c r="AU191" s="122">
        <f>SUM(AN191+AO191)</f>
        <v/>
      </c>
      <c r="AV191" s="122">
        <f>SUM(AN191+AD191+AE191+AF191+AG191+AH191+AJ191+AK191+AL191)</f>
        <v/>
      </c>
      <c r="AW191" s="122">
        <f>SUM(AD191+AE191+AF191+AG191+AI191+AJ191+AK191+AL191)</f>
        <v/>
      </c>
    </row>
    <row r="192" ht="14.1" customHeight="1" s="259">
      <c r="A192" s="174">
        <f>A191+1</f>
        <v/>
      </c>
      <c r="B192" s="204" t="n"/>
      <c r="C192" s="205" t="n"/>
      <c r="D192" s="204" t="n"/>
      <c r="E192" s="206" t="n"/>
      <c r="F192" s="206" t="n"/>
      <c r="G192" s="206" t="n"/>
      <c r="H192" s="206" t="n"/>
      <c r="I192" s="206" t="n"/>
      <c r="J192" s="206" t="n"/>
      <c r="K192" s="206" t="n"/>
      <c r="L192" s="206" t="n"/>
      <c r="M192" s="206" t="n"/>
      <c r="N192" s="206" t="n"/>
      <c r="O192" s="206" t="n"/>
      <c r="P192" s="206" t="n"/>
      <c r="Q192" s="206" t="n"/>
      <c r="R192" s="206" t="n"/>
      <c r="S192" s="206" t="n"/>
      <c r="T192" s="204">
        <f>SUM(F192:S192)</f>
        <v/>
      </c>
      <c r="U192" s="207">
        <f>(HLOOKUP(B192,F:T,A192,FALSE)/T192)</f>
        <v/>
      </c>
      <c r="V192" s="189" t="n"/>
      <c r="W192" s="163">
        <f>YEAR(C192)</f>
        <v/>
      </c>
      <c r="X192" s="116">
        <f>MONTH(C192)</f>
        <v/>
      </c>
      <c r="Y192" s="116">
        <f>WEEKNUM(C192,21)</f>
        <v/>
      </c>
      <c r="Z192" s="122" t="n"/>
      <c r="AA192" s="122" t="n"/>
      <c r="AB192" s="122" t="n"/>
      <c r="AC192" s="122" t="n"/>
      <c r="AD192" s="122" t="n"/>
      <c r="AE192" s="122">
        <f>IFERROR(K192/$T192,0)</f>
        <v/>
      </c>
      <c r="AF192" s="122">
        <f>IFERROR(L192/$T192,0)</f>
        <v/>
      </c>
      <c r="AG192" s="122" t="n"/>
      <c r="AH192" s="122" t="n"/>
      <c r="AI192" s="122" t="n"/>
      <c r="AJ192" s="122" t="n"/>
      <c r="AK192" s="122" t="n"/>
      <c r="AL192" s="122" t="n"/>
      <c r="AM192" s="122" t="n"/>
      <c r="AN192" s="122">
        <f>SUM(Z192:AC192)</f>
        <v/>
      </c>
      <c r="AO192" s="122">
        <f>SUM(AD192:AL192)</f>
        <v/>
      </c>
      <c r="AP192" s="122">
        <f>SUM(AM192,AB192)</f>
        <v/>
      </c>
      <c r="AQ192" s="122">
        <f>SUM(AA192)</f>
        <v/>
      </c>
      <c r="AR192" s="121">
        <f>(AP192+AQ192)-3%</f>
        <v/>
      </c>
      <c r="AS192" s="122">
        <f>SUM(AO192+AM192)</f>
        <v/>
      </c>
      <c r="AT192" s="122">
        <f>SUM(AH192+AN192)</f>
        <v/>
      </c>
      <c r="AU192" s="122">
        <f>SUM(AN192+AO192)</f>
        <v/>
      </c>
      <c r="AV192" s="122">
        <f>SUM(AN192+AD192+AE192+AF192+AG192+AH192+AJ192+AK192+AL192)</f>
        <v/>
      </c>
      <c r="AW192" s="122">
        <f>SUM(AD192+AE192+AF192+AG192+AI192+AJ192+AK192+AL192)</f>
        <v/>
      </c>
    </row>
    <row r="193" ht="14.1" customHeight="1" s="259">
      <c r="A193" s="174">
        <f>A192+1</f>
        <v/>
      </c>
      <c r="B193" s="199" t="n"/>
      <c r="C193" s="200" t="n"/>
      <c r="D193" s="199" t="n"/>
      <c r="E193" s="201" t="n"/>
      <c r="F193" s="201" t="n"/>
      <c r="G193" s="201" t="n"/>
      <c r="H193" s="201" t="n"/>
      <c r="I193" s="201" t="n"/>
      <c r="J193" s="201" t="n"/>
      <c r="K193" s="201" t="n"/>
      <c r="L193" s="201" t="n"/>
      <c r="M193" s="201" t="n"/>
      <c r="N193" s="201" t="n"/>
      <c r="O193" s="201" t="n"/>
      <c r="P193" s="201" t="n"/>
      <c r="Q193" s="201" t="n"/>
      <c r="R193" s="201" t="n"/>
      <c r="S193" s="201" t="n"/>
      <c r="T193" s="199">
        <f>SUM(F193:S193)</f>
        <v/>
      </c>
      <c r="U193" s="202">
        <f>(HLOOKUP(B193,F:T,A193,FALSE)/T193)</f>
        <v/>
      </c>
      <c r="V193" s="189" t="n"/>
      <c r="W193" s="163">
        <f>YEAR(C193)</f>
        <v/>
      </c>
      <c r="X193" s="116">
        <f>MONTH(C193)</f>
        <v/>
      </c>
      <c r="Y193" s="116">
        <f>WEEKNUM(C193,21)</f>
        <v/>
      </c>
      <c r="Z193" s="122" t="n"/>
      <c r="AA193" s="122" t="n"/>
      <c r="AB193" s="122" t="n"/>
      <c r="AC193" s="122" t="n"/>
      <c r="AD193" s="122" t="n"/>
      <c r="AE193" s="122">
        <f>IFERROR(K193/$T193,0)</f>
        <v/>
      </c>
      <c r="AF193" s="122">
        <f>IFERROR(L193/$T193,0)</f>
        <v/>
      </c>
      <c r="AG193" s="122" t="n"/>
      <c r="AH193" s="122" t="n"/>
      <c r="AI193" s="122" t="n"/>
      <c r="AJ193" s="122" t="n"/>
      <c r="AK193" s="122" t="n"/>
      <c r="AL193" s="122" t="n"/>
      <c r="AM193" s="122" t="n"/>
      <c r="AN193" s="122">
        <f>SUM(Z193:AC193)</f>
        <v/>
      </c>
      <c r="AO193" s="122">
        <f>SUM(AD193:AL193)</f>
        <v/>
      </c>
      <c r="AP193" s="122">
        <f>SUM(AM193,AB193)</f>
        <v/>
      </c>
      <c r="AQ193" s="122">
        <f>SUM(AA193)</f>
        <v/>
      </c>
      <c r="AR193" s="121">
        <f>(AP193+AQ193)-3%</f>
        <v/>
      </c>
      <c r="AS193" s="122">
        <f>SUM(AO193+AM193)</f>
        <v/>
      </c>
      <c r="AT193" s="122">
        <f>SUM(AH193+AN193)</f>
        <v/>
      </c>
      <c r="AU193" s="122">
        <f>SUM(AN193+AO193)</f>
        <v/>
      </c>
      <c r="AV193" s="122">
        <f>SUM(AN193+AD193+AE193+AF193+AG193+AH193+AJ193+AK193+AL193)</f>
        <v/>
      </c>
      <c r="AW193" s="122">
        <f>SUM(AD193+AE193+AF193+AG193+AI193+AJ193+AK193+AL193)</f>
        <v/>
      </c>
    </row>
    <row r="194" ht="14.1" customHeight="1" s="259">
      <c r="A194" s="174">
        <f>A193+1</f>
        <v/>
      </c>
      <c r="B194" s="199" t="n"/>
      <c r="C194" s="200" t="n"/>
      <c r="D194" s="199" t="n"/>
      <c r="E194" s="201" t="n"/>
      <c r="F194" s="201" t="n"/>
      <c r="G194" s="201" t="n"/>
      <c r="H194" s="201" t="n"/>
      <c r="I194" s="201" t="n"/>
      <c r="J194" s="201" t="n"/>
      <c r="K194" s="201" t="n"/>
      <c r="L194" s="201" t="n"/>
      <c r="M194" s="201" t="n"/>
      <c r="N194" s="201" t="n"/>
      <c r="O194" s="201" t="n"/>
      <c r="P194" s="201" t="n"/>
      <c r="Q194" s="201" t="n"/>
      <c r="R194" s="201" t="n"/>
      <c r="S194" s="201" t="n"/>
      <c r="T194" s="199">
        <f>SUM(F194:S194)</f>
        <v/>
      </c>
      <c r="U194" s="202">
        <f>(HLOOKUP(B194,F:T,A194,FALSE)/T194)</f>
        <v/>
      </c>
      <c r="V194" s="189" t="n"/>
      <c r="W194" s="163">
        <f>YEAR(C194)</f>
        <v/>
      </c>
      <c r="X194" s="116">
        <f>MONTH(C194)</f>
        <v/>
      </c>
      <c r="Y194" s="116">
        <f>WEEKNUM(C194,21)</f>
        <v/>
      </c>
      <c r="Z194" s="122" t="n"/>
      <c r="AA194" s="122" t="n"/>
      <c r="AB194" s="122" t="n"/>
      <c r="AC194" s="122" t="n"/>
      <c r="AD194" s="122" t="n"/>
      <c r="AE194" s="122">
        <f>IFERROR(K194/$T194,0)</f>
        <v/>
      </c>
      <c r="AF194" s="122">
        <f>IFERROR(L194/$T194,0)</f>
        <v/>
      </c>
      <c r="AG194" s="122" t="n"/>
      <c r="AH194" s="122" t="n"/>
      <c r="AI194" s="122" t="n"/>
      <c r="AJ194" s="122" t="n"/>
      <c r="AK194" s="122" t="n"/>
      <c r="AL194" s="122" t="n"/>
      <c r="AM194" s="122" t="n"/>
      <c r="AN194" s="122">
        <f>SUM(Z194:AC194)</f>
        <v/>
      </c>
      <c r="AO194" s="122">
        <f>SUM(AD194:AL194)</f>
        <v/>
      </c>
      <c r="AP194" s="122">
        <f>SUM(AM194,AB194)</f>
        <v/>
      </c>
      <c r="AQ194" s="122">
        <f>SUM(AA194)</f>
        <v/>
      </c>
      <c r="AR194" s="121">
        <f>(AP194+AQ194)-3%</f>
        <v/>
      </c>
      <c r="AS194" s="122">
        <f>SUM(AO194+AM194)</f>
        <v/>
      </c>
      <c r="AT194" s="122">
        <f>SUM(AH194+AN194)</f>
        <v/>
      </c>
      <c r="AU194" s="122">
        <f>SUM(AN194+AO194)</f>
        <v/>
      </c>
      <c r="AV194" s="122">
        <f>SUM(AN194+AD194+AE194+AF194+AG194+AH194+AJ194+AK194+AL194)</f>
        <v/>
      </c>
      <c r="AW194" s="122">
        <f>SUM(AD194+AE194+AF194+AG194+AI194+AJ194+AK194+AL194)</f>
        <v/>
      </c>
    </row>
    <row r="195" ht="14.1" customHeight="1" s="259">
      <c r="A195" s="174">
        <f>A194+1</f>
        <v/>
      </c>
      <c r="B195" s="204" t="n"/>
      <c r="C195" s="205" t="n"/>
      <c r="D195" s="204" t="n"/>
      <c r="E195" s="206" t="n"/>
      <c r="F195" s="206" t="n"/>
      <c r="G195" s="206" t="n"/>
      <c r="H195" s="206" t="n"/>
      <c r="I195" s="206" t="n"/>
      <c r="J195" s="206" t="n"/>
      <c r="K195" s="206" t="n"/>
      <c r="L195" s="206" t="n"/>
      <c r="M195" s="206" t="n"/>
      <c r="N195" s="206" t="n"/>
      <c r="O195" s="206" t="n"/>
      <c r="P195" s="206" t="n"/>
      <c r="Q195" s="206" t="n"/>
      <c r="R195" s="206" t="n"/>
      <c r="S195" s="206" t="n"/>
      <c r="T195" s="204">
        <f>SUM(F195:S195)</f>
        <v/>
      </c>
      <c r="U195" s="207">
        <f>(HLOOKUP(B195,F:T,A195,FALSE)/T195)</f>
        <v/>
      </c>
      <c r="V195" s="189" t="n"/>
      <c r="W195" s="163">
        <f>YEAR(C195)</f>
        <v/>
      </c>
      <c r="X195" s="116">
        <f>MONTH(C195)</f>
        <v/>
      </c>
      <c r="Y195" s="116">
        <f>WEEKNUM(C195,21)</f>
        <v/>
      </c>
      <c r="Z195" s="122" t="n"/>
      <c r="AA195" s="122" t="n"/>
      <c r="AB195" s="122" t="n"/>
      <c r="AC195" s="122" t="n"/>
      <c r="AD195" s="122" t="n"/>
      <c r="AE195" s="122">
        <f>IFERROR(K195/$T195,0)</f>
        <v/>
      </c>
      <c r="AF195" s="122">
        <f>IFERROR(L195/$T195,0)</f>
        <v/>
      </c>
      <c r="AG195" s="122" t="n"/>
      <c r="AH195" s="122" t="n"/>
      <c r="AI195" s="122" t="n"/>
      <c r="AJ195" s="122" t="n"/>
      <c r="AK195" s="122" t="n"/>
      <c r="AL195" s="122" t="n"/>
      <c r="AM195" s="122" t="n"/>
      <c r="AN195" s="122">
        <f>SUM(Z195:AC195)</f>
        <v/>
      </c>
      <c r="AO195" s="122">
        <f>SUM(AD195:AL195)</f>
        <v/>
      </c>
      <c r="AP195" s="122">
        <f>SUM(AM195,AB195)</f>
        <v/>
      </c>
      <c r="AQ195" s="122">
        <f>SUM(AA195)</f>
        <v/>
      </c>
      <c r="AR195" s="121">
        <f>(AP195+AQ195)-3%</f>
        <v/>
      </c>
      <c r="AS195" s="122">
        <f>SUM(AO195+AM195)</f>
        <v/>
      </c>
      <c r="AT195" s="122">
        <f>SUM(AH195+AN195)</f>
        <v/>
      </c>
      <c r="AU195" s="122">
        <f>SUM(AN195+AO195)</f>
        <v/>
      </c>
      <c r="AV195" s="122">
        <f>SUM(AN195+AD195+AE195+AF195+AG195+AH195+AJ195+AK195+AL195)</f>
        <v/>
      </c>
      <c r="AW195" s="122">
        <f>SUM(AD195+AE195+AF195+AG195+AI195+AJ195+AK195+AL195)</f>
        <v/>
      </c>
    </row>
    <row r="196" ht="14.1" customHeight="1" s="259">
      <c r="A196" s="174">
        <f>A195+1</f>
        <v/>
      </c>
      <c r="B196" s="204" t="n"/>
      <c r="C196" s="205" t="n"/>
      <c r="D196" s="204" t="n"/>
      <c r="E196" s="206" t="n"/>
      <c r="F196" s="206" t="n"/>
      <c r="G196" s="206" t="n"/>
      <c r="H196" s="206" t="n"/>
      <c r="I196" s="206" t="n"/>
      <c r="J196" s="206" t="n"/>
      <c r="K196" s="206" t="n"/>
      <c r="L196" s="206" t="n"/>
      <c r="M196" s="206" t="n"/>
      <c r="N196" s="206" t="n"/>
      <c r="O196" s="206" t="n"/>
      <c r="P196" s="206" t="n"/>
      <c r="Q196" s="206" t="n"/>
      <c r="R196" s="206" t="n"/>
      <c r="S196" s="206" t="n"/>
      <c r="T196" s="204">
        <f>SUM(F196:S196)</f>
        <v/>
      </c>
      <c r="U196" s="207">
        <f>(HLOOKUP(B196,F:T,A196,FALSE)/T196)</f>
        <v/>
      </c>
      <c r="V196" s="189" t="n"/>
      <c r="W196" s="163">
        <f>YEAR(C196)</f>
        <v/>
      </c>
      <c r="X196" s="116">
        <f>MONTH(C196)</f>
        <v/>
      </c>
      <c r="Y196" s="116">
        <f>WEEKNUM(C196,21)</f>
        <v/>
      </c>
      <c r="Z196" s="122" t="n"/>
      <c r="AA196" s="122" t="n"/>
      <c r="AB196" s="122" t="n"/>
      <c r="AC196" s="122" t="n"/>
      <c r="AD196" s="122" t="n"/>
      <c r="AE196" s="122">
        <f>IFERROR(K196/$T196,0)</f>
        <v/>
      </c>
      <c r="AF196" s="122">
        <f>IFERROR(L196/$T196,0)</f>
        <v/>
      </c>
      <c r="AG196" s="122" t="n"/>
      <c r="AH196" s="122" t="n"/>
      <c r="AI196" s="122" t="n"/>
      <c r="AJ196" s="122" t="n"/>
      <c r="AK196" s="122" t="n"/>
      <c r="AL196" s="122" t="n"/>
      <c r="AM196" s="122" t="n"/>
      <c r="AN196" s="122">
        <f>SUM(Z196:AC196)</f>
        <v/>
      </c>
      <c r="AO196" s="122">
        <f>SUM(AD196:AL196)</f>
        <v/>
      </c>
      <c r="AP196" s="122">
        <f>SUM(AM196,AB196)</f>
        <v/>
      </c>
      <c r="AQ196" s="122">
        <f>SUM(AA196)</f>
        <v/>
      </c>
      <c r="AR196" s="121">
        <f>(AP196+AQ196)-3%</f>
        <v/>
      </c>
      <c r="AS196" s="122">
        <f>SUM(AO196+AM196)</f>
        <v/>
      </c>
      <c r="AT196" s="122">
        <f>SUM(AH196+AN196)</f>
        <v/>
      </c>
      <c r="AU196" s="122">
        <f>SUM(AN196+AO196)</f>
        <v/>
      </c>
      <c r="AV196" s="122">
        <f>SUM(AN196+AD196+AE196+AF196+AG196+AH196+AJ196+AK196+AL196)</f>
        <v/>
      </c>
      <c r="AW196" s="122">
        <f>SUM(AD196+AE196+AF196+AG196+AI196+AJ196+AK196+AL196)</f>
        <v/>
      </c>
    </row>
    <row r="197" ht="14.1" customHeight="1" s="259">
      <c r="A197" s="174">
        <f>A196+1</f>
        <v/>
      </c>
      <c r="B197" s="204" t="n"/>
      <c r="C197" s="205" t="n"/>
      <c r="D197" s="204" t="n"/>
      <c r="E197" s="206" t="n"/>
      <c r="F197" s="206" t="n"/>
      <c r="G197" s="206" t="n"/>
      <c r="H197" s="206" t="n"/>
      <c r="I197" s="206" t="n"/>
      <c r="J197" s="206" t="n"/>
      <c r="K197" s="206" t="n"/>
      <c r="L197" s="206" t="n"/>
      <c r="M197" s="206" t="n"/>
      <c r="N197" s="206" t="n"/>
      <c r="O197" s="206" t="n"/>
      <c r="P197" s="206" t="n"/>
      <c r="Q197" s="206" t="n"/>
      <c r="R197" s="206" t="n"/>
      <c r="S197" s="206" t="n"/>
      <c r="T197" s="204">
        <f>SUM(F197:S197)</f>
        <v/>
      </c>
      <c r="U197" s="207">
        <f>(HLOOKUP(B197,F:T,A197,FALSE)/T197)</f>
        <v/>
      </c>
      <c r="V197" s="189" t="n"/>
      <c r="W197" s="163">
        <f>YEAR(C197)</f>
        <v/>
      </c>
      <c r="X197" s="116">
        <f>MONTH(C197)</f>
        <v/>
      </c>
      <c r="Y197" s="116">
        <f>WEEKNUM(C197,21)</f>
        <v/>
      </c>
      <c r="Z197" s="122" t="n"/>
      <c r="AA197" s="122" t="n"/>
      <c r="AB197" s="122" t="n"/>
      <c r="AC197" s="122" t="n"/>
      <c r="AD197" s="122" t="n"/>
      <c r="AE197" s="122">
        <f>IFERROR(K197/$T197,0)</f>
        <v/>
      </c>
      <c r="AF197" s="122">
        <f>IFERROR(L197/$T197,0)</f>
        <v/>
      </c>
      <c r="AG197" s="122" t="n"/>
      <c r="AH197" s="122" t="n"/>
      <c r="AI197" s="122" t="n"/>
      <c r="AJ197" s="122" t="n"/>
      <c r="AK197" s="122" t="n"/>
      <c r="AL197" s="122" t="n"/>
      <c r="AM197" s="122" t="n"/>
      <c r="AN197" s="122">
        <f>SUM(Z197:AC197)</f>
        <v/>
      </c>
      <c r="AO197" s="122">
        <f>SUM(AD197:AL197)</f>
        <v/>
      </c>
      <c r="AP197" s="122">
        <f>SUM(AM197,AB197)</f>
        <v/>
      </c>
      <c r="AQ197" s="122">
        <f>SUM(AA197)</f>
        <v/>
      </c>
      <c r="AR197" s="121">
        <f>(AP197+AQ197)-3%</f>
        <v/>
      </c>
      <c r="AS197" s="122">
        <f>SUM(AO197+AM197)</f>
        <v/>
      </c>
      <c r="AT197" s="122">
        <f>SUM(AH197+AN197)</f>
        <v/>
      </c>
      <c r="AU197" s="122">
        <f>SUM(AN197+AO197)</f>
        <v/>
      </c>
      <c r="AV197" s="122">
        <f>SUM(AN197+AD197+AE197+AF197+AG197+AH197+AJ197+AK197+AL197)</f>
        <v/>
      </c>
      <c r="AW197" s="122">
        <f>SUM(AD197+AE197+AF197+AG197+AI197+AJ197+AK197+AL197)</f>
        <v/>
      </c>
    </row>
    <row r="198" ht="14.1" customHeight="1" s="259">
      <c r="A198" s="174">
        <f>A197+1</f>
        <v/>
      </c>
      <c r="B198" s="204" t="n"/>
      <c r="C198" s="205" t="n"/>
      <c r="D198" s="204" t="n"/>
      <c r="E198" s="206" t="n"/>
      <c r="F198" s="206" t="n"/>
      <c r="G198" s="206" t="n"/>
      <c r="H198" s="206" t="n"/>
      <c r="I198" s="206" t="n"/>
      <c r="J198" s="206" t="n"/>
      <c r="K198" s="206" t="n"/>
      <c r="L198" s="206" t="n"/>
      <c r="M198" s="206" t="n"/>
      <c r="N198" s="206" t="n"/>
      <c r="O198" s="206" t="n"/>
      <c r="P198" s="206" t="n"/>
      <c r="Q198" s="206" t="n"/>
      <c r="R198" s="206" t="n"/>
      <c r="S198" s="206" t="n"/>
      <c r="T198" s="204">
        <f>SUM(F198:S198)</f>
        <v/>
      </c>
      <c r="U198" s="207">
        <f>(HLOOKUP(B198,F:T,A198,FALSE)/T198)</f>
        <v/>
      </c>
      <c r="V198" s="189" t="n"/>
      <c r="W198" s="163">
        <f>YEAR(C198)</f>
        <v/>
      </c>
      <c r="X198" s="116">
        <f>MONTH(C198)</f>
        <v/>
      </c>
      <c r="Y198" s="116">
        <f>WEEKNUM(C198,21)</f>
        <v/>
      </c>
      <c r="Z198" s="122" t="n"/>
      <c r="AA198" s="122" t="n"/>
      <c r="AB198" s="122" t="n"/>
      <c r="AC198" s="122" t="n"/>
      <c r="AD198" s="122" t="n"/>
      <c r="AE198" s="122">
        <f>IFERROR(K198/$T198,0)</f>
        <v/>
      </c>
      <c r="AF198" s="122">
        <f>IFERROR(L198/$T198,0)</f>
        <v/>
      </c>
      <c r="AG198" s="122" t="n"/>
      <c r="AH198" s="122" t="n"/>
      <c r="AI198" s="122" t="n"/>
      <c r="AJ198" s="122" t="n"/>
      <c r="AK198" s="122" t="n"/>
      <c r="AL198" s="122" t="n"/>
      <c r="AM198" s="122" t="n"/>
      <c r="AN198" s="122">
        <f>SUM(Z198:AC198)</f>
        <v/>
      </c>
      <c r="AO198" s="122">
        <f>SUM(AD198:AL198)</f>
        <v/>
      </c>
      <c r="AP198" s="122">
        <f>SUM(AM198,AB198)</f>
        <v/>
      </c>
      <c r="AQ198" s="122">
        <f>SUM(AA198)</f>
        <v/>
      </c>
      <c r="AR198" s="121">
        <f>(AP198+AQ198)-3%</f>
        <v/>
      </c>
      <c r="AS198" s="122">
        <f>SUM(AO198+AM198)</f>
        <v/>
      </c>
      <c r="AT198" s="122">
        <f>SUM(AH198+AN198)</f>
        <v/>
      </c>
      <c r="AU198" s="122">
        <f>SUM(AN198+AO198)</f>
        <v/>
      </c>
      <c r="AV198" s="122">
        <f>SUM(AN198+AD198+AE198+AF198+AG198+AH198+AJ198+AK198+AL198)</f>
        <v/>
      </c>
      <c r="AW198" s="122">
        <f>SUM(AD198+AE198+AF198+AG198+AI198+AJ198+AK198+AL198)</f>
        <v/>
      </c>
    </row>
    <row r="199" ht="14.1" customHeight="1" s="259">
      <c r="A199" s="174">
        <f>A198+1</f>
        <v/>
      </c>
      <c r="B199" s="204" t="n"/>
      <c r="C199" s="205" t="n"/>
      <c r="D199" s="204" t="n"/>
      <c r="E199" s="206" t="n"/>
      <c r="F199" s="206" t="n"/>
      <c r="G199" s="206" t="n"/>
      <c r="H199" s="206" t="n"/>
      <c r="I199" s="206" t="n"/>
      <c r="J199" s="206" t="n"/>
      <c r="K199" s="206" t="n"/>
      <c r="L199" s="206" t="n"/>
      <c r="M199" s="206" t="n"/>
      <c r="N199" s="206" t="n"/>
      <c r="O199" s="206" t="n"/>
      <c r="P199" s="206" t="n"/>
      <c r="Q199" s="206" t="n"/>
      <c r="R199" s="206" t="n"/>
      <c r="S199" s="206" t="n"/>
      <c r="T199" s="204">
        <f>SUM(F199:S199)</f>
        <v/>
      </c>
      <c r="U199" s="207">
        <f>(HLOOKUP(B199,F:T,A199,FALSE)/T199)</f>
        <v/>
      </c>
      <c r="V199" s="189" t="n"/>
      <c r="W199" s="163">
        <f>YEAR(C199)</f>
        <v/>
      </c>
      <c r="X199" s="116">
        <f>MONTH(C199)</f>
        <v/>
      </c>
      <c r="Y199" s="116">
        <f>WEEKNUM(C199,21)</f>
        <v/>
      </c>
      <c r="Z199" s="122" t="n"/>
      <c r="AA199" s="122" t="n"/>
      <c r="AB199" s="122" t="n"/>
      <c r="AC199" s="122" t="n"/>
      <c r="AD199" s="122" t="n"/>
      <c r="AE199" s="122">
        <f>IFERROR(K199/$T199,0)</f>
        <v/>
      </c>
      <c r="AF199" s="122">
        <f>IFERROR(L199/$T199,0)</f>
        <v/>
      </c>
      <c r="AG199" s="122" t="n"/>
      <c r="AH199" s="122" t="n"/>
      <c r="AI199" s="122" t="n"/>
      <c r="AJ199" s="122" t="n"/>
      <c r="AK199" s="122" t="n"/>
      <c r="AL199" s="122" t="n"/>
      <c r="AM199" s="122" t="n"/>
      <c r="AN199" s="122">
        <f>SUM(Z199:AC199)</f>
        <v/>
      </c>
      <c r="AO199" s="122">
        <f>SUM(AD199:AL199)</f>
        <v/>
      </c>
      <c r="AP199" s="122">
        <f>SUM(AM199,AB199)</f>
        <v/>
      </c>
      <c r="AQ199" s="122">
        <f>SUM(AA199)</f>
        <v/>
      </c>
      <c r="AR199" s="121">
        <f>(AP199+AQ199)-3%</f>
        <v/>
      </c>
      <c r="AS199" s="122">
        <f>SUM(AO199+AM199)</f>
        <v/>
      </c>
      <c r="AT199" s="122">
        <f>SUM(AH199+AN199)</f>
        <v/>
      </c>
      <c r="AU199" s="122">
        <f>SUM(AN199+AO199)</f>
        <v/>
      </c>
      <c r="AV199" s="122">
        <f>SUM(AN199+AD199+AE199+AF199+AG199+AH199+AJ199+AK199+AL199)</f>
        <v/>
      </c>
      <c r="AW199" s="122">
        <f>SUM(AD199+AE199+AF199+AG199+AI199+AJ199+AK199+AL199)</f>
        <v/>
      </c>
    </row>
    <row r="200" ht="14.1" customHeight="1" s="259">
      <c r="A200" s="174">
        <f>A199+1</f>
        <v/>
      </c>
      <c r="B200" s="204" t="n"/>
      <c r="C200" s="205" t="n"/>
      <c r="D200" s="204" t="n"/>
      <c r="E200" s="206" t="n"/>
      <c r="F200" s="206" t="n"/>
      <c r="G200" s="206" t="n"/>
      <c r="H200" s="206" t="n"/>
      <c r="I200" s="206" t="n"/>
      <c r="J200" s="206" t="n"/>
      <c r="K200" s="206" t="n"/>
      <c r="L200" s="206" t="n"/>
      <c r="M200" s="206" t="n"/>
      <c r="N200" s="206" t="n"/>
      <c r="O200" s="206" t="n"/>
      <c r="P200" s="206" t="n"/>
      <c r="Q200" s="206" t="n"/>
      <c r="R200" s="206" t="n"/>
      <c r="S200" s="206" t="n"/>
      <c r="T200" s="204">
        <f>SUM(F200:S200)</f>
        <v/>
      </c>
      <c r="U200" s="207">
        <f>(HLOOKUP(B200,F:T,A200,FALSE)/T200)</f>
        <v/>
      </c>
      <c r="V200" s="189" t="n"/>
      <c r="W200" s="163">
        <f>YEAR(C200)</f>
        <v/>
      </c>
      <c r="X200" s="116">
        <f>MONTH(C200)</f>
        <v/>
      </c>
      <c r="Y200" s="116">
        <f>WEEKNUM(C200,21)</f>
        <v/>
      </c>
      <c r="Z200" s="122" t="n"/>
      <c r="AA200" s="122" t="n"/>
      <c r="AB200" s="122" t="n"/>
      <c r="AC200" s="122" t="n"/>
      <c r="AD200" s="122" t="n"/>
      <c r="AE200" s="122">
        <f>IFERROR(K200/$T200,0)</f>
        <v/>
      </c>
      <c r="AF200" s="122">
        <f>IFERROR(L200/$T200,0)</f>
        <v/>
      </c>
      <c r="AG200" s="122" t="n"/>
      <c r="AH200" s="122" t="n"/>
      <c r="AI200" s="122" t="n"/>
      <c r="AJ200" s="122" t="n"/>
      <c r="AK200" s="122" t="n"/>
      <c r="AL200" s="122" t="n"/>
      <c r="AM200" s="122" t="n"/>
      <c r="AN200" s="122">
        <f>SUM(Z200:AC200)</f>
        <v/>
      </c>
      <c r="AO200" s="122">
        <f>SUM(AD200:AL200)</f>
        <v/>
      </c>
      <c r="AP200" s="122">
        <f>SUM(AM200,AB200)</f>
        <v/>
      </c>
      <c r="AQ200" s="122">
        <f>SUM(AA200)</f>
        <v/>
      </c>
      <c r="AR200" s="121">
        <f>(AP200+AQ200)-3%</f>
        <v/>
      </c>
      <c r="AS200" s="122">
        <f>SUM(AO200+AM200)</f>
        <v/>
      </c>
      <c r="AT200" s="122">
        <f>SUM(AH200+AN200)</f>
        <v/>
      </c>
      <c r="AU200" s="122">
        <f>SUM(AN200+AO200)</f>
        <v/>
      </c>
      <c r="AV200" s="122">
        <f>SUM(AN200+AD200+AE200+AF200+AG200+AH200+AJ200+AK200+AL200)</f>
        <v/>
      </c>
      <c r="AW200" s="122">
        <f>SUM(AD200+AE200+AF200+AG200+AI200+AJ200+AK200+AL200)</f>
        <v/>
      </c>
    </row>
    <row r="201" ht="14.1" customHeight="1" s="259">
      <c r="A201" s="183">
        <f>A200+1</f>
        <v/>
      </c>
      <c r="B201" s="204" t="n"/>
      <c r="C201" s="205" t="n"/>
      <c r="D201" s="204" t="n"/>
      <c r="E201" s="206" t="n"/>
      <c r="F201" s="206" t="n"/>
      <c r="G201" s="206" t="n"/>
      <c r="H201" s="206" t="n"/>
      <c r="I201" s="206" t="n"/>
      <c r="J201" s="206" t="n"/>
      <c r="K201" s="206" t="n"/>
      <c r="L201" s="206" t="n"/>
      <c r="M201" s="206" t="n"/>
      <c r="N201" s="206" t="n"/>
      <c r="O201" s="206" t="n"/>
      <c r="P201" s="206" t="n"/>
      <c r="Q201" s="206" t="n"/>
      <c r="R201" s="206" t="n"/>
      <c r="S201" s="206" t="n"/>
      <c r="T201" s="204">
        <f>SUM(F201:S201)</f>
        <v/>
      </c>
      <c r="U201" s="207">
        <f>(HLOOKUP(B201,F:T,A201,FALSE)/T201)</f>
        <v/>
      </c>
      <c r="V201" s="159" t="n"/>
      <c r="W201" s="163">
        <f>YEAR(C201)</f>
        <v/>
      </c>
      <c r="X201" s="116">
        <f>MONTH(C201)</f>
        <v/>
      </c>
      <c r="Y201" s="116">
        <f>WEEKNUM(C201,21)</f>
        <v/>
      </c>
      <c r="Z201" s="122" t="n"/>
      <c r="AA201" s="122" t="n"/>
      <c r="AB201" s="122" t="n"/>
      <c r="AC201" s="122" t="n"/>
      <c r="AD201" s="122" t="n"/>
      <c r="AE201" s="122">
        <f>IFERROR(K201/$T201,0)</f>
        <v/>
      </c>
      <c r="AF201" s="122">
        <f>IFERROR(L201/$T201,0)</f>
        <v/>
      </c>
      <c r="AG201" s="122" t="n"/>
      <c r="AH201" s="122" t="n"/>
      <c r="AI201" s="122" t="n"/>
      <c r="AJ201" s="122" t="n"/>
      <c r="AK201" s="122" t="n"/>
      <c r="AL201" s="122" t="n"/>
      <c r="AM201" s="122" t="n"/>
      <c r="AN201" s="122">
        <f>SUM(Z201:AC201)</f>
        <v/>
      </c>
      <c r="AO201" s="122">
        <f>SUM(AD201:AL201)</f>
        <v/>
      </c>
      <c r="AP201" s="122">
        <f>SUM(AM201,AB201)</f>
        <v/>
      </c>
      <c r="AQ201" s="122">
        <f>SUM(AA201)</f>
        <v/>
      </c>
      <c r="AR201" s="121">
        <f>(AP201+AQ201)-3%</f>
        <v/>
      </c>
      <c r="AS201" s="122">
        <f>SUM(AO201+AM201)</f>
        <v/>
      </c>
      <c r="AT201" s="122">
        <f>SUM(AH201+AN201)</f>
        <v/>
      </c>
      <c r="AU201" s="122">
        <f>SUM(AN201+AO201)</f>
        <v/>
      </c>
      <c r="AV201" s="122">
        <f>SUM(AN201+AD201+AE201+AF201+AG201+AH201+AJ201+AK201+AL201)</f>
        <v/>
      </c>
      <c r="AW201" s="122">
        <f>SUM(AD201+AE201+AF201+AG201+AI201+AJ201+AK201+AL201)</f>
        <v/>
      </c>
    </row>
    <row r="202" ht="14.1" customHeight="1" s="259">
      <c r="A202" s="183">
        <f>A201+1</f>
        <v/>
      </c>
      <c r="B202" s="204" t="n"/>
      <c r="C202" s="205" t="n"/>
      <c r="D202" s="204" t="n"/>
      <c r="E202" s="206" t="n"/>
      <c r="F202" s="206" t="n"/>
      <c r="G202" s="206" t="n"/>
      <c r="H202" s="206" t="n"/>
      <c r="I202" s="206" t="n"/>
      <c r="J202" s="206" t="n"/>
      <c r="K202" s="206" t="n"/>
      <c r="L202" s="206" t="n"/>
      <c r="M202" s="206" t="n"/>
      <c r="N202" s="206" t="n"/>
      <c r="O202" s="206" t="n"/>
      <c r="P202" s="206" t="n"/>
      <c r="Q202" s="206" t="n"/>
      <c r="R202" s="206" t="n"/>
      <c r="S202" s="206" t="n"/>
      <c r="T202" s="204">
        <f>SUM(F202:S202)</f>
        <v/>
      </c>
      <c r="U202" s="207">
        <f>(HLOOKUP(B202,F:T,A202,FALSE)/T202)</f>
        <v/>
      </c>
      <c r="V202" s="159" t="n"/>
      <c r="W202" s="163">
        <f>YEAR(C202)</f>
        <v/>
      </c>
      <c r="X202" s="116">
        <f>MONTH(C202)</f>
        <v/>
      </c>
      <c r="Y202" s="116">
        <f>WEEKNUM(C202,21)</f>
        <v/>
      </c>
      <c r="Z202" s="122" t="n"/>
      <c r="AA202" s="122" t="n"/>
      <c r="AB202" s="122" t="n"/>
      <c r="AC202" s="122" t="n"/>
      <c r="AD202" s="122" t="n"/>
      <c r="AE202" s="122">
        <f>IFERROR(K202/$T202,0)</f>
        <v/>
      </c>
      <c r="AF202" s="122">
        <f>IFERROR(L202/$T202,0)</f>
        <v/>
      </c>
      <c r="AG202" s="122" t="n"/>
      <c r="AH202" s="122" t="n"/>
      <c r="AI202" s="122" t="n"/>
      <c r="AJ202" s="122" t="n"/>
      <c r="AK202" s="122" t="n"/>
      <c r="AL202" s="122" t="n"/>
      <c r="AM202" s="122" t="n"/>
      <c r="AN202" s="122">
        <f>SUM(Z202:AC202)</f>
        <v/>
      </c>
      <c r="AO202" s="122">
        <f>SUM(AD202:AL202)</f>
        <v/>
      </c>
      <c r="AP202" s="122">
        <f>SUM(AM202,AB202)</f>
        <v/>
      </c>
      <c r="AQ202" s="122">
        <f>SUM(AA202)</f>
        <v/>
      </c>
      <c r="AR202" s="121">
        <f>(AP202+AQ202)-3%</f>
        <v/>
      </c>
      <c r="AS202" s="122">
        <f>SUM(AO202+AM202)</f>
        <v/>
      </c>
      <c r="AT202" s="122">
        <f>SUM(AH202+AN202)</f>
        <v/>
      </c>
      <c r="AU202" s="122">
        <f>SUM(AN202+AO202)</f>
        <v/>
      </c>
      <c r="AV202" s="122">
        <f>SUM(AN202+AD202+AE202+AF202+AG202+AH202+AJ202+AK202+AL202)</f>
        <v/>
      </c>
      <c r="AW202" s="122">
        <f>SUM(AD202+AE202+AF202+AG202+AI202+AJ202+AK202+AL202)</f>
        <v/>
      </c>
    </row>
    <row r="203" ht="14.1" customHeight="1" s="259">
      <c r="A203" s="183">
        <f>A202+1</f>
        <v/>
      </c>
      <c r="B203" s="204" t="n"/>
      <c r="C203" s="205" t="n"/>
      <c r="D203" s="204" t="n"/>
      <c r="E203" s="206" t="n"/>
      <c r="F203" s="206" t="n"/>
      <c r="G203" s="206" t="n"/>
      <c r="H203" s="206" t="n"/>
      <c r="I203" s="206" t="n"/>
      <c r="J203" s="206" t="n"/>
      <c r="K203" s="206" t="n"/>
      <c r="L203" s="206" t="n"/>
      <c r="M203" s="206" t="n"/>
      <c r="N203" s="206" t="n"/>
      <c r="O203" s="206" t="n"/>
      <c r="P203" s="206" t="n"/>
      <c r="Q203" s="206" t="n"/>
      <c r="R203" s="206" t="n"/>
      <c r="S203" s="206" t="n"/>
      <c r="T203" s="204">
        <f>SUM(F203:S203)</f>
        <v/>
      </c>
      <c r="U203" s="207">
        <f>(HLOOKUP(B203,F:T,A203,FALSE)/T203)</f>
        <v/>
      </c>
      <c r="V203" s="159" t="n"/>
      <c r="W203" s="163">
        <f>YEAR(C203)</f>
        <v/>
      </c>
      <c r="X203" s="116">
        <f>MONTH(C203)</f>
        <v/>
      </c>
      <c r="Y203" s="116">
        <f>WEEKNUM(C203,21)</f>
        <v/>
      </c>
      <c r="Z203" s="122" t="n"/>
      <c r="AA203" s="122" t="n"/>
      <c r="AB203" s="122" t="n"/>
      <c r="AC203" s="122" t="n"/>
      <c r="AD203" s="122" t="n"/>
      <c r="AE203" s="122">
        <f>IFERROR(K203/$T203,0)</f>
        <v/>
      </c>
      <c r="AF203" s="122">
        <f>IFERROR(L203/$T203,0)</f>
        <v/>
      </c>
      <c r="AG203" s="122" t="n"/>
      <c r="AH203" s="122" t="n"/>
      <c r="AI203" s="122" t="n"/>
      <c r="AJ203" s="122" t="n"/>
      <c r="AK203" s="122" t="n"/>
      <c r="AL203" s="122" t="n"/>
      <c r="AM203" s="122" t="n"/>
      <c r="AN203" s="122">
        <f>SUM(Z203:AC203)</f>
        <v/>
      </c>
      <c r="AO203" s="122">
        <f>SUM(AD203:AL203)</f>
        <v/>
      </c>
      <c r="AP203" s="122">
        <f>SUM(AM203,AB203)</f>
        <v/>
      </c>
      <c r="AQ203" s="122">
        <f>SUM(AA203)</f>
        <v/>
      </c>
      <c r="AR203" s="121">
        <f>(AP203+AQ203)-3%</f>
        <v/>
      </c>
      <c r="AS203" s="122">
        <f>SUM(AO203+AM203)</f>
        <v/>
      </c>
      <c r="AT203" s="122">
        <f>SUM(AH203+AN203)</f>
        <v/>
      </c>
      <c r="AU203" s="122">
        <f>SUM(AN203+AO203)</f>
        <v/>
      </c>
      <c r="AV203" s="122">
        <f>SUM(AN203+AD203+AE203+AF203+AG203+AH203+AJ203+AK203+AL203)</f>
        <v/>
      </c>
      <c r="AW203" s="122">
        <f>SUM(AD203+AE203+AF203+AG203+AI203+AJ203+AK203+AL203)</f>
        <v/>
      </c>
    </row>
    <row r="204" ht="14.1" customHeight="1" s="259">
      <c r="A204" s="183">
        <f>A203+1</f>
        <v/>
      </c>
      <c r="B204" s="199" t="n"/>
      <c r="C204" s="200" t="n"/>
      <c r="D204" s="199" t="n"/>
      <c r="E204" s="201" t="n"/>
      <c r="F204" s="201" t="n"/>
      <c r="G204" s="201" t="n"/>
      <c r="H204" s="201" t="n"/>
      <c r="I204" s="201" t="n"/>
      <c r="J204" s="201" t="n"/>
      <c r="K204" s="201" t="n"/>
      <c r="L204" s="201" t="n"/>
      <c r="M204" s="201" t="n"/>
      <c r="N204" s="201" t="n"/>
      <c r="O204" s="201" t="n"/>
      <c r="P204" s="201" t="n"/>
      <c r="Q204" s="201" t="n"/>
      <c r="R204" s="201" t="n"/>
      <c r="S204" s="201" t="n"/>
      <c r="T204" s="199">
        <f>SUM(F204:S204)</f>
        <v/>
      </c>
      <c r="U204" s="202">
        <f>(HLOOKUP(B204,F:T,A204,FALSE)/T204)</f>
        <v/>
      </c>
      <c r="V204" s="159" t="n"/>
      <c r="W204" s="163">
        <f>YEAR(C204)</f>
        <v/>
      </c>
      <c r="X204" s="116">
        <f>MONTH(C204)</f>
        <v/>
      </c>
      <c r="Y204" s="116">
        <f>WEEKNUM(C204,21)</f>
        <v/>
      </c>
      <c r="Z204" s="122" t="n"/>
      <c r="AA204" s="122" t="n"/>
      <c r="AB204" s="122" t="n"/>
      <c r="AC204" s="122" t="n"/>
      <c r="AD204" s="122" t="n"/>
      <c r="AE204" s="122">
        <f>IFERROR(K204/$T204,0)</f>
        <v/>
      </c>
      <c r="AF204" s="122">
        <f>IFERROR(L204/$T204,0)</f>
        <v/>
      </c>
      <c r="AG204" s="122" t="n"/>
      <c r="AH204" s="122" t="n"/>
      <c r="AI204" s="122" t="n"/>
      <c r="AJ204" s="122" t="n"/>
      <c r="AK204" s="122" t="n"/>
      <c r="AL204" s="122" t="n"/>
      <c r="AM204" s="122" t="n"/>
      <c r="AN204" s="122">
        <f>SUM(Z204:AC204)</f>
        <v/>
      </c>
      <c r="AO204" s="122">
        <f>SUM(AD204:AL204)</f>
        <v/>
      </c>
      <c r="AP204" s="122">
        <f>SUM(AM204,AB204)</f>
        <v/>
      </c>
      <c r="AQ204" s="122">
        <f>SUM(AA204)</f>
        <v/>
      </c>
      <c r="AR204" s="121">
        <f>(AP204+AQ204)-3%</f>
        <v/>
      </c>
      <c r="AS204" s="122">
        <f>SUM(AO204+AM204)</f>
        <v/>
      </c>
      <c r="AT204" s="122">
        <f>SUM(AH204+AN204)</f>
        <v/>
      </c>
      <c r="AU204" s="122">
        <f>SUM(AN204+AO204)</f>
        <v/>
      </c>
      <c r="AV204" s="122">
        <f>SUM(AN204+AD204+AE204+AF204+AG204+AH204+AJ204+AK204+AL204)</f>
        <v/>
      </c>
      <c r="AW204" s="122">
        <f>SUM(AD204+AE204+AF204+AG204+AI204+AJ204+AK204+AL204)</f>
        <v/>
      </c>
    </row>
    <row r="205" ht="14.1" customHeight="1" s="259">
      <c r="A205" s="183">
        <f>A204+1</f>
        <v/>
      </c>
      <c r="B205" s="199" t="n"/>
      <c r="C205" s="200" t="n"/>
      <c r="D205" s="199" t="n"/>
      <c r="E205" s="201" t="n"/>
      <c r="F205" s="201" t="n"/>
      <c r="G205" s="201" t="n"/>
      <c r="H205" s="201" t="n"/>
      <c r="I205" s="201" t="n"/>
      <c r="J205" s="201" t="n"/>
      <c r="K205" s="201" t="n"/>
      <c r="L205" s="201" t="n"/>
      <c r="M205" s="201" t="n"/>
      <c r="N205" s="201" t="n"/>
      <c r="O205" s="201" t="n"/>
      <c r="P205" s="201" t="n"/>
      <c r="Q205" s="201" t="n"/>
      <c r="R205" s="201" t="n"/>
      <c r="S205" s="201" t="n"/>
      <c r="T205" s="199">
        <f>SUM(F205:S205)</f>
        <v/>
      </c>
      <c r="U205" s="202">
        <f>(HLOOKUP(B205,F:T,A205,FALSE)/T205)</f>
        <v/>
      </c>
      <c r="V205" s="159" t="n"/>
      <c r="W205" s="163">
        <f>YEAR(C205)</f>
        <v/>
      </c>
      <c r="X205" s="116">
        <f>MONTH(C205)</f>
        <v/>
      </c>
      <c r="Y205" s="116">
        <f>WEEKNUM(C205,21)</f>
        <v/>
      </c>
      <c r="Z205" s="122" t="n"/>
      <c r="AA205" s="122" t="n"/>
      <c r="AB205" s="122" t="n"/>
      <c r="AC205" s="122" t="n"/>
      <c r="AD205" s="122" t="n"/>
      <c r="AE205" s="122">
        <f>IFERROR(K205/$T205,0)</f>
        <v/>
      </c>
      <c r="AF205" s="122">
        <f>IFERROR(L205/$T205,0)</f>
        <v/>
      </c>
      <c r="AG205" s="122" t="n"/>
      <c r="AH205" s="122" t="n"/>
      <c r="AI205" s="122" t="n"/>
      <c r="AJ205" s="122" t="n"/>
      <c r="AK205" s="122" t="n"/>
      <c r="AL205" s="122" t="n"/>
      <c r="AM205" s="122" t="n"/>
      <c r="AN205" s="122">
        <f>SUM(Z205:AC205)</f>
        <v/>
      </c>
      <c r="AO205" s="122">
        <f>SUM(AD205:AL205)</f>
        <v/>
      </c>
      <c r="AP205" s="122">
        <f>SUM(AM205,AB205)</f>
        <v/>
      </c>
      <c r="AQ205" s="122">
        <f>SUM(AA205)</f>
        <v/>
      </c>
      <c r="AR205" s="121">
        <f>(AP205+AQ205)-3%</f>
        <v/>
      </c>
      <c r="AS205" s="122">
        <f>SUM(AO205+AM205)</f>
        <v/>
      </c>
      <c r="AT205" s="122">
        <f>SUM(AH205+AN205)</f>
        <v/>
      </c>
      <c r="AU205" s="122">
        <f>SUM(AN205+AO205)</f>
        <v/>
      </c>
      <c r="AV205" s="122">
        <f>SUM(AN205+AD205+AE205+AF205+AG205+AH205+AJ205+AK205+AL205)</f>
        <v/>
      </c>
      <c r="AW205" s="122">
        <f>SUM(AD205+AE205+AF205+AG205+AI205+AJ205+AK205+AL205)</f>
        <v/>
      </c>
    </row>
    <row r="206" ht="14.1" customHeight="1" s="259">
      <c r="A206" s="183">
        <f>A205+1</f>
        <v/>
      </c>
      <c r="B206" s="204" t="n"/>
      <c r="C206" s="205" t="n"/>
      <c r="D206" s="204" t="n"/>
      <c r="E206" s="206" t="n"/>
      <c r="F206" s="206" t="n"/>
      <c r="G206" s="206" t="n"/>
      <c r="H206" s="206" t="n"/>
      <c r="I206" s="206" t="n"/>
      <c r="J206" s="206" t="n"/>
      <c r="K206" s="206" t="n"/>
      <c r="L206" s="206" t="n"/>
      <c r="M206" s="206" t="n"/>
      <c r="N206" s="206" t="n"/>
      <c r="O206" s="206" t="n"/>
      <c r="P206" s="206" t="n"/>
      <c r="Q206" s="206" t="n"/>
      <c r="R206" s="206" t="n"/>
      <c r="S206" s="206" t="n"/>
      <c r="T206" s="204">
        <f>SUM(F206:S206)</f>
        <v/>
      </c>
      <c r="U206" s="207">
        <f>(HLOOKUP(B206,F:T,A206,FALSE)/T206)</f>
        <v/>
      </c>
      <c r="V206" s="159" t="n"/>
      <c r="W206" s="163">
        <f>YEAR(C206)</f>
        <v/>
      </c>
      <c r="X206" s="116">
        <f>MONTH(C206)</f>
        <v/>
      </c>
      <c r="Y206" s="116">
        <f>WEEKNUM(C206,21)</f>
        <v/>
      </c>
      <c r="Z206" s="122" t="n"/>
      <c r="AA206" s="122" t="n"/>
      <c r="AB206" s="122" t="n"/>
      <c r="AC206" s="122" t="n"/>
      <c r="AD206" s="122" t="n"/>
      <c r="AE206" s="122">
        <f>IFERROR(K206/$T206,0)</f>
        <v/>
      </c>
      <c r="AF206" s="122">
        <f>IFERROR(L206/$T206,0)</f>
        <v/>
      </c>
      <c r="AG206" s="122" t="n"/>
      <c r="AH206" s="122" t="n"/>
      <c r="AI206" s="122" t="n"/>
      <c r="AJ206" s="122" t="n"/>
      <c r="AK206" s="122" t="n"/>
      <c r="AL206" s="122" t="n"/>
      <c r="AM206" s="122" t="n"/>
      <c r="AN206" s="122">
        <f>SUM(Z206:AC206)</f>
        <v/>
      </c>
      <c r="AO206" s="122">
        <f>SUM(AD206:AL206)</f>
        <v/>
      </c>
      <c r="AP206" s="122">
        <f>SUM(AM206,AB206)</f>
        <v/>
      </c>
      <c r="AQ206" s="122">
        <f>SUM(AA206)</f>
        <v/>
      </c>
      <c r="AR206" s="121">
        <f>(AP206+AQ206)-3%</f>
        <v/>
      </c>
      <c r="AS206" s="122">
        <f>SUM(AO206+AM206)</f>
        <v/>
      </c>
      <c r="AT206" s="122">
        <f>SUM(AH206+AN206)</f>
        <v/>
      </c>
      <c r="AU206" s="122">
        <f>SUM(AN206+AO206)</f>
        <v/>
      </c>
      <c r="AV206" s="122">
        <f>SUM(AN206+AD206+AE206+AF206+AG206+AH206+AJ206+AK206+AL206)</f>
        <v/>
      </c>
      <c r="AW206" s="122">
        <f>SUM(AD206+AE206+AF206+AG206+AI206+AJ206+AK206+AL206)</f>
        <v/>
      </c>
    </row>
    <row r="207" ht="14.1" customHeight="1" s="259">
      <c r="A207" s="183">
        <f>A206+1</f>
        <v/>
      </c>
      <c r="B207" s="204" t="n"/>
      <c r="C207" s="205" t="n"/>
      <c r="D207" s="204" t="n"/>
      <c r="E207" s="206" t="n"/>
      <c r="F207" s="206" t="n"/>
      <c r="G207" s="206" t="n"/>
      <c r="H207" s="206" t="n"/>
      <c r="I207" s="206" t="n"/>
      <c r="J207" s="206" t="n"/>
      <c r="K207" s="206" t="n"/>
      <c r="L207" s="206" t="n"/>
      <c r="M207" s="206" t="n"/>
      <c r="N207" s="206" t="n"/>
      <c r="O207" s="206" t="n"/>
      <c r="P207" s="206" t="n"/>
      <c r="Q207" s="206" t="n"/>
      <c r="R207" s="206" t="n"/>
      <c r="S207" s="206" t="n"/>
      <c r="T207" s="204">
        <f>SUM(F207:S207)</f>
        <v/>
      </c>
      <c r="U207" s="207">
        <f>(HLOOKUP(B207,F:T,A207,FALSE)/T207)</f>
        <v/>
      </c>
      <c r="V207" s="159" t="n"/>
      <c r="W207" s="163">
        <f>YEAR(C207)</f>
        <v/>
      </c>
      <c r="X207" s="116">
        <f>MONTH(C207)</f>
        <v/>
      </c>
      <c r="Y207" s="116">
        <f>WEEKNUM(C207,21)</f>
        <v/>
      </c>
      <c r="Z207" s="122" t="n"/>
      <c r="AA207" s="122" t="n"/>
      <c r="AB207" s="122" t="n"/>
      <c r="AC207" s="122" t="n"/>
      <c r="AD207" s="122" t="n"/>
      <c r="AE207" s="122">
        <f>IFERROR(K207/$T207,0)</f>
        <v/>
      </c>
      <c r="AF207" s="122">
        <f>IFERROR(L207/$T207,0)</f>
        <v/>
      </c>
      <c r="AG207" s="122" t="n"/>
      <c r="AH207" s="122" t="n"/>
      <c r="AI207" s="122" t="n"/>
      <c r="AJ207" s="122" t="n"/>
      <c r="AK207" s="122" t="n"/>
      <c r="AL207" s="122" t="n"/>
      <c r="AM207" s="122" t="n"/>
      <c r="AN207" s="122">
        <f>SUM(Z207:AC207)</f>
        <v/>
      </c>
      <c r="AO207" s="122">
        <f>SUM(AD207:AL207)</f>
        <v/>
      </c>
      <c r="AP207" s="122">
        <f>SUM(AM207,AB207)</f>
        <v/>
      </c>
      <c r="AQ207" s="122">
        <f>SUM(AA207)</f>
        <v/>
      </c>
      <c r="AR207" s="121">
        <f>(AP207+AQ207)-3%</f>
        <v/>
      </c>
      <c r="AS207" s="122">
        <f>SUM(AO207+AM207)</f>
        <v/>
      </c>
      <c r="AT207" s="122">
        <f>SUM(AH207+AN207)</f>
        <v/>
      </c>
      <c r="AU207" s="122">
        <f>SUM(AN207+AO207)</f>
        <v/>
      </c>
      <c r="AV207" s="122">
        <f>SUM(AN207+AD207+AE207+AF207+AG207+AH207+AJ207+AK207+AL207)</f>
        <v/>
      </c>
      <c r="AW207" s="122">
        <f>SUM(AD207+AE207+AF207+AG207+AI207+AJ207+AK207+AL207)</f>
        <v/>
      </c>
    </row>
    <row r="208" ht="14.1" customHeight="1" s="259">
      <c r="A208" s="183">
        <f>A207+1</f>
        <v/>
      </c>
      <c r="B208" s="204" t="n"/>
      <c r="C208" s="205" t="n"/>
      <c r="D208" s="204" t="n"/>
      <c r="E208" s="206" t="n"/>
      <c r="F208" s="206" t="n"/>
      <c r="G208" s="206" t="n"/>
      <c r="H208" s="206" t="n"/>
      <c r="I208" s="206" t="n"/>
      <c r="J208" s="206" t="n"/>
      <c r="K208" s="206" t="n"/>
      <c r="L208" s="206" t="n"/>
      <c r="M208" s="206" t="n"/>
      <c r="N208" s="206" t="n"/>
      <c r="O208" s="206" t="n"/>
      <c r="P208" s="206" t="n"/>
      <c r="Q208" s="206" t="n"/>
      <c r="R208" s="206" t="n"/>
      <c r="S208" s="206" t="n"/>
      <c r="T208" s="204">
        <f>SUM(F208:S208)</f>
        <v/>
      </c>
      <c r="U208" s="207">
        <f>(HLOOKUP(B208,F:T,A208,FALSE)/T208)</f>
        <v/>
      </c>
      <c r="V208" s="159" t="n"/>
      <c r="W208" s="163">
        <f>YEAR(C208)</f>
        <v/>
      </c>
      <c r="X208" s="116">
        <f>MONTH(C208)</f>
        <v/>
      </c>
      <c r="Y208" s="116">
        <f>WEEKNUM(C208,21)</f>
        <v/>
      </c>
      <c r="Z208" s="122" t="n"/>
      <c r="AA208" s="122" t="n"/>
      <c r="AB208" s="122" t="n"/>
      <c r="AC208" s="122" t="n"/>
      <c r="AD208" s="122" t="n"/>
      <c r="AE208" s="122">
        <f>IFERROR(K208/$T208,0)</f>
        <v/>
      </c>
      <c r="AF208" s="122">
        <f>IFERROR(L208/$T208,0)</f>
        <v/>
      </c>
      <c r="AG208" s="122" t="n"/>
      <c r="AH208" s="122" t="n"/>
      <c r="AI208" s="122" t="n"/>
      <c r="AJ208" s="122" t="n"/>
      <c r="AK208" s="122" t="n"/>
      <c r="AL208" s="122" t="n"/>
      <c r="AM208" s="122" t="n"/>
      <c r="AN208" s="122">
        <f>SUM(Z208:AC208)</f>
        <v/>
      </c>
      <c r="AO208" s="122">
        <f>SUM(AD208:AL208)</f>
        <v/>
      </c>
      <c r="AP208" s="122">
        <f>SUM(AM208,AB208)</f>
        <v/>
      </c>
      <c r="AQ208" s="122">
        <f>SUM(AA208)</f>
        <v/>
      </c>
      <c r="AR208" s="121">
        <f>(AP208+AQ208)-3%</f>
        <v/>
      </c>
      <c r="AS208" s="122">
        <f>SUM(AO208+AM208)</f>
        <v/>
      </c>
      <c r="AT208" s="122">
        <f>SUM(AH208+AN208)</f>
        <v/>
      </c>
      <c r="AU208" s="122">
        <f>SUM(AN208+AO208)</f>
        <v/>
      </c>
      <c r="AV208" s="122">
        <f>SUM(AN208+AD208+AE208+AF208+AG208+AH208+AJ208+AK208+AL208)</f>
        <v/>
      </c>
      <c r="AW208" s="122">
        <f>SUM(AD208+AE208+AF208+AG208+AI208+AJ208+AK208+AL208)</f>
        <v/>
      </c>
    </row>
    <row r="209" ht="14.1" customHeight="1" s="259">
      <c r="A209" s="183">
        <f>A208+1</f>
        <v/>
      </c>
      <c r="B209" s="204" t="n"/>
      <c r="C209" s="205" t="n"/>
      <c r="D209" s="204" t="n"/>
      <c r="E209" s="206" t="n"/>
      <c r="F209" s="206" t="n"/>
      <c r="G209" s="206" t="n"/>
      <c r="H209" s="206" t="n"/>
      <c r="I209" s="206" t="n"/>
      <c r="J209" s="206" t="n"/>
      <c r="K209" s="206" t="n"/>
      <c r="L209" s="206" t="n"/>
      <c r="M209" s="206" t="n"/>
      <c r="N209" s="206" t="n"/>
      <c r="O209" s="206" t="n"/>
      <c r="P209" s="206" t="n"/>
      <c r="Q209" s="206" t="n"/>
      <c r="R209" s="206" t="n"/>
      <c r="S209" s="206" t="n"/>
      <c r="T209" s="204">
        <f>SUM(F209:S209)</f>
        <v/>
      </c>
      <c r="U209" s="207">
        <f>(HLOOKUP(B209,F:T,A209,FALSE)/T209)</f>
        <v/>
      </c>
      <c r="V209" s="159" t="n"/>
      <c r="W209" s="163">
        <f>YEAR(C209)</f>
        <v/>
      </c>
      <c r="X209" s="116">
        <f>MONTH(C209)</f>
        <v/>
      </c>
      <c r="Y209" s="116">
        <f>WEEKNUM(C209,21)</f>
        <v/>
      </c>
      <c r="Z209" s="122" t="n"/>
      <c r="AA209" s="122" t="n"/>
      <c r="AB209" s="122" t="n"/>
      <c r="AC209" s="122" t="n"/>
      <c r="AD209" s="122" t="n"/>
      <c r="AE209" s="122">
        <f>IFERROR(K209/$T209,0)</f>
        <v/>
      </c>
      <c r="AF209" s="122">
        <f>IFERROR(L209/$T209,0)</f>
        <v/>
      </c>
      <c r="AG209" s="122" t="n"/>
      <c r="AH209" s="122" t="n"/>
      <c r="AI209" s="122" t="n"/>
      <c r="AJ209" s="122" t="n"/>
      <c r="AK209" s="122" t="n"/>
      <c r="AL209" s="122" t="n"/>
      <c r="AM209" s="122" t="n"/>
      <c r="AN209" s="122">
        <f>SUM(Z209:AC209)</f>
        <v/>
      </c>
      <c r="AO209" s="122">
        <f>SUM(AD209:AL209)</f>
        <v/>
      </c>
      <c r="AP209" s="122">
        <f>SUM(AM209,AB209)</f>
        <v/>
      </c>
      <c r="AQ209" s="122">
        <f>SUM(AA209)</f>
        <v/>
      </c>
      <c r="AR209" s="121">
        <f>(AP209+AQ209)-3%</f>
        <v/>
      </c>
      <c r="AS209" s="122">
        <f>SUM(AO209+AM209)</f>
        <v/>
      </c>
      <c r="AT209" s="122">
        <f>SUM(AH209+AN209)</f>
        <v/>
      </c>
      <c r="AU209" s="122">
        <f>SUM(AN209+AO209)</f>
        <v/>
      </c>
      <c r="AV209" s="122">
        <f>SUM(AN209+AD209+AE209+AF209+AG209+AH209+AJ209+AK209+AL209)</f>
        <v/>
      </c>
      <c r="AW209" s="122">
        <f>SUM(AD209+AE209+AF209+AG209+AI209+AJ209+AK209+AL209)</f>
        <v/>
      </c>
    </row>
    <row r="210" ht="14.1" customHeight="1" s="259">
      <c r="A210" s="183">
        <f>A209+1</f>
        <v/>
      </c>
      <c r="B210" s="204" t="n"/>
      <c r="C210" s="205" t="n"/>
      <c r="D210" s="204" t="n"/>
      <c r="E210" s="206" t="n"/>
      <c r="F210" s="206" t="n"/>
      <c r="G210" s="206" t="n"/>
      <c r="H210" s="206" t="n"/>
      <c r="I210" s="206" t="n"/>
      <c r="J210" s="206" t="n"/>
      <c r="K210" s="206" t="n"/>
      <c r="L210" s="206" t="n"/>
      <c r="M210" s="206" t="n"/>
      <c r="N210" s="206" t="n"/>
      <c r="O210" s="206" t="n"/>
      <c r="P210" s="206" t="n"/>
      <c r="Q210" s="206" t="n"/>
      <c r="R210" s="206" t="n"/>
      <c r="S210" s="206" t="n"/>
      <c r="T210" s="204">
        <f>SUM(F210:S210)</f>
        <v/>
      </c>
      <c r="U210" s="207">
        <f>(HLOOKUP(B210,F:T,A210,FALSE)/T210)</f>
        <v/>
      </c>
      <c r="V210" s="159" t="n"/>
      <c r="W210" s="163">
        <f>YEAR(C210)</f>
        <v/>
      </c>
      <c r="X210" s="116">
        <f>MONTH(C210)</f>
        <v/>
      </c>
      <c r="Y210" s="116">
        <f>WEEKNUM(C210,21)</f>
        <v/>
      </c>
      <c r="Z210" s="122" t="n"/>
      <c r="AA210" s="122" t="n"/>
      <c r="AB210" s="122" t="n"/>
      <c r="AC210" s="122" t="n"/>
      <c r="AD210" s="122" t="n"/>
      <c r="AE210" s="122">
        <f>IFERROR(K210/$T210,0)</f>
        <v/>
      </c>
      <c r="AF210" s="122">
        <f>IFERROR(L210/$T210,0)</f>
        <v/>
      </c>
      <c r="AG210" s="122" t="n"/>
      <c r="AH210" s="122" t="n"/>
      <c r="AI210" s="122" t="n"/>
      <c r="AJ210" s="122" t="n"/>
      <c r="AK210" s="122" t="n"/>
      <c r="AL210" s="122" t="n"/>
      <c r="AM210" s="122" t="n"/>
      <c r="AN210" s="122">
        <f>SUM(Z210:AC210)</f>
        <v/>
      </c>
      <c r="AO210" s="122">
        <f>SUM(AD210:AL210)</f>
        <v/>
      </c>
      <c r="AP210" s="122">
        <f>SUM(AM210,AB210)</f>
        <v/>
      </c>
      <c r="AQ210" s="122">
        <f>SUM(AA210)</f>
        <v/>
      </c>
      <c r="AR210" s="121">
        <f>(AP210+AQ210)-3%</f>
        <v/>
      </c>
      <c r="AS210" s="122">
        <f>SUM(AO210+AM210)</f>
        <v/>
      </c>
      <c r="AT210" s="122">
        <f>SUM(AH210+AN210)</f>
        <v/>
      </c>
      <c r="AU210" s="122">
        <f>SUM(AN210+AO210)</f>
        <v/>
      </c>
      <c r="AV210" s="122">
        <f>SUM(AN210+AD210+AE210+AF210+AG210+AH210+AJ210+AK210+AL210)</f>
        <v/>
      </c>
      <c r="AW210" s="122">
        <f>SUM(AD210+AE210+AF210+AG210+AI210+AJ210+AK210+AL210)</f>
        <v/>
      </c>
    </row>
    <row r="211" ht="14.1" customHeight="1" s="259">
      <c r="A211" s="183">
        <f>A210+1</f>
        <v/>
      </c>
      <c r="B211" s="204" t="n"/>
      <c r="C211" s="205" t="n"/>
      <c r="D211" s="204" t="n"/>
      <c r="E211" s="206" t="n"/>
      <c r="F211" s="206" t="n"/>
      <c r="G211" s="206" t="n"/>
      <c r="H211" s="206" t="n"/>
      <c r="I211" s="206" t="n"/>
      <c r="J211" s="206" t="n"/>
      <c r="K211" s="206" t="n"/>
      <c r="L211" s="206" t="n"/>
      <c r="M211" s="206" t="n"/>
      <c r="N211" s="206" t="n"/>
      <c r="O211" s="206" t="n"/>
      <c r="P211" s="206" t="n"/>
      <c r="Q211" s="206" t="n"/>
      <c r="R211" s="206" t="n"/>
      <c r="S211" s="206" t="n"/>
      <c r="T211" s="204">
        <f>SUM(F211:S211)</f>
        <v/>
      </c>
      <c r="U211" s="207">
        <f>(HLOOKUP(B211,F:T,A211,FALSE)/T211)</f>
        <v/>
      </c>
      <c r="V211" s="159" t="n"/>
      <c r="W211" s="163">
        <f>YEAR(C211)</f>
        <v/>
      </c>
      <c r="X211" s="116">
        <f>MONTH(C211)</f>
        <v/>
      </c>
      <c r="Y211" s="116">
        <f>WEEKNUM(C211,21)</f>
        <v/>
      </c>
      <c r="Z211" s="122" t="n"/>
      <c r="AA211" s="122" t="n"/>
      <c r="AB211" s="122" t="n"/>
      <c r="AC211" s="122" t="n"/>
      <c r="AD211" s="122" t="n"/>
      <c r="AE211" s="122">
        <f>IFERROR(K211/$T211,0)</f>
        <v/>
      </c>
      <c r="AF211" s="122">
        <f>IFERROR(L211/$T211,0)</f>
        <v/>
      </c>
      <c r="AG211" s="122" t="n"/>
      <c r="AH211" s="122" t="n"/>
      <c r="AI211" s="122" t="n"/>
      <c r="AJ211" s="122" t="n"/>
      <c r="AK211" s="122" t="n"/>
      <c r="AL211" s="122" t="n"/>
      <c r="AM211" s="122" t="n"/>
      <c r="AN211" s="122">
        <f>SUM(Z211:AC211)</f>
        <v/>
      </c>
      <c r="AO211" s="122">
        <f>SUM(AD211:AL211)</f>
        <v/>
      </c>
      <c r="AP211" s="122">
        <f>SUM(AM211,AB211)</f>
        <v/>
      </c>
      <c r="AQ211" s="122">
        <f>SUM(AA211)</f>
        <v/>
      </c>
      <c r="AR211" s="121">
        <f>(AP211+AQ211)-3%</f>
        <v/>
      </c>
      <c r="AS211" s="122">
        <f>SUM(AO211+AM211)</f>
        <v/>
      </c>
      <c r="AT211" s="122">
        <f>SUM(AH211+AN211)</f>
        <v/>
      </c>
      <c r="AU211" s="122">
        <f>SUM(AN211+AO211)</f>
        <v/>
      </c>
      <c r="AV211" s="122">
        <f>SUM(AN211+AD211+AE211+AF211+AG211+AH211+AJ211+AK211+AL211)</f>
        <v/>
      </c>
      <c r="AW211" s="122">
        <f>SUM(AD211+AE211+AF211+AG211+AI211+AJ211+AK211+AL211)</f>
        <v/>
      </c>
    </row>
    <row r="212" ht="14.1" customHeight="1" s="259">
      <c r="A212" s="183">
        <f>A211+1</f>
        <v/>
      </c>
      <c r="B212" s="204" t="n"/>
      <c r="C212" s="205" t="n"/>
      <c r="D212" s="204" t="n"/>
      <c r="E212" s="206" t="n"/>
      <c r="F212" s="206" t="n"/>
      <c r="G212" s="206" t="n"/>
      <c r="H212" s="206" t="n"/>
      <c r="I212" s="206" t="n"/>
      <c r="J212" s="206" t="n"/>
      <c r="K212" s="206" t="n"/>
      <c r="L212" s="206" t="n"/>
      <c r="M212" s="206" t="n"/>
      <c r="N212" s="206" t="n"/>
      <c r="O212" s="206" t="n"/>
      <c r="P212" s="206" t="n"/>
      <c r="Q212" s="206" t="n"/>
      <c r="R212" s="206" t="n"/>
      <c r="S212" s="206" t="n"/>
      <c r="T212" s="204">
        <f>SUM(F212:S212)</f>
        <v/>
      </c>
      <c r="U212" s="207">
        <f>(HLOOKUP(B212,F:T,A212,FALSE)/T212)</f>
        <v/>
      </c>
      <c r="V212" s="159" t="n"/>
      <c r="W212" s="163">
        <f>YEAR(C212)</f>
        <v/>
      </c>
      <c r="X212" s="116">
        <f>MONTH(C212)</f>
        <v/>
      </c>
      <c r="Y212" s="116">
        <f>WEEKNUM(C212,21)</f>
        <v/>
      </c>
      <c r="Z212" s="122" t="n"/>
      <c r="AA212" s="122" t="n"/>
      <c r="AB212" s="122" t="n"/>
      <c r="AC212" s="122" t="n"/>
      <c r="AD212" s="122" t="n"/>
      <c r="AE212" s="122">
        <f>IFERROR(K212/$T212,0)</f>
        <v/>
      </c>
      <c r="AF212" s="122">
        <f>IFERROR(L212/$T212,0)</f>
        <v/>
      </c>
      <c r="AG212" s="122" t="n"/>
      <c r="AH212" s="122" t="n"/>
      <c r="AI212" s="122" t="n"/>
      <c r="AJ212" s="122" t="n"/>
      <c r="AK212" s="122" t="n"/>
      <c r="AL212" s="122" t="n"/>
      <c r="AM212" s="122" t="n"/>
      <c r="AN212" s="122">
        <f>SUM(Z212:AC212)</f>
        <v/>
      </c>
      <c r="AO212" s="122">
        <f>SUM(AD212:AL212)</f>
        <v/>
      </c>
      <c r="AP212" s="122">
        <f>SUM(AM212,AB212)</f>
        <v/>
      </c>
      <c r="AQ212" s="122">
        <f>SUM(AA212)</f>
        <v/>
      </c>
      <c r="AR212" s="121">
        <f>(AP212+AQ212)-3%</f>
        <v/>
      </c>
      <c r="AS212" s="122">
        <f>SUM(AO212+AM212)</f>
        <v/>
      </c>
      <c r="AT212" s="122">
        <f>SUM(AH212+AN212)</f>
        <v/>
      </c>
      <c r="AU212" s="122">
        <f>SUM(AN212+AO212)</f>
        <v/>
      </c>
      <c r="AV212" s="122">
        <f>SUM(AN212+AD212+AE212+AF212+AG212+AH212+AJ212+AK212+AL212)</f>
        <v/>
      </c>
      <c r="AW212" s="122">
        <f>SUM(AD212+AE212+AF212+AG212+AI212+AJ212+AK212+AL212)</f>
        <v/>
      </c>
    </row>
    <row r="213" ht="14.1" customHeight="1" s="259">
      <c r="A213" s="183">
        <f>A212+1</f>
        <v/>
      </c>
      <c r="B213" s="204" t="n"/>
      <c r="C213" s="205" t="n"/>
      <c r="D213" s="204" t="n"/>
      <c r="E213" s="206" t="n"/>
      <c r="F213" s="206" t="n"/>
      <c r="G213" s="206" t="n"/>
      <c r="H213" s="206" t="n"/>
      <c r="I213" s="206" t="n"/>
      <c r="J213" s="206" t="n"/>
      <c r="K213" s="206" t="n"/>
      <c r="L213" s="206" t="n"/>
      <c r="M213" s="206" t="n"/>
      <c r="N213" s="206" t="n"/>
      <c r="O213" s="206" t="n"/>
      <c r="P213" s="206" t="n"/>
      <c r="Q213" s="206" t="n"/>
      <c r="R213" s="206" t="n"/>
      <c r="S213" s="206" t="n"/>
      <c r="T213" s="204">
        <f>SUM(F213:S213)</f>
        <v/>
      </c>
      <c r="U213" s="207">
        <f>(HLOOKUP(B213,F:T,A213,FALSE)/T213)</f>
        <v/>
      </c>
      <c r="V213" s="159" t="n"/>
      <c r="W213" s="163">
        <f>YEAR(C213)</f>
        <v/>
      </c>
      <c r="X213" s="116">
        <f>MONTH(C213)</f>
        <v/>
      </c>
      <c r="Y213" s="116">
        <f>WEEKNUM(C213,21)</f>
        <v/>
      </c>
      <c r="Z213" s="122" t="n"/>
      <c r="AA213" s="122" t="n"/>
      <c r="AB213" s="122" t="n"/>
      <c r="AC213" s="122" t="n"/>
      <c r="AD213" s="122" t="n"/>
      <c r="AE213" s="122">
        <f>IFERROR(K213/$T213,0)</f>
        <v/>
      </c>
      <c r="AF213" s="122">
        <f>IFERROR(L213/$T213,0)</f>
        <v/>
      </c>
      <c r="AG213" s="122" t="n"/>
      <c r="AH213" s="122" t="n"/>
      <c r="AI213" s="122" t="n"/>
      <c r="AJ213" s="122" t="n"/>
      <c r="AK213" s="122" t="n"/>
      <c r="AL213" s="122" t="n"/>
      <c r="AM213" s="122" t="n"/>
      <c r="AN213" s="122">
        <f>SUM(Z213:AC213)</f>
        <v/>
      </c>
      <c r="AO213" s="122">
        <f>SUM(AD213:AL213)</f>
        <v/>
      </c>
      <c r="AP213" s="122">
        <f>SUM(AM213,AB213)</f>
        <v/>
      </c>
      <c r="AQ213" s="122">
        <f>SUM(AA213)</f>
        <v/>
      </c>
      <c r="AR213" s="121">
        <f>(AP213+AQ213)-3%</f>
        <v/>
      </c>
      <c r="AS213" s="122">
        <f>SUM(AO213+AM213)</f>
        <v/>
      </c>
      <c r="AT213" s="122">
        <f>SUM(AH213+AN213)</f>
        <v/>
      </c>
      <c r="AU213" s="122">
        <f>SUM(AN213+AO213)</f>
        <v/>
      </c>
      <c r="AV213" s="122">
        <f>SUM(AN213+AD213+AE213+AF213+AG213+AH213+AJ213+AK213+AL213)</f>
        <v/>
      </c>
      <c r="AW213" s="122">
        <f>SUM(AD213+AE213+AF213+AG213+AI213+AJ213+AK213+AL213)</f>
        <v/>
      </c>
    </row>
    <row r="214" ht="14.1" customHeight="1" s="259">
      <c r="A214" s="183">
        <f>A213+1</f>
        <v/>
      </c>
      <c r="B214" s="204" t="n"/>
      <c r="C214" s="205" t="n"/>
      <c r="D214" s="204" t="n"/>
      <c r="E214" s="206" t="n"/>
      <c r="F214" s="206" t="n"/>
      <c r="G214" s="206" t="n"/>
      <c r="H214" s="206" t="n"/>
      <c r="I214" s="206" t="n"/>
      <c r="J214" s="206" t="n"/>
      <c r="K214" s="206" t="n"/>
      <c r="L214" s="206" t="n"/>
      <c r="M214" s="206" t="n"/>
      <c r="N214" s="206" t="n"/>
      <c r="O214" s="206" t="n"/>
      <c r="P214" s="206" t="n"/>
      <c r="Q214" s="206" t="n"/>
      <c r="R214" s="206" t="n"/>
      <c r="S214" s="206" t="n"/>
      <c r="T214" s="204">
        <f>SUM(F214:S214)</f>
        <v/>
      </c>
      <c r="U214" s="207">
        <f>(HLOOKUP(B214,F:T,A214,FALSE)/T214)</f>
        <v/>
      </c>
      <c r="V214" s="159" t="n"/>
      <c r="W214" s="163">
        <f>YEAR(C214)</f>
        <v/>
      </c>
      <c r="X214" s="116">
        <f>MONTH(C214)</f>
        <v/>
      </c>
      <c r="Y214" s="116">
        <f>WEEKNUM(C214,21)</f>
        <v/>
      </c>
      <c r="Z214" s="122" t="n"/>
      <c r="AA214" s="122" t="n"/>
      <c r="AB214" s="122" t="n"/>
      <c r="AC214" s="122" t="n"/>
      <c r="AD214" s="122" t="n"/>
      <c r="AE214" s="122">
        <f>IFERROR(K214/$T214,0)</f>
        <v/>
      </c>
      <c r="AF214" s="122">
        <f>IFERROR(L214/$T214,0)</f>
        <v/>
      </c>
      <c r="AG214" s="122" t="n"/>
      <c r="AH214" s="122" t="n"/>
      <c r="AI214" s="122" t="n"/>
      <c r="AJ214" s="122" t="n"/>
      <c r="AK214" s="122" t="n"/>
      <c r="AL214" s="122" t="n"/>
      <c r="AM214" s="122" t="n"/>
      <c r="AN214" s="122">
        <f>SUM(Z214:AC214)</f>
        <v/>
      </c>
      <c r="AO214" s="122">
        <f>SUM(AD214:AL214)</f>
        <v/>
      </c>
      <c r="AP214" s="122">
        <f>SUM(AM214,AB214)</f>
        <v/>
      </c>
      <c r="AQ214" s="122">
        <f>SUM(AA214)</f>
        <v/>
      </c>
      <c r="AR214" s="121">
        <f>(AP214+AQ214)-3%</f>
        <v/>
      </c>
      <c r="AS214" s="122">
        <f>SUM(AO214+AM214)</f>
        <v/>
      </c>
      <c r="AT214" s="122">
        <f>SUM(AH214+AN214)</f>
        <v/>
      </c>
      <c r="AU214" s="122">
        <f>SUM(AN214+AO214)</f>
        <v/>
      </c>
      <c r="AV214" s="122">
        <f>SUM(AN214+AD214+AE214+AF214+AG214+AH214+AJ214+AK214+AL214)</f>
        <v/>
      </c>
      <c r="AW214" s="122">
        <f>SUM(AD214+AE214+AF214+AG214+AI214+AJ214+AK214+AL214)</f>
        <v/>
      </c>
    </row>
    <row r="215" ht="14.1" customHeight="1" s="259">
      <c r="A215" s="183">
        <f>A214+1</f>
        <v/>
      </c>
      <c r="B215" s="199" t="n"/>
      <c r="C215" s="200" t="n"/>
      <c r="D215" s="199" t="n"/>
      <c r="E215" s="201" t="n"/>
      <c r="F215" s="201" t="n"/>
      <c r="G215" s="201" t="n"/>
      <c r="H215" s="201" t="n"/>
      <c r="I215" s="201" t="n"/>
      <c r="J215" s="201" t="n"/>
      <c r="K215" s="201" t="n"/>
      <c r="L215" s="201" t="n"/>
      <c r="M215" s="201" t="n"/>
      <c r="N215" s="201" t="n"/>
      <c r="O215" s="201" t="n"/>
      <c r="P215" s="201" t="n"/>
      <c r="Q215" s="201" t="n"/>
      <c r="R215" s="201" t="n"/>
      <c r="S215" s="201" t="n"/>
      <c r="T215" s="199">
        <f>SUM(F215:S215)</f>
        <v/>
      </c>
      <c r="U215" s="202">
        <f>(HLOOKUP(B215,F:T,A215,FALSE)/T215)</f>
        <v/>
      </c>
      <c r="V215" s="159" t="n"/>
      <c r="W215" s="163">
        <f>YEAR(C215)</f>
        <v/>
      </c>
      <c r="X215" s="116">
        <f>MONTH(C215)</f>
        <v/>
      </c>
      <c r="Y215" s="116">
        <f>WEEKNUM(C215,21)</f>
        <v/>
      </c>
      <c r="Z215" s="122" t="n"/>
      <c r="AA215" s="122" t="n"/>
      <c r="AB215" s="122" t="n"/>
      <c r="AC215" s="122" t="n"/>
      <c r="AD215" s="122" t="n"/>
      <c r="AE215" s="122">
        <f>IFERROR(K215/$T215,0)</f>
        <v/>
      </c>
      <c r="AF215" s="122">
        <f>IFERROR(L215/$T215,0)</f>
        <v/>
      </c>
      <c r="AG215" s="122" t="n"/>
      <c r="AH215" s="122" t="n"/>
      <c r="AI215" s="122" t="n"/>
      <c r="AJ215" s="122" t="n"/>
      <c r="AK215" s="122" t="n"/>
      <c r="AL215" s="122" t="n"/>
      <c r="AM215" s="122" t="n"/>
      <c r="AN215" s="122">
        <f>SUM(Z215:AC215)</f>
        <v/>
      </c>
      <c r="AO215" s="122">
        <f>SUM(AD215:AL215)</f>
        <v/>
      </c>
      <c r="AP215" s="122">
        <f>SUM(AM215,AB215)</f>
        <v/>
      </c>
      <c r="AQ215" s="122">
        <f>SUM(AA215)</f>
        <v/>
      </c>
      <c r="AR215" s="121">
        <f>(AP215+AQ215)-3%</f>
        <v/>
      </c>
      <c r="AS215" s="122">
        <f>SUM(AO215+AM215)</f>
        <v/>
      </c>
      <c r="AT215" s="122">
        <f>SUM(AH215+AN215)</f>
        <v/>
      </c>
      <c r="AU215" s="122">
        <f>SUM(AN215+AO215)</f>
        <v/>
      </c>
      <c r="AV215" s="122">
        <f>SUM(AN215+AD215+AE215+AF215+AG215+AH215+AJ215+AK215+AL215)</f>
        <v/>
      </c>
      <c r="AW215" s="122">
        <f>SUM(AD215+AE215+AF215+AG215+AI215+AJ215+AK215+AL215)</f>
        <v/>
      </c>
    </row>
    <row r="216" ht="14.1" customHeight="1" s="259">
      <c r="A216" s="183">
        <f>A215+1</f>
        <v/>
      </c>
      <c r="B216" s="199" t="n"/>
      <c r="C216" s="200" t="n"/>
      <c r="D216" s="199" t="n"/>
      <c r="E216" s="201" t="n"/>
      <c r="F216" s="201" t="n"/>
      <c r="G216" s="201" t="n"/>
      <c r="H216" s="201" t="n"/>
      <c r="I216" s="201" t="n"/>
      <c r="J216" s="201" t="n"/>
      <c r="K216" s="201" t="n"/>
      <c r="L216" s="201" t="n"/>
      <c r="M216" s="201" t="n"/>
      <c r="N216" s="201" t="n"/>
      <c r="O216" s="201" t="n"/>
      <c r="P216" s="201" t="n"/>
      <c r="Q216" s="201" t="n"/>
      <c r="R216" s="201" t="n"/>
      <c r="S216" s="201" t="n"/>
      <c r="T216" s="199">
        <f>SUM(F216:S216)</f>
        <v/>
      </c>
      <c r="U216" s="202">
        <f>(HLOOKUP(B216,F:T,A216,FALSE)/T216)</f>
        <v/>
      </c>
      <c r="V216" s="159" t="n"/>
      <c r="W216" s="163">
        <f>YEAR(C216)</f>
        <v/>
      </c>
      <c r="X216" s="116">
        <f>MONTH(C216)</f>
        <v/>
      </c>
      <c r="Y216" s="116">
        <f>WEEKNUM(C216,21)</f>
        <v/>
      </c>
      <c r="Z216" s="122" t="n"/>
      <c r="AA216" s="122" t="n"/>
      <c r="AB216" s="122" t="n"/>
      <c r="AC216" s="122" t="n"/>
      <c r="AD216" s="122" t="n"/>
      <c r="AE216" s="122">
        <f>IFERROR(K216/$T216,0)</f>
        <v/>
      </c>
      <c r="AF216" s="122">
        <f>IFERROR(L216/$T216,0)</f>
        <v/>
      </c>
      <c r="AG216" s="122" t="n"/>
      <c r="AH216" s="122" t="n"/>
      <c r="AI216" s="122" t="n"/>
      <c r="AJ216" s="122" t="n"/>
      <c r="AK216" s="122" t="n"/>
      <c r="AL216" s="122" t="n"/>
      <c r="AM216" s="122" t="n"/>
      <c r="AN216" s="122">
        <f>SUM(Z216:AC216)</f>
        <v/>
      </c>
      <c r="AO216" s="122">
        <f>SUM(AD216:AL216)</f>
        <v/>
      </c>
      <c r="AP216" s="122">
        <f>SUM(AM216,AB216)</f>
        <v/>
      </c>
      <c r="AQ216" s="122">
        <f>SUM(AA216)</f>
        <v/>
      </c>
      <c r="AR216" s="121">
        <f>(AP216+AQ216)-3%</f>
        <v/>
      </c>
      <c r="AS216" s="122">
        <f>SUM(AO216+AM216)</f>
        <v/>
      </c>
      <c r="AT216" s="122">
        <f>SUM(AH216+AN216)</f>
        <v/>
      </c>
      <c r="AU216" s="122">
        <f>SUM(AN216+AO216)</f>
        <v/>
      </c>
      <c r="AV216" s="122">
        <f>SUM(AN216+AD216+AE216+AF216+AG216+AH216+AJ216+AK216+AL216)</f>
        <v/>
      </c>
      <c r="AW216" s="122">
        <f>SUM(AD216+AE216+AF216+AG216+AI216+AJ216+AK216+AL216)</f>
        <v/>
      </c>
    </row>
    <row r="217" ht="14.1" customHeight="1" s="259">
      <c r="A217" s="183">
        <f>A216+1</f>
        <v/>
      </c>
      <c r="B217" s="204" t="n"/>
      <c r="C217" s="205" t="n"/>
      <c r="D217" s="204" t="n"/>
      <c r="E217" s="206" t="n"/>
      <c r="F217" s="206" t="n"/>
      <c r="G217" s="206" t="n"/>
      <c r="H217" s="206" t="n"/>
      <c r="I217" s="206" t="n"/>
      <c r="J217" s="206" t="n"/>
      <c r="K217" s="206" t="n"/>
      <c r="L217" s="206" t="n"/>
      <c r="M217" s="206" t="n"/>
      <c r="N217" s="206" t="n"/>
      <c r="O217" s="206" t="n"/>
      <c r="P217" s="206" t="n"/>
      <c r="Q217" s="206" t="n"/>
      <c r="R217" s="206" t="n"/>
      <c r="S217" s="206" t="n"/>
      <c r="T217" s="204">
        <f>SUM(F217:S217)</f>
        <v/>
      </c>
      <c r="U217" s="207">
        <f>(HLOOKUP(B217,F:T,A217,FALSE)/T217)</f>
        <v/>
      </c>
      <c r="V217" s="159" t="n"/>
      <c r="W217" s="163">
        <f>YEAR(C217)</f>
        <v/>
      </c>
      <c r="X217" s="116">
        <f>MONTH(C217)</f>
        <v/>
      </c>
      <c r="Y217" s="116">
        <f>WEEKNUM(C217,21)</f>
        <v/>
      </c>
      <c r="Z217" s="122" t="n"/>
      <c r="AA217" s="122" t="n"/>
      <c r="AB217" s="122" t="n"/>
      <c r="AC217" s="122" t="n"/>
      <c r="AD217" s="122" t="n"/>
      <c r="AE217" s="122">
        <f>IFERROR(K217/$T217,0)</f>
        <v/>
      </c>
      <c r="AF217" s="122">
        <f>IFERROR(L217/$T217,0)</f>
        <v/>
      </c>
      <c r="AG217" s="122" t="n"/>
      <c r="AH217" s="122" t="n"/>
      <c r="AI217" s="122" t="n"/>
      <c r="AJ217" s="122" t="n"/>
      <c r="AK217" s="122" t="n"/>
      <c r="AL217" s="122" t="n"/>
      <c r="AM217" s="122" t="n"/>
      <c r="AN217" s="122">
        <f>SUM(Z217:AC217)</f>
        <v/>
      </c>
      <c r="AO217" s="122">
        <f>SUM(AD217:AL217)</f>
        <v/>
      </c>
      <c r="AP217" s="122">
        <f>SUM(AM217,AB217)</f>
        <v/>
      </c>
      <c r="AQ217" s="122">
        <f>SUM(AA217)</f>
        <v/>
      </c>
      <c r="AR217" s="121">
        <f>(AP217+AQ217)-3%</f>
        <v/>
      </c>
      <c r="AS217" s="122">
        <f>SUM(AO217+AM217)</f>
        <v/>
      </c>
      <c r="AT217" s="122">
        <f>SUM(AH217+AN217)</f>
        <v/>
      </c>
      <c r="AU217" s="122">
        <f>SUM(AN217+AO217)</f>
        <v/>
      </c>
      <c r="AV217" s="122">
        <f>SUM(AN217+AD217+AE217+AF217+AG217+AH217+AJ217+AK217+AL217)</f>
        <v/>
      </c>
      <c r="AW217" s="122">
        <f>SUM(AD217+AE217+AF217+AG217+AI217+AJ217+AK217+AL217)</f>
        <v/>
      </c>
    </row>
    <row r="218" ht="14.1" customHeight="1" s="259">
      <c r="A218" s="183">
        <f>A217+1</f>
        <v/>
      </c>
      <c r="B218" s="204" t="n"/>
      <c r="C218" s="205" t="n"/>
      <c r="D218" s="204" t="n"/>
      <c r="E218" s="206" t="n"/>
      <c r="F218" s="206" t="n"/>
      <c r="G218" s="206" t="n"/>
      <c r="H218" s="206" t="n"/>
      <c r="I218" s="206" t="n"/>
      <c r="J218" s="206" t="n"/>
      <c r="K218" s="206" t="n"/>
      <c r="L218" s="206" t="n"/>
      <c r="M218" s="206" t="n"/>
      <c r="N218" s="206" t="n"/>
      <c r="O218" s="206" t="n"/>
      <c r="P218" s="206" t="n"/>
      <c r="Q218" s="206" t="n"/>
      <c r="R218" s="206" t="n"/>
      <c r="S218" s="206" t="n"/>
      <c r="T218" s="204">
        <f>SUM(F218:S218)</f>
        <v/>
      </c>
      <c r="U218" s="207">
        <f>(HLOOKUP(B218,F:T,A218,FALSE)/T218)</f>
        <v/>
      </c>
      <c r="V218" s="159" t="n"/>
      <c r="W218" s="163">
        <f>YEAR(C218)</f>
        <v/>
      </c>
      <c r="X218" s="116">
        <f>MONTH(C218)</f>
        <v/>
      </c>
      <c r="Y218" s="116">
        <f>WEEKNUM(C218,21)</f>
        <v/>
      </c>
      <c r="Z218" s="122" t="n"/>
      <c r="AA218" s="122" t="n"/>
      <c r="AB218" s="122" t="n"/>
      <c r="AC218" s="122" t="n"/>
      <c r="AD218" s="122" t="n"/>
      <c r="AE218" s="122">
        <f>IFERROR(K218/$T218,0)</f>
        <v/>
      </c>
      <c r="AF218" s="122">
        <f>IFERROR(L218/$T218,0)</f>
        <v/>
      </c>
      <c r="AG218" s="122" t="n"/>
      <c r="AH218" s="122" t="n"/>
      <c r="AI218" s="122" t="n"/>
      <c r="AJ218" s="122" t="n"/>
      <c r="AK218" s="122" t="n"/>
      <c r="AL218" s="122" t="n"/>
      <c r="AM218" s="122" t="n"/>
      <c r="AN218" s="122">
        <f>SUM(Z218:AC218)</f>
        <v/>
      </c>
      <c r="AO218" s="122">
        <f>SUM(AD218:AL218)</f>
        <v/>
      </c>
      <c r="AP218" s="122">
        <f>SUM(AM218,AB218)</f>
        <v/>
      </c>
      <c r="AQ218" s="122">
        <f>SUM(AA218)</f>
        <v/>
      </c>
      <c r="AR218" s="121">
        <f>(AP218+AQ218)-3%</f>
        <v/>
      </c>
      <c r="AS218" s="122">
        <f>SUM(AO218+AM218)</f>
        <v/>
      </c>
      <c r="AT218" s="122">
        <f>SUM(AH218+AN218)</f>
        <v/>
      </c>
      <c r="AU218" s="122">
        <f>SUM(AN218+AO218)</f>
        <v/>
      </c>
      <c r="AV218" s="122">
        <f>SUM(AN218+AD218+AE218+AF218+AG218+AH218+AJ218+AK218+AL218)</f>
        <v/>
      </c>
      <c r="AW218" s="122">
        <f>SUM(AD218+AE218+AF218+AG218+AI218+AJ218+AK218+AL218)</f>
        <v/>
      </c>
    </row>
    <row r="219" ht="14.1" customHeight="1" s="259">
      <c r="A219" s="183">
        <f>A218+1</f>
        <v/>
      </c>
      <c r="B219" s="204" t="n"/>
      <c r="C219" s="205" t="n"/>
      <c r="D219" s="204" t="n"/>
      <c r="E219" s="206" t="n"/>
      <c r="F219" s="206" t="n"/>
      <c r="G219" s="206" t="n"/>
      <c r="H219" s="206" t="n"/>
      <c r="I219" s="206" t="n"/>
      <c r="J219" s="206" t="n"/>
      <c r="K219" s="206" t="n"/>
      <c r="L219" s="206" t="n"/>
      <c r="M219" s="206" t="n"/>
      <c r="N219" s="206" t="n"/>
      <c r="O219" s="206" t="n"/>
      <c r="P219" s="206" t="n"/>
      <c r="Q219" s="206" t="n"/>
      <c r="R219" s="206" t="n"/>
      <c r="S219" s="206" t="n"/>
      <c r="T219" s="204">
        <f>SUM(F219:S219)</f>
        <v/>
      </c>
      <c r="U219" s="207">
        <f>(HLOOKUP(B219,F:T,A219,FALSE)/T219)</f>
        <v/>
      </c>
      <c r="V219" s="159" t="n"/>
      <c r="W219" s="163">
        <f>YEAR(C219)</f>
        <v/>
      </c>
      <c r="X219" s="116">
        <f>MONTH(C219)</f>
        <v/>
      </c>
      <c r="Y219" s="116">
        <f>WEEKNUM(C219,21)</f>
        <v/>
      </c>
      <c r="Z219" s="122" t="n"/>
      <c r="AA219" s="122" t="n"/>
      <c r="AB219" s="122" t="n"/>
      <c r="AC219" s="122" t="n"/>
      <c r="AD219" s="122" t="n"/>
      <c r="AE219" s="122">
        <f>IFERROR(K219/$T219,0)</f>
        <v/>
      </c>
      <c r="AF219" s="122">
        <f>IFERROR(L219/$T219,0)</f>
        <v/>
      </c>
      <c r="AG219" s="122" t="n"/>
      <c r="AH219" s="122" t="n"/>
      <c r="AI219" s="122" t="n"/>
      <c r="AJ219" s="122" t="n"/>
      <c r="AK219" s="122" t="n"/>
      <c r="AL219" s="122" t="n"/>
      <c r="AM219" s="122" t="n"/>
      <c r="AN219" s="122">
        <f>SUM(Z219:AC219)</f>
        <v/>
      </c>
      <c r="AO219" s="122">
        <f>SUM(AD219:AL219)</f>
        <v/>
      </c>
      <c r="AP219" s="122">
        <f>SUM(AM219,AB219)</f>
        <v/>
      </c>
      <c r="AQ219" s="122">
        <f>SUM(AA219)</f>
        <v/>
      </c>
      <c r="AR219" s="121">
        <f>(AP219+AQ219)-3%</f>
        <v/>
      </c>
      <c r="AS219" s="122">
        <f>SUM(AO219+AM219)</f>
        <v/>
      </c>
      <c r="AT219" s="122">
        <f>SUM(AH219+AN219)</f>
        <v/>
      </c>
      <c r="AU219" s="122">
        <f>SUM(AN219+AO219)</f>
        <v/>
      </c>
      <c r="AV219" s="122">
        <f>SUM(AN219+AD219+AE219+AF219+AG219+AH219+AJ219+AK219+AL219)</f>
        <v/>
      </c>
      <c r="AW219" s="122">
        <f>SUM(AD219+AE219+AF219+AG219+AI219+AJ219+AK219+AL219)</f>
        <v/>
      </c>
    </row>
    <row r="220" ht="14.1" customHeight="1" s="259">
      <c r="A220" s="183">
        <f>A219+1</f>
        <v/>
      </c>
      <c r="B220" s="204" t="n"/>
      <c r="C220" s="205" t="n"/>
      <c r="D220" s="204" t="n"/>
      <c r="E220" s="206" t="n"/>
      <c r="F220" s="206" t="n"/>
      <c r="G220" s="206" t="n"/>
      <c r="H220" s="206" t="n"/>
      <c r="I220" s="206" t="n"/>
      <c r="J220" s="206" t="n"/>
      <c r="K220" s="206" t="n"/>
      <c r="L220" s="206" t="n"/>
      <c r="M220" s="206" t="n"/>
      <c r="N220" s="206" t="n"/>
      <c r="O220" s="206" t="n"/>
      <c r="P220" s="206" t="n"/>
      <c r="Q220" s="206" t="n"/>
      <c r="R220" s="206" t="n"/>
      <c r="S220" s="206" t="n"/>
      <c r="T220" s="204">
        <f>SUM(F220:S220)</f>
        <v/>
      </c>
      <c r="U220" s="207">
        <f>(HLOOKUP(B220,F:T,A220,FALSE)/T220)</f>
        <v/>
      </c>
      <c r="V220" s="159" t="n"/>
      <c r="W220" s="163">
        <f>YEAR(C220)</f>
        <v/>
      </c>
      <c r="X220" s="116">
        <f>MONTH(C220)</f>
        <v/>
      </c>
      <c r="Y220" s="116">
        <f>WEEKNUM(C220,21)</f>
        <v/>
      </c>
      <c r="Z220" s="122" t="n"/>
      <c r="AA220" s="122" t="n"/>
      <c r="AB220" s="122" t="n"/>
      <c r="AC220" s="122" t="n"/>
      <c r="AD220" s="122" t="n"/>
      <c r="AE220" s="122">
        <f>IFERROR(K220/$T220,0)</f>
        <v/>
      </c>
      <c r="AF220" s="122">
        <f>IFERROR(L220/$T220,0)</f>
        <v/>
      </c>
      <c r="AG220" s="122" t="n"/>
      <c r="AH220" s="122" t="n"/>
      <c r="AI220" s="122" t="n"/>
      <c r="AJ220" s="122" t="n"/>
      <c r="AK220" s="122" t="n"/>
      <c r="AL220" s="122" t="n"/>
      <c r="AM220" s="122" t="n"/>
      <c r="AN220" s="122">
        <f>SUM(Z220:AC220)</f>
        <v/>
      </c>
      <c r="AO220" s="122">
        <f>SUM(AD220:AL220)</f>
        <v/>
      </c>
      <c r="AP220" s="122">
        <f>SUM(AM220,AB220)</f>
        <v/>
      </c>
      <c r="AQ220" s="122">
        <f>SUM(AA220)</f>
        <v/>
      </c>
      <c r="AR220" s="121">
        <f>(AP220+AQ220)-3%</f>
        <v/>
      </c>
      <c r="AS220" s="122">
        <f>SUM(AO220+AM220)</f>
        <v/>
      </c>
      <c r="AT220" s="122">
        <f>SUM(AH220+AN220)</f>
        <v/>
      </c>
      <c r="AU220" s="122">
        <f>SUM(AN220+AO220)</f>
        <v/>
      </c>
      <c r="AV220" s="122">
        <f>SUM(AN220+AD220+AE220+AF220+AG220+AH220+AJ220+AK220+AL220)</f>
        <v/>
      </c>
      <c r="AW220" s="122">
        <f>SUM(AD220+AE220+AF220+AG220+AI220+AJ220+AK220+AL220)</f>
        <v/>
      </c>
    </row>
    <row r="221" ht="14.1" customHeight="1" s="259">
      <c r="A221" s="183">
        <f>A220+1</f>
        <v/>
      </c>
      <c r="B221" s="204" t="n"/>
      <c r="C221" s="205" t="n"/>
      <c r="D221" s="204" t="n"/>
      <c r="E221" s="206" t="n"/>
      <c r="F221" s="206" t="n"/>
      <c r="G221" s="206" t="n"/>
      <c r="H221" s="206" t="n"/>
      <c r="I221" s="206" t="n"/>
      <c r="J221" s="206" t="n"/>
      <c r="K221" s="206" t="n"/>
      <c r="L221" s="206" t="n"/>
      <c r="M221" s="206" t="n"/>
      <c r="N221" s="206" t="n"/>
      <c r="O221" s="206" t="n"/>
      <c r="P221" s="206" t="n"/>
      <c r="Q221" s="206" t="n"/>
      <c r="R221" s="206" t="n"/>
      <c r="S221" s="206" t="n"/>
      <c r="T221" s="204">
        <f>SUM(F221:S221)</f>
        <v/>
      </c>
      <c r="U221" s="207">
        <f>(HLOOKUP(B221,F:T,A221,FALSE)/T221)</f>
        <v/>
      </c>
      <c r="V221" s="159" t="n"/>
      <c r="W221" s="163">
        <f>YEAR(C221)</f>
        <v/>
      </c>
      <c r="X221" s="116">
        <f>MONTH(C221)</f>
        <v/>
      </c>
      <c r="Y221" s="116">
        <f>WEEKNUM(C221,21)</f>
        <v/>
      </c>
      <c r="Z221" s="122" t="n"/>
      <c r="AA221" s="122" t="n"/>
      <c r="AB221" s="122" t="n"/>
      <c r="AC221" s="122" t="n"/>
      <c r="AD221" s="122" t="n"/>
      <c r="AE221" s="122">
        <f>IFERROR(K221/$T221,0)</f>
        <v/>
      </c>
      <c r="AF221" s="122">
        <f>IFERROR(L221/$T221,0)</f>
        <v/>
      </c>
      <c r="AG221" s="122" t="n"/>
      <c r="AH221" s="122" t="n"/>
      <c r="AI221" s="122" t="n"/>
      <c r="AJ221" s="122" t="n"/>
      <c r="AK221" s="122" t="n"/>
      <c r="AL221" s="122" t="n"/>
      <c r="AM221" s="122" t="n"/>
      <c r="AN221" s="122">
        <f>SUM(Z221:AC221)</f>
        <v/>
      </c>
      <c r="AO221" s="122">
        <f>SUM(AD221:AL221)</f>
        <v/>
      </c>
      <c r="AP221" s="122">
        <f>SUM(AM221,AB221)</f>
        <v/>
      </c>
      <c r="AQ221" s="122">
        <f>SUM(AA221)</f>
        <v/>
      </c>
      <c r="AR221" s="121">
        <f>(AP221+AQ221)-3%</f>
        <v/>
      </c>
      <c r="AS221" s="122">
        <f>SUM(AO221+AM221)</f>
        <v/>
      </c>
      <c r="AT221" s="122">
        <f>SUM(AH221+AN221)</f>
        <v/>
      </c>
      <c r="AU221" s="122">
        <f>SUM(AN221+AO221)</f>
        <v/>
      </c>
      <c r="AV221" s="122">
        <f>SUM(AN221+AD221+AE221+AF221+AG221+AH221+AJ221+AK221+AL221)</f>
        <v/>
      </c>
      <c r="AW221" s="122">
        <f>SUM(AD221+AE221+AF221+AG221+AI221+AJ221+AK221+AL221)</f>
        <v/>
      </c>
    </row>
    <row r="222" ht="14.1" customHeight="1" s="259">
      <c r="A222" s="183">
        <f>A221+1</f>
        <v/>
      </c>
      <c r="B222" s="204" t="n"/>
      <c r="C222" s="205" t="n"/>
      <c r="D222" s="204" t="n"/>
      <c r="E222" s="206" t="n"/>
      <c r="F222" s="206" t="n"/>
      <c r="G222" s="206" t="n"/>
      <c r="H222" s="206" t="n"/>
      <c r="I222" s="206" t="n"/>
      <c r="J222" s="206" t="n"/>
      <c r="K222" s="206" t="n"/>
      <c r="L222" s="206" t="n"/>
      <c r="M222" s="206" t="n"/>
      <c r="N222" s="206" t="n"/>
      <c r="O222" s="206" t="n"/>
      <c r="P222" s="206" t="n"/>
      <c r="Q222" s="206" t="n"/>
      <c r="R222" s="206" t="n"/>
      <c r="S222" s="206" t="n"/>
      <c r="T222" s="204">
        <f>SUM(F222:S222)</f>
        <v/>
      </c>
      <c r="U222" s="207">
        <f>(HLOOKUP(B222,F:T,A222,FALSE)/T222)</f>
        <v/>
      </c>
      <c r="V222" s="159" t="n"/>
      <c r="W222" s="163">
        <f>YEAR(C222)</f>
        <v/>
      </c>
      <c r="X222" s="116">
        <f>MONTH(C222)</f>
        <v/>
      </c>
      <c r="Y222" s="116">
        <f>WEEKNUM(C222,21)</f>
        <v/>
      </c>
      <c r="Z222" s="122" t="n"/>
      <c r="AA222" s="122" t="n"/>
      <c r="AB222" s="122" t="n"/>
      <c r="AC222" s="122" t="n"/>
      <c r="AD222" s="122" t="n"/>
      <c r="AE222" s="122">
        <f>IFERROR(K222/$T222,0)</f>
        <v/>
      </c>
      <c r="AF222" s="122">
        <f>IFERROR(L222/$T222,0)</f>
        <v/>
      </c>
      <c r="AG222" s="122" t="n"/>
      <c r="AH222" s="122" t="n"/>
      <c r="AI222" s="122" t="n"/>
      <c r="AJ222" s="122" t="n"/>
      <c r="AK222" s="122" t="n"/>
      <c r="AL222" s="122" t="n"/>
      <c r="AM222" s="122" t="n"/>
      <c r="AN222" s="122">
        <f>SUM(Z222:AC222)</f>
        <v/>
      </c>
      <c r="AO222" s="122">
        <f>SUM(AD222:AL222)</f>
        <v/>
      </c>
      <c r="AP222" s="122">
        <f>SUM(AM222,AB222)</f>
        <v/>
      </c>
      <c r="AQ222" s="122">
        <f>SUM(AA222)</f>
        <v/>
      </c>
      <c r="AR222" s="121">
        <f>(AP222+AQ222)-3%</f>
        <v/>
      </c>
      <c r="AS222" s="122">
        <f>SUM(AO222+AM222)</f>
        <v/>
      </c>
      <c r="AT222" s="122">
        <f>SUM(AH222+AN222)</f>
        <v/>
      </c>
      <c r="AU222" s="122">
        <f>SUM(AN222+AO222)</f>
        <v/>
      </c>
      <c r="AV222" s="122">
        <f>SUM(AN222+AD222+AE222+AF222+AG222+AH222+AJ222+AK222+AL222)</f>
        <v/>
      </c>
      <c r="AW222" s="122">
        <f>SUM(AD222+AE222+AF222+AG222+AI222+AJ222+AK222+AL222)</f>
        <v/>
      </c>
    </row>
    <row r="223" ht="14.1" customHeight="1" s="259">
      <c r="A223" s="183">
        <f>A222+1</f>
        <v/>
      </c>
      <c r="B223" s="204" t="n"/>
      <c r="C223" s="205" t="n"/>
      <c r="D223" s="204" t="n"/>
      <c r="E223" s="206" t="n"/>
      <c r="F223" s="206" t="n"/>
      <c r="G223" s="206" t="n"/>
      <c r="H223" s="206" t="n"/>
      <c r="I223" s="206" t="n"/>
      <c r="J223" s="206" t="n"/>
      <c r="K223" s="206" t="n"/>
      <c r="L223" s="206" t="n"/>
      <c r="M223" s="206" t="n"/>
      <c r="N223" s="206" t="n"/>
      <c r="O223" s="206" t="n"/>
      <c r="P223" s="206" t="n"/>
      <c r="Q223" s="206" t="n"/>
      <c r="R223" s="206" t="n"/>
      <c r="S223" s="206" t="n"/>
      <c r="T223" s="204">
        <f>SUM(F223:S223)</f>
        <v/>
      </c>
      <c r="U223" s="207">
        <f>(HLOOKUP(B223,F:T,A223,FALSE)/T223)</f>
        <v/>
      </c>
      <c r="V223" s="159" t="n"/>
      <c r="W223" s="163">
        <f>YEAR(C223)</f>
        <v/>
      </c>
      <c r="X223" s="116">
        <f>MONTH(C223)</f>
        <v/>
      </c>
      <c r="Y223" s="116">
        <f>WEEKNUM(C223,21)</f>
        <v/>
      </c>
      <c r="Z223" s="122" t="n"/>
      <c r="AA223" s="122" t="n"/>
      <c r="AB223" s="122" t="n"/>
      <c r="AC223" s="122" t="n"/>
      <c r="AD223" s="122" t="n"/>
      <c r="AE223" s="122">
        <f>IFERROR(K223/$T223,0)</f>
        <v/>
      </c>
      <c r="AF223" s="122">
        <f>IFERROR(L223/$T223,0)</f>
        <v/>
      </c>
      <c r="AG223" s="122" t="n"/>
      <c r="AH223" s="122" t="n"/>
      <c r="AI223" s="122" t="n"/>
      <c r="AJ223" s="122" t="n"/>
      <c r="AK223" s="122" t="n"/>
      <c r="AL223" s="122" t="n"/>
      <c r="AM223" s="122" t="n"/>
      <c r="AN223" s="122">
        <f>SUM(Z223:AC223)</f>
        <v/>
      </c>
      <c r="AO223" s="122">
        <f>SUM(AD223:AL223)</f>
        <v/>
      </c>
      <c r="AP223" s="122">
        <f>SUM(AM223,AB223)</f>
        <v/>
      </c>
      <c r="AQ223" s="122">
        <f>SUM(AA223)</f>
        <v/>
      </c>
      <c r="AR223" s="121">
        <f>(AP223+AQ223)-3%</f>
        <v/>
      </c>
      <c r="AS223" s="122">
        <f>SUM(AO223+AM223)</f>
        <v/>
      </c>
      <c r="AT223" s="122">
        <f>SUM(AH223+AN223)</f>
        <v/>
      </c>
      <c r="AU223" s="122">
        <f>SUM(AN223+AO223)</f>
        <v/>
      </c>
      <c r="AV223" s="122">
        <f>SUM(AN223+AD223+AE223+AF223+AG223+AH223+AJ223+AK223+AL223)</f>
        <v/>
      </c>
      <c r="AW223" s="122">
        <f>SUM(AD223+AE223+AF223+AG223+AI223+AJ223+AK223+AL223)</f>
        <v/>
      </c>
    </row>
    <row r="224" ht="14.1" customHeight="1" s="259">
      <c r="A224" s="183">
        <f>A223+1</f>
        <v/>
      </c>
      <c r="B224" s="204" t="n"/>
      <c r="C224" s="205" t="n"/>
      <c r="D224" s="204" t="n"/>
      <c r="E224" s="206" t="n"/>
      <c r="F224" s="206" t="n"/>
      <c r="G224" s="206" t="n"/>
      <c r="H224" s="206" t="n"/>
      <c r="I224" s="206" t="n"/>
      <c r="J224" s="206" t="n"/>
      <c r="K224" s="206" t="n"/>
      <c r="L224" s="206" t="n"/>
      <c r="M224" s="206" t="n"/>
      <c r="N224" s="206" t="n"/>
      <c r="O224" s="206" t="n"/>
      <c r="P224" s="206" t="n"/>
      <c r="Q224" s="206" t="n"/>
      <c r="R224" s="206" t="n"/>
      <c r="S224" s="206" t="n"/>
      <c r="T224" s="204">
        <f>SUM(F224:S224)</f>
        <v/>
      </c>
      <c r="U224" s="207">
        <f>(HLOOKUP(B224,F:T,A224,FALSE)/T224)</f>
        <v/>
      </c>
      <c r="V224" s="159" t="n"/>
      <c r="W224" s="163">
        <f>YEAR(C224)</f>
        <v/>
      </c>
      <c r="X224" s="116">
        <f>MONTH(C224)</f>
        <v/>
      </c>
      <c r="Y224" s="116">
        <f>WEEKNUM(C224,21)</f>
        <v/>
      </c>
      <c r="Z224" s="122" t="n"/>
      <c r="AA224" s="122" t="n"/>
      <c r="AB224" s="122" t="n"/>
      <c r="AC224" s="122" t="n"/>
      <c r="AD224" s="122" t="n"/>
      <c r="AE224" s="122">
        <f>IFERROR(K224/$T224,0)</f>
        <v/>
      </c>
      <c r="AF224" s="122">
        <f>IFERROR(L224/$T224,0)</f>
        <v/>
      </c>
      <c r="AG224" s="122" t="n"/>
      <c r="AH224" s="122" t="n"/>
      <c r="AI224" s="122" t="n"/>
      <c r="AJ224" s="122" t="n"/>
      <c r="AK224" s="122" t="n"/>
      <c r="AL224" s="122" t="n"/>
      <c r="AM224" s="122" t="n"/>
      <c r="AN224" s="122">
        <f>SUM(Z224:AC224)</f>
        <v/>
      </c>
      <c r="AO224" s="122">
        <f>SUM(AD224:AL224)</f>
        <v/>
      </c>
      <c r="AP224" s="122">
        <f>SUM(AM224,AB224)</f>
        <v/>
      </c>
      <c r="AQ224" s="122">
        <f>SUM(AA224)</f>
        <v/>
      </c>
      <c r="AR224" s="121">
        <f>(AP224+AQ224)-3%</f>
        <v/>
      </c>
      <c r="AS224" s="122">
        <f>SUM(AO224+AM224)</f>
        <v/>
      </c>
      <c r="AT224" s="122">
        <f>SUM(AH224+AN224)</f>
        <v/>
      </c>
      <c r="AU224" s="122">
        <f>SUM(AN224+AO224)</f>
        <v/>
      </c>
      <c r="AV224" s="122">
        <f>SUM(AN224+AD224+AE224+AF224+AG224+AH224+AJ224+AK224+AL224)</f>
        <v/>
      </c>
      <c r="AW224" s="122">
        <f>SUM(AD224+AE224+AF224+AG224+AI224+AJ224+AK224+AL224)</f>
        <v/>
      </c>
    </row>
    <row r="225" ht="14.1" customHeight="1" s="259">
      <c r="A225" s="183">
        <f>A224+1</f>
        <v/>
      </c>
      <c r="B225" s="204" t="n"/>
      <c r="C225" s="205" t="n"/>
      <c r="D225" s="204" t="n"/>
      <c r="E225" s="206" t="n"/>
      <c r="F225" s="206" t="n"/>
      <c r="G225" s="206" t="n"/>
      <c r="H225" s="206" t="n"/>
      <c r="I225" s="206" t="n"/>
      <c r="J225" s="206" t="n"/>
      <c r="K225" s="206" t="n"/>
      <c r="L225" s="206" t="n"/>
      <c r="M225" s="206" t="n"/>
      <c r="N225" s="206" t="n"/>
      <c r="O225" s="206" t="n"/>
      <c r="P225" s="206" t="n"/>
      <c r="Q225" s="206" t="n"/>
      <c r="R225" s="206" t="n"/>
      <c r="S225" s="206" t="n"/>
      <c r="T225" s="204">
        <f>SUM(F225:S225)</f>
        <v/>
      </c>
      <c r="U225" s="207">
        <f>(HLOOKUP(B225,F:T,A225,FALSE)/T225)</f>
        <v/>
      </c>
      <c r="V225" s="159" t="n"/>
      <c r="W225" s="163">
        <f>YEAR(C225)</f>
        <v/>
      </c>
      <c r="X225" s="116">
        <f>MONTH(C225)</f>
        <v/>
      </c>
      <c r="Y225" s="116">
        <f>WEEKNUM(C225,21)</f>
        <v/>
      </c>
      <c r="Z225" s="122" t="n"/>
      <c r="AA225" s="122" t="n"/>
      <c r="AB225" s="122" t="n"/>
      <c r="AC225" s="122" t="n"/>
      <c r="AD225" s="122" t="n"/>
      <c r="AE225" s="122">
        <f>IFERROR(K225/$T225,0)</f>
        <v/>
      </c>
      <c r="AF225" s="122">
        <f>IFERROR(L225/$T225,0)</f>
        <v/>
      </c>
      <c r="AG225" s="122" t="n"/>
      <c r="AH225" s="122" t="n"/>
      <c r="AI225" s="122" t="n"/>
      <c r="AJ225" s="122" t="n"/>
      <c r="AK225" s="122" t="n"/>
      <c r="AL225" s="122" t="n"/>
      <c r="AM225" s="122" t="n"/>
      <c r="AN225" s="122">
        <f>SUM(Z225:AC225)</f>
        <v/>
      </c>
      <c r="AO225" s="122">
        <f>SUM(AD225:AL225)</f>
        <v/>
      </c>
      <c r="AP225" s="122">
        <f>SUM(AM225,AB225)</f>
        <v/>
      </c>
      <c r="AQ225" s="122">
        <f>SUM(AA225)</f>
        <v/>
      </c>
      <c r="AR225" s="121">
        <f>(AP225+AQ225)-3%</f>
        <v/>
      </c>
      <c r="AS225" s="122">
        <f>SUM(AO225+AM225)</f>
        <v/>
      </c>
      <c r="AT225" s="122">
        <f>SUM(AH225+AN225)</f>
        <v/>
      </c>
      <c r="AU225" s="122">
        <f>SUM(AN225+AO225)</f>
        <v/>
      </c>
      <c r="AV225" s="122">
        <f>SUM(AN225+AD225+AE225+AF225+AG225+AH225+AJ225+AK225+AL225)</f>
        <v/>
      </c>
      <c r="AW225" s="122">
        <f>SUM(AD225+AE225+AF225+AG225+AI225+AJ225+AK225+AL225)</f>
        <v/>
      </c>
    </row>
    <row r="226" ht="14.1" customHeight="1" s="259">
      <c r="A226" s="183">
        <f>A225+1</f>
        <v/>
      </c>
      <c r="B226" s="199" t="n"/>
      <c r="C226" s="200" t="n"/>
      <c r="D226" s="199" t="n"/>
      <c r="E226" s="201" t="n"/>
      <c r="F226" s="201" t="n"/>
      <c r="G226" s="201" t="n"/>
      <c r="H226" s="201" t="n"/>
      <c r="I226" s="201" t="n"/>
      <c r="J226" s="201" t="n"/>
      <c r="K226" s="201" t="n"/>
      <c r="L226" s="201" t="n"/>
      <c r="M226" s="201" t="n"/>
      <c r="N226" s="201" t="n"/>
      <c r="O226" s="201" t="n"/>
      <c r="P226" s="201" t="n"/>
      <c r="Q226" s="201" t="n"/>
      <c r="R226" s="201" t="n"/>
      <c r="S226" s="201" t="n"/>
      <c r="T226" s="199">
        <f>SUM(F226:S226)</f>
        <v/>
      </c>
      <c r="U226" s="202">
        <f>(HLOOKUP(B226,F:T,A226,FALSE)/T226)</f>
        <v/>
      </c>
      <c r="V226" s="159" t="n"/>
      <c r="W226" s="163">
        <f>YEAR(C226)</f>
        <v/>
      </c>
      <c r="X226" s="116">
        <f>MONTH(C226)</f>
        <v/>
      </c>
      <c r="Y226" s="116">
        <f>WEEKNUM(C226,21)</f>
        <v/>
      </c>
      <c r="Z226" s="122" t="n"/>
      <c r="AA226" s="122" t="n"/>
      <c r="AB226" s="122" t="n"/>
      <c r="AC226" s="122" t="n"/>
      <c r="AD226" s="122" t="n"/>
      <c r="AE226" s="122">
        <f>IFERROR(K226/$T226,0)</f>
        <v/>
      </c>
      <c r="AF226" s="122">
        <f>IFERROR(L226/$T226,0)</f>
        <v/>
      </c>
      <c r="AG226" s="122" t="n"/>
      <c r="AH226" s="122" t="n"/>
      <c r="AI226" s="122" t="n"/>
      <c r="AJ226" s="122" t="n"/>
      <c r="AK226" s="122" t="n"/>
      <c r="AL226" s="122" t="n"/>
      <c r="AM226" s="122" t="n"/>
      <c r="AN226" s="122">
        <f>SUM(Z226:AC226)</f>
        <v/>
      </c>
      <c r="AO226" s="122">
        <f>SUM(AD226:AL226)</f>
        <v/>
      </c>
      <c r="AP226" s="122">
        <f>SUM(AM226,AB226)</f>
        <v/>
      </c>
      <c r="AQ226" s="122">
        <f>SUM(AA226)</f>
        <v/>
      </c>
      <c r="AR226" s="121">
        <f>(AP226+AQ226)-3%</f>
        <v/>
      </c>
      <c r="AS226" s="122">
        <f>SUM(AO226+AM226)</f>
        <v/>
      </c>
      <c r="AT226" s="122">
        <f>SUM(AH226+AN226)</f>
        <v/>
      </c>
      <c r="AU226" s="122">
        <f>SUM(AN226+AO226)</f>
        <v/>
      </c>
      <c r="AV226" s="122">
        <f>SUM(AN226+AD226+AE226+AF226+AG226+AH226+AJ226+AK226+AL226)</f>
        <v/>
      </c>
      <c r="AW226" s="122">
        <f>SUM(AD226+AE226+AF226+AG226+AI226+AJ226+AK226+AL226)</f>
        <v/>
      </c>
    </row>
    <row r="227" ht="14.1" customHeight="1" s="259">
      <c r="A227" s="183">
        <f>A226+1</f>
        <v/>
      </c>
      <c r="B227" s="199" t="n"/>
      <c r="C227" s="200" t="n"/>
      <c r="D227" s="199" t="n"/>
      <c r="E227" s="201" t="n"/>
      <c r="F227" s="201" t="n"/>
      <c r="G227" s="201" t="n"/>
      <c r="H227" s="201" t="n"/>
      <c r="I227" s="201" t="n"/>
      <c r="J227" s="201" t="n"/>
      <c r="K227" s="201" t="n"/>
      <c r="L227" s="201" t="n"/>
      <c r="M227" s="201" t="n"/>
      <c r="N227" s="201" t="n"/>
      <c r="O227" s="201" t="n"/>
      <c r="P227" s="201" t="n"/>
      <c r="Q227" s="201" t="n"/>
      <c r="R227" s="201" t="n"/>
      <c r="S227" s="201" t="n"/>
      <c r="T227" s="199">
        <f>SUM(F227:S227)</f>
        <v/>
      </c>
      <c r="U227" s="202">
        <f>(HLOOKUP(B227,F:T,A227,FALSE)/T227)</f>
        <v/>
      </c>
      <c r="V227" s="159" t="n"/>
      <c r="W227" s="163">
        <f>YEAR(C227)</f>
        <v/>
      </c>
      <c r="X227" s="116">
        <f>MONTH(C227)</f>
        <v/>
      </c>
      <c r="Y227" s="116">
        <f>WEEKNUM(C227,21)</f>
        <v/>
      </c>
      <c r="Z227" s="122" t="n"/>
      <c r="AA227" s="122" t="n"/>
      <c r="AB227" s="122" t="n"/>
      <c r="AC227" s="122" t="n"/>
      <c r="AD227" s="122" t="n"/>
      <c r="AE227" s="122">
        <f>IFERROR(K227/$T227,0)</f>
        <v/>
      </c>
      <c r="AF227" s="122">
        <f>IFERROR(L227/$T227,0)</f>
        <v/>
      </c>
      <c r="AG227" s="122" t="n"/>
      <c r="AH227" s="122" t="n"/>
      <c r="AI227" s="122" t="n"/>
      <c r="AJ227" s="122" t="n"/>
      <c r="AK227" s="122" t="n"/>
      <c r="AL227" s="122" t="n"/>
      <c r="AM227" s="122" t="n"/>
      <c r="AN227" s="122">
        <f>SUM(Z227:AC227)</f>
        <v/>
      </c>
      <c r="AO227" s="122">
        <f>SUM(AD227:AL227)</f>
        <v/>
      </c>
      <c r="AP227" s="122">
        <f>SUM(AM227,AB227)</f>
        <v/>
      </c>
      <c r="AQ227" s="122">
        <f>SUM(AA227)</f>
        <v/>
      </c>
      <c r="AR227" s="121">
        <f>(AP227+AQ227)-3%</f>
        <v/>
      </c>
      <c r="AS227" s="122">
        <f>SUM(AO227+AM227)</f>
        <v/>
      </c>
      <c r="AT227" s="122">
        <f>SUM(AH227+AN227)</f>
        <v/>
      </c>
      <c r="AU227" s="122">
        <f>SUM(AN227+AO227)</f>
        <v/>
      </c>
      <c r="AV227" s="122">
        <f>SUM(AN227+AD227+AE227+AF227+AG227+AH227+AJ227+AK227+AL227)</f>
        <v/>
      </c>
      <c r="AW227" s="122">
        <f>SUM(AD227+AE227+AF227+AG227+AI227+AJ227+AK227+AL227)</f>
        <v/>
      </c>
    </row>
    <row r="228" ht="14.1" customHeight="1" s="259">
      <c r="A228" s="183">
        <f>A227+1</f>
        <v/>
      </c>
      <c r="B228" s="204" t="n"/>
      <c r="C228" s="205" t="n"/>
      <c r="D228" s="204" t="n"/>
      <c r="E228" s="206" t="n"/>
      <c r="F228" s="206" t="n"/>
      <c r="G228" s="206" t="n"/>
      <c r="H228" s="206" t="n"/>
      <c r="I228" s="206" t="n"/>
      <c r="J228" s="206" t="n"/>
      <c r="K228" s="206" t="n"/>
      <c r="L228" s="206" t="n"/>
      <c r="M228" s="206" t="n"/>
      <c r="N228" s="206" t="n"/>
      <c r="O228" s="206" t="n"/>
      <c r="P228" s="206" t="n"/>
      <c r="Q228" s="206" t="n"/>
      <c r="R228" s="206" t="n"/>
      <c r="S228" s="206" t="n"/>
      <c r="T228" s="204">
        <f>SUM(F228:S228)</f>
        <v/>
      </c>
      <c r="U228" s="207">
        <f>(HLOOKUP(B228,F:T,A228,FALSE)/T228)</f>
        <v/>
      </c>
      <c r="V228" s="159" t="n"/>
      <c r="W228" s="163">
        <f>YEAR(C228)</f>
        <v/>
      </c>
      <c r="X228" s="116">
        <f>MONTH(C228)</f>
        <v/>
      </c>
      <c r="Y228" s="116">
        <f>WEEKNUM(C228,21)</f>
        <v/>
      </c>
      <c r="Z228" s="122" t="n"/>
      <c r="AA228" s="122" t="n"/>
      <c r="AB228" s="122" t="n"/>
      <c r="AC228" s="122" t="n"/>
      <c r="AD228" s="122" t="n"/>
      <c r="AE228" s="122">
        <f>IFERROR(K228/$T228,0)</f>
        <v/>
      </c>
      <c r="AF228" s="122">
        <f>IFERROR(L228/$T228,0)</f>
        <v/>
      </c>
      <c r="AG228" s="122" t="n"/>
      <c r="AH228" s="122" t="n"/>
      <c r="AI228" s="122" t="n"/>
      <c r="AJ228" s="122" t="n"/>
      <c r="AK228" s="122" t="n"/>
      <c r="AL228" s="122" t="n"/>
      <c r="AM228" s="122" t="n"/>
      <c r="AN228" s="122">
        <f>SUM(Z228:AC228)</f>
        <v/>
      </c>
      <c r="AO228" s="122">
        <f>SUM(AD228:AL228)</f>
        <v/>
      </c>
      <c r="AP228" s="122">
        <f>SUM(AM228,AB228)</f>
        <v/>
      </c>
      <c r="AQ228" s="122">
        <f>SUM(AA228)</f>
        <v/>
      </c>
      <c r="AR228" s="121">
        <f>(AP228+AQ228)-3%</f>
        <v/>
      </c>
      <c r="AS228" s="122">
        <f>SUM(AO228+AM228)</f>
        <v/>
      </c>
      <c r="AT228" s="122">
        <f>SUM(AH228+AN228)</f>
        <v/>
      </c>
      <c r="AU228" s="122">
        <f>SUM(AN228+AO228)</f>
        <v/>
      </c>
      <c r="AV228" s="122">
        <f>SUM(AN228+AD228+AE228+AF228+AG228+AH228+AJ228+AK228+AL228)</f>
        <v/>
      </c>
      <c r="AW228" s="122">
        <f>SUM(AD228+AE228+AF228+AG228+AI228+AJ228+AK228+AL228)</f>
        <v/>
      </c>
    </row>
    <row r="229" ht="14.1" customHeight="1" s="259">
      <c r="A229" s="183">
        <f>A228+1</f>
        <v/>
      </c>
      <c r="B229" s="204" t="n"/>
      <c r="C229" s="205" t="n"/>
      <c r="D229" s="204" t="n"/>
      <c r="E229" s="206" t="n"/>
      <c r="F229" s="206" t="n"/>
      <c r="G229" s="206" t="n"/>
      <c r="H229" s="206" t="n"/>
      <c r="I229" s="206" t="n"/>
      <c r="J229" s="206" t="n"/>
      <c r="K229" s="206" t="n"/>
      <c r="L229" s="206" t="n"/>
      <c r="M229" s="206" t="n"/>
      <c r="N229" s="206" t="n"/>
      <c r="O229" s="206" t="n"/>
      <c r="P229" s="206" t="n"/>
      <c r="Q229" s="206" t="n"/>
      <c r="R229" s="206" t="n"/>
      <c r="S229" s="206" t="n"/>
      <c r="T229" s="204">
        <f>SUM(F229:S229)</f>
        <v/>
      </c>
      <c r="U229" s="207">
        <f>(HLOOKUP(B229,F:T,A229,FALSE)/T229)</f>
        <v/>
      </c>
      <c r="V229" s="159" t="n"/>
      <c r="W229" s="163">
        <f>YEAR(C229)</f>
        <v/>
      </c>
      <c r="X229" s="116">
        <f>MONTH(C229)</f>
        <v/>
      </c>
      <c r="Y229" s="116">
        <f>WEEKNUM(C229,21)</f>
        <v/>
      </c>
      <c r="Z229" s="122" t="n"/>
      <c r="AA229" s="122" t="n"/>
      <c r="AB229" s="122" t="n"/>
      <c r="AC229" s="122" t="n"/>
      <c r="AD229" s="122" t="n"/>
      <c r="AE229" s="122">
        <f>IFERROR(K229/$T229,0)</f>
        <v/>
      </c>
      <c r="AF229" s="122">
        <f>IFERROR(L229/$T229,0)</f>
        <v/>
      </c>
      <c r="AG229" s="122" t="n"/>
      <c r="AH229" s="122" t="n"/>
      <c r="AI229" s="122" t="n"/>
      <c r="AJ229" s="122" t="n"/>
      <c r="AK229" s="122" t="n"/>
      <c r="AL229" s="122" t="n"/>
      <c r="AM229" s="122" t="n"/>
      <c r="AN229" s="122">
        <f>SUM(Z229:AC229)</f>
        <v/>
      </c>
      <c r="AO229" s="122">
        <f>SUM(AD229:AL229)</f>
        <v/>
      </c>
      <c r="AP229" s="122">
        <f>SUM(AM229,AB229)</f>
        <v/>
      </c>
      <c r="AQ229" s="122">
        <f>SUM(AA229)</f>
        <v/>
      </c>
      <c r="AR229" s="121">
        <f>(AP229+AQ229)-3%</f>
        <v/>
      </c>
      <c r="AS229" s="122">
        <f>SUM(AO229+AM229)</f>
        <v/>
      </c>
      <c r="AT229" s="122">
        <f>SUM(AH229+AN229)</f>
        <v/>
      </c>
      <c r="AU229" s="122">
        <f>SUM(AN229+AO229)</f>
        <v/>
      </c>
      <c r="AV229" s="122">
        <f>SUM(AN229+AD229+AE229+AF229+AG229+AH229+AJ229+AK229+AL229)</f>
        <v/>
      </c>
      <c r="AW229" s="122">
        <f>SUM(AD229+AE229+AF229+AG229+AI229+AJ229+AK229+AL229)</f>
        <v/>
      </c>
    </row>
    <row r="230" ht="14.1" customHeight="1" s="259">
      <c r="A230" s="183">
        <f>A229+1</f>
        <v/>
      </c>
      <c r="B230" s="204" t="n"/>
      <c r="C230" s="205" t="n"/>
      <c r="D230" s="204" t="n"/>
      <c r="E230" s="206" t="n"/>
      <c r="F230" s="206" t="n"/>
      <c r="G230" s="206" t="n"/>
      <c r="H230" s="206" t="n"/>
      <c r="I230" s="206" t="n"/>
      <c r="J230" s="206" t="n"/>
      <c r="K230" s="206" t="n"/>
      <c r="L230" s="206" t="n"/>
      <c r="M230" s="206" t="n"/>
      <c r="N230" s="206" t="n"/>
      <c r="O230" s="206" t="n"/>
      <c r="P230" s="206" t="n"/>
      <c r="Q230" s="206" t="n"/>
      <c r="R230" s="206" t="n"/>
      <c r="S230" s="206" t="n"/>
      <c r="T230" s="204">
        <f>SUM(F230:S230)</f>
        <v/>
      </c>
      <c r="U230" s="207">
        <f>(HLOOKUP(B230,F:T,A230,FALSE)/T230)</f>
        <v/>
      </c>
      <c r="V230" s="159" t="n"/>
      <c r="W230" s="163">
        <f>YEAR(C230)</f>
        <v/>
      </c>
      <c r="X230" s="116">
        <f>MONTH(C230)</f>
        <v/>
      </c>
      <c r="Y230" s="116">
        <f>WEEKNUM(C230,21)</f>
        <v/>
      </c>
      <c r="Z230" s="122" t="n"/>
      <c r="AA230" s="122" t="n"/>
      <c r="AB230" s="122" t="n"/>
      <c r="AC230" s="122" t="n"/>
      <c r="AD230" s="122" t="n"/>
      <c r="AE230" s="122">
        <f>IFERROR(K230/$T230,0)</f>
        <v/>
      </c>
      <c r="AF230" s="122">
        <f>IFERROR(L230/$T230,0)</f>
        <v/>
      </c>
      <c r="AG230" s="122" t="n"/>
      <c r="AH230" s="122" t="n"/>
      <c r="AI230" s="122" t="n"/>
      <c r="AJ230" s="122" t="n"/>
      <c r="AK230" s="122" t="n"/>
      <c r="AL230" s="122" t="n"/>
      <c r="AM230" s="122" t="n"/>
      <c r="AN230" s="122">
        <f>SUM(Z230:AC230)</f>
        <v/>
      </c>
      <c r="AO230" s="122">
        <f>SUM(AD230:AL230)</f>
        <v/>
      </c>
      <c r="AP230" s="122">
        <f>SUM(AM230,AB230)</f>
        <v/>
      </c>
      <c r="AQ230" s="122">
        <f>SUM(AA230)</f>
        <v/>
      </c>
      <c r="AR230" s="121">
        <f>(AP230+AQ230)-3%</f>
        <v/>
      </c>
      <c r="AS230" s="122">
        <f>SUM(AO230+AM230)</f>
        <v/>
      </c>
      <c r="AT230" s="122">
        <f>SUM(AH230+AN230)</f>
        <v/>
      </c>
      <c r="AU230" s="122">
        <f>SUM(AN230+AO230)</f>
        <v/>
      </c>
      <c r="AV230" s="122">
        <f>SUM(AN230+AD230+AE230+AF230+AG230+AH230+AJ230+AK230+AL230)</f>
        <v/>
      </c>
      <c r="AW230" s="122">
        <f>SUM(AD230+AE230+AF230+AG230+AI230+AJ230+AK230+AL230)</f>
        <v/>
      </c>
    </row>
    <row r="231" ht="14.1" customHeight="1" s="259">
      <c r="A231" s="183">
        <f>A230+1</f>
        <v/>
      </c>
      <c r="B231" s="204" t="n"/>
      <c r="C231" s="205" t="n"/>
      <c r="D231" s="204" t="n"/>
      <c r="E231" s="206" t="n"/>
      <c r="F231" s="206" t="n"/>
      <c r="G231" s="206" t="n"/>
      <c r="H231" s="206" t="n"/>
      <c r="I231" s="206" t="n"/>
      <c r="J231" s="206" t="n"/>
      <c r="K231" s="206" t="n"/>
      <c r="L231" s="206" t="n"/>
      <c r="M231" s="206" t="n"/>
      <c r="N231" s="206" t="n"/>
      <c r="O231" s="206" t="n"/>
      <c r="P231" s="206" t="n"/>
      <c r="Q231" s="206" t="n"/>
      <c r="R231" s="206" t="n"/>
      <c r="S231" s="206" t="n"/>
      <c r="T231" s="204">
        <f>SUM(F231:S231)</f>
        <v/>
      </c>
      <c r="U231" s="207">
        <f>(HLOOKUP(B231,F:T,A231,FALSE)/T231)</f>
        <v/>
      </c>
      <c r="V231" s="159" t="n"/>
      <c r="W231" s="163">
        <f>YEAR(C231)</f>
        <v/>
      </c>
      <c r="X231" s="116">
        <f>MONTH(C231)</f>
        <v/>
      </c>
      <c r="Y231" s="116">
        <f>WEEKNUM(C231,21)</f>
        <v/>
      </c>
      <c r="Z231" s="122" t="n"/>
      <c r="AA231" s="122" t="n"/>
      <c r="AB231" s="122" t="n"/>
      <c r="AC231" s="122" t="n"/>
      <c r="AD231" s="122" t="n"/>
      <c r="AE231" s="122">
        <f>IFERROR(K231/$T231,0)</f>
        <v/>
      </c>
      <c r="AF231" s="122">
        <f>IFERROR(L231/$T231,0)</f>
        <v/>
      </c>
      <c r="AG231" s="122" t="n"/>
      <c r="AH231" s="122" t="n"/>
      <c r="AI231" s="122" t="n"/>
      <c r="AJ231" s="122" t="n"/>
      <c r="AK231" s="122" t="n"/>
      <c r="AL231" s="122" t="n"/>
      <c r="AM231" s="122" t="n"/>
      <c r="AN231" s="122">
        <f>SUM(Z231:AC231)</f>
        <v/>
      </c>
      <c r="AO231" s="122">
        <f>SUM(AD231:AL231)</f>
        <v/>
      </c>
      <c r="AP231" s="122">
        <f>SUM(AM231,AB231)</f>
        <v/>
      </c>
      <c r="AQ231" s="122">
        <f>SUM(AA231)</f>
        <v/>
      </c>
      <c r="AR231" s="121">
        <f>(AP231+AQ231)-3%</f>
        <v/>
      </c>
      <c r="AS231" s="122">
        <f>SUM(AO231+AM231)</f>
        <v/>
      </c>
      <c r="AT231" s="122">
        <f>SUM(AH231+AN231)</f>
        <v/>
      </c>
      <c r="AU231" s="122">
        <f>SUM(AN231+AO231)</f>
        <v/>
      </c>
      <c r="AV231" s="122">
        <f>SUM(AN231+AD231+AE231+AF231+AG231+AH231+AJ231+AK231+AL231)</f>
        <v/>
      </c>
      <c r="AW231" s="122">
        <f>SUM(AD231+AE231+AF231+AG231+AI231+AJ231+AK231+AL231)</f>
        <v/>
      </c>
    </row>
    <row r="232" ht="14.1" customHeight="1" s="259">
      <c r="A232" s="183">
        <f>A231+1</f>
        <v/>
      </c>
      <c r="B232" s="204" t="n"/>
      <c r="C232" s="205" t="n"/>
      <c r="D232" s="204" t="n"/>
      <c r="E232" s="206" t="n"/>
      <c r="F232" s="206" t="n"/>
      <c r="G232" s="206" t="n"/>
      <c r="H232" s="206" t="n"/>
      <c r="I232" s="206" t="n"/>
      <c r="J232" s="206" t="n"/>
      <c r="K232" s="206" t="n"/>
      <c r="L232" s="206" t="n"/>
      <c r="M232" s="206" t="n"/>
      <c r="N232" s="206" t="n"/>
      <c r="O232" s="206" t="n"/>
      <c r="P232" s="206" t="n"/>
      <c r="Q232" s="206" t="n"/>
      <c r="R232" s="206" t="n"/>
      <c r="S232" s="206" t="n"/>
      <c r="T232" s="204">
        <f>SUM(F232:S232)</f>
        <v/>
      </c>
      <c r="U232" s="207">
        <f>(HLOOKUP(B232,F:T,A232,FALSE)/T232)</f>
        <v/>
      </c>
      <c r="V232" s="159" t="n"/>
      <c r="W232" s="163">
        <f>YEAR(C232)</f>
        <v/>
      </c>
      <c r="X232" s="116">
        <f>MONTH(C232)</f>
        <v/>
      </c>
      <c r="Y232" s="116">
        <f>WEEKNUM(C232,21)</f>
        <v/>
      </c>
      <c r="Z232" s="122" t="n"/>
      <c r="AA232" s="122" t="n"/>
      <c r="AB232" s="122" t="n"/>
      <c r="AC232" s="122" t="n"/>
      <c r="AD232" s="122" t="n"/>
      <c r="AE232" s="122">
        <f>IFERROR(K232/$T232,0)</f>
        <v/>
      </c>
      <c r="AF232" s="122">
        <f>IFERROR(L232/$T232,0)</f>
        <v/>
      </c>
      <c r="AG232" s="122" t="n"/>
      <c r="AH232" s="122" t="n"/>
      <c r="AI232" s="122" t="n"/>
      <c r="AJ232" s="122" t="n"/>
      <c r="AK232" s="122" t="n"/>
      <c r="AL232" s="122" t="n"/>
      <c r="AM232" s="122" t="n"/>
      <c r="AN232" s="122">
        <f>SUM(Z232:AC232)</f>
        <v/>
      </c>
      <c r="AO232" s="122">
        <f>SUM(AD232:AL232)</f>
        <v/>
      </c>
      <c r="AP232" s="122">
        <f>SUM(AM232,AB232)</f>
        <v/>
      </c>
      <c r="AQ232" s="122">
        <f>SUM(AA232)</f>
        <v/>
      </c>
      <c r="AR232" s="121">
        <f>(AP232+AQ232)-3%</f>
        <v/>
      </c>
      <c r="AS232" s="122">
        <f>SUM(AO232+AM232)</f>
        <v/>
      </c>
      <c r="AT232" s="122">
        <f>SUM(AH232+AN232)</f>
        <v/>
      </c>
      <c r="AU232" s="122">
        <f>SUM(AN232+AO232)</f>
        <v/>
      </c>
      <c r="AV232" s="122">
        <f>SUM(AN232+AD232+AE232+AF232+AG232+AH232+AJ232+AK232+AL232)</f>
        <v/>
      </c>
      <c r="AW232" s="122">
        <f>SUM(AD232+AE232+AF232+AG232+AI232+AJ232+AK232+AL232)</f>
        <v/>
      </c>
    </row>
    <row r="233" ht="14.1" customHeight="1" s="259">
      <c r="A233" s="183">
        <f>A232+1</f>
        <v/>
      </c>
      <c r="B233" s="204" t="n"/>
      <c r="C233" s="205" t="n"/>
      <c r="D233" s="204" t="n"/>
      <c r="E233" s="206" t="n"/>
      <c r="F233" s="206" t="n"/>
      <c r="G233" s="206" t="n"/>
      <c r="H233" s="206" t="n"/>
      <c r="I233" s="206" t="n"/>
      <c r="J233" s="206" t="n"/>
      <c r="K233" s="206" t="n"/>
      <c r="L233" s="206" t="n"/>
      <c r="M233" s="206" t="n"/>
      <c r="N233" s="206" t="n"/>
      <c r="O233" s="206" t="n"/>
      <c r="P233" s="206" t="n"/>
      <c r="Q233" s="206" t="n"/>
      <c r="R233" s="206" t="n"/>
      <c r="S233" s="206" t="n"/>
      <c r="T233" s="204">
        <f>SUM(F233:S233)</f>
        <v/>
      </c>
      <c r="U233" s="207">
        <f>(HLOOKUP(B233,F:T,A233,FALSE)/T233)</f>
        <v/>
      </c>
      <c r="V233" s="159" t="n"/>
      <c r="W233" s="163">
        <f>YEAR(C233)</f>
        <v/>
      </c>
      <c r="X233" s="116">
        <f>MONTH(C233)</f>
        <v/>
      </c>
      <c r="Y233" s="116">
        <f>WEEKNUM(C233,21)</f>
        <v/>
      </c>
      <c r="Z233" s="122" t="n"/>
      <c r="AA233" s="122" t="n"/>
      <c r="AB233" s="122" t="n"/>
      <c r="AC233" s="122" t="n"/>
      <c r="AD233" s="122" t="n"/>
      <c r="AE233" s="122">
        <f>IFERROR(K233/$T233,0)</f>
        <v/>
      </c>
      <c r="AF233" s="122">
        <f>IFERROR(L233/$T233,0)</f>
        <v/>
      </c>
      <c r="AG233" s="122" t="n"/>
      <c r="AH233" s="122" t="n"/>
      <c r="AI233" s="122" t="n"/>
      <c r="AJ233" s="122" t="n"/>
      <c r="AK233" s="122" t="n"/>
      <c r="AL233" s="122" t="n"/>
      <c r="AM233" s="122" t="n"/>
      <c r="AN233" s="122">
        <f>SUM(Z233:AC233)</f>
        <v/>
      </c>
      <c r="AO233" s="122">
        <f>SUM(AD233:AL233)</f>
        <v/>
      </c>
      <c r="AP233" s="122">
        <f>SUM(AM233,AB233)</f>
        <v/>
      </c>
      <c r="AQ233" s="122">
        <f>SUM(AA233)</f>
        <v/>
      </c>
      <c r="AR233" s="121">
        <f>(AP233+AQ233)-3%</f>
        <v/>
      </c>
      <c r="AS233" s="122">
        <f>SUM(AO233+AM233)</f>
        <v/>
      </c>
      <c r="AT233" s="122">
        <f>SUM(AH233+AN233)</f>
        <v/>
      </c>
      <c r="AU233" s="122">
        <f>SUM(AN233+AO233)</f>
        <v/>
      </c>
      <c r="AV233" s="122">
        <f>SUM(AN233+AD233+AE233+AF233+AG233+AH233+AJ233+AK233+AL233)</f>
        <v/>
      </c>
      <c r="AW233" s="122">
        <f>SUM(AD233+AE233+AF233+AG233+AI233+AJ233+AK233+AL233)</f>
        <v/>
      </c>
    </row>
    <row r="234" ht="14.1" customHeight="1" s="259">
      <c r="A234" s="183">
        <f>A233+1</f>
        <v/>
      </c>
      <c r="B234" s="204" t="n"/>
      <c r="C234" s="205" t="n"/>
      <c r="D234" s="204" t="n"/>
      <c r="E234" s="206" t="n"/>
      <c r="F234" s="206" t="n"/>
      <c r="G234" s="206" t="n"/>
      <c r="H234" s="206" t="n"/>
      <c r="I234" s="206" t="n"/>
      <c r="J234" s="206" t="n"/>
      <c r="K234" s="206" t="n"/>
      <c r="L234" s="206" t="n"/>
      <c r="M234" s="206" t="n"/>
      <c r="N234" s="206" t="n"/>
      <c r="O234" s="206" t="n"/>
      <c r="P234" s="206" t="n"/>
      <c r="Q234" s="206" t="n"/>
      <c r="R234" s="206" t="n"/>
      <c r="S234" s="206" t="n"/>
      <c r="T234" s="204">
        <f>SUM(F234:S234)</f>
        <v/>
      </c>
      <c r="U234" s="207">
        <f>(HLOOKUP(B234,F:T,A234,FALSE)/T234)</f>
        <v/>
      </c>
      <c r="V234" s="159" t="n"/>
      <c r="W234" s="163">
        <f>YEAR(C234)</f>
        <v/>
      </c>
      <c r="X234" s="116">
        <f>MONTH(C234)</f>
        <v/>
      </c>
      <c r="Y234" s="116">
        <f>WEEKNUM(C234,21)</f>
        <v/>
      </c>
      <c r="Z234" s="122" t="n"/>
      <c r="AA234" s="122" t="n"/>
      <c r="AB234" s="122" t="n"/>
      <c r="AC234" s="122" t="n"/>
      <c r="AD234" s="122" t="n"/>
      <c r="AE234" s="122">
        <f>IFERROR(K234/$T234,0)</f>
        <v/>
      </c>
      <c r="AF234" s="122">
        <f>IFERROR(L234/$T234,0)</f>
        <v/>
      </c>
      <c r="AG234" s="122" t="n"/>
      <c r="AH234" s="122" t="n"/>
      <c r="AI234" s="122" t="n"/>
      <c r="AJ234" s="122" t="n"/>
      <c r="AK234" s="122" t="n"/>
      <c r="AL234" s="122" t="n"/>
      <c r="AM234" s="122" t="n"/>
      <c r="AN234" s="122">
        <f>SUM(Z234:AC234)</f>
        <v/>
      </c>
      <c r="AO234" s="122">
        <f>SUM(AD234:AL234)</f>
        <v/>
      </c>
      <c r="AP234" s="122">
        <f>SUM(AM234,AB234)</f>
        <v/>
      </c>
      <c r="AQ234" s="122">
        <f>SUM(AA234)</f>
        <v/>
      </c>
      <c r="AR234" s="121">
        <f>(AP234+AQ234)-3%</f>
        <v/>
      </c>
      <c r="AS234" s="122">
        <f>SUM(AO234+AM234)</f>
        <v/>
      </c>
      <c r="AT234" s="122">
        <f>SUM(AH234+AN234)</f>
        <v/>
      </c>
      <c r="AU234" s="122">
        <f>SUM(AN234+AO234)</f>
        <v/>
      </c>
      <c r="AV234" s="122">
        <f>SUM(AN234+AD234+AE234+AF234+AG234+AH234+AJ234+AK234+AL234)</f>
        <v/>
      </c>
      <c r="AW234" s="122">
        <f>SUM(AD234+AE234+AF234+AG234+AI234+AJ234+AK234+AL234)</f>
        <v/>
      </c>
    </row>
    <row r="235" ht="14.1" customHeight="1" s="259">
      <c r="A235" s="183">
        <f>A234+1</f>
        <v/>
      </c>
      <c r="B235" s="204" t="n"/>
      <c r="C235" s="205" t="n"/>
      <c r="D235" s="204" t="n"/>
      <c r="E235" s="206" t="n"/>
      <c r="F235" s="206" t="n"/>
      <c r="G235" s="206" t="n"/>
      <c r="H235" s="206" t="n"/>
      <c r="I235" s="206" t="n"/>
      <c r="J235" s="206" t="n"/>
      <c r="K235" s="206" t="n"/>
      <c r="L235" s="206" t="n"/>
      <c r="M235" s="206" t="n"/>
      <c r="N235" s="206" t="n"/>
      <c r="O235" s="206" t="n"/>
      <c r="P235" s="206" t="n"/>
      <c r="Q235" s="206" t="n"/>
      <c r="R235" s="206" t="n"/>
      <c r="S235" s="206" t="n"/>
      <c r="T235" s="204">
        <f>SUM(F235:S235)</f>
        <v/>
      </c>
      <c r="U235" s="207">
        <f>(HLOOKUP(B235,F:T,A235,FALSE)/T235)</f>
        <v/>
      </c>
      <c r="V235" s="159" t="n"/>
      <c r="W235" s="163">
        <f>YEAR(C235)</f>
        <v/>
      </c>
      <c r="X235" s="116">
        <f>MONTH(C235)</f>
        <v/>
      </c>
      <c r="Y235" s="116">
        <f>WEEKNUM(C235,21)</f>
        <v/>
      </c>
      <c r="Z235" s="122" t="n"/>
      <c r="AA235" s="122" t="n"/>
      <c r="AB235" s="122" t="n"/>
      <c r="AC235" s="122" t="n"/>
      <c r="AD235" s="122" t="n"/>
      <c r="AE235" s="122">
        <f>IFERROR(K235/$T235,0)</f>
        <v/>
      </c>
      <c r="AF235" s="122">
        <f>IFERROR(L235/$T235,0)</f>
        <v/>
      </c>
      <c r="AG235" s="122" t="n"/>
      <c r="AH235" s="122" t="n"/>
      <c r="AI235" s="122" t="n"/>
      <c r="AJ235" s="122" t="n"/>
      <c r="AK235" s="122" t="n"/>
      <c r="AL235" s="122" t="n"/>
      <c r="AM235" s="122" t="n"/>
      <c r="AN235" s="122">
        <f>SUM(Z235:AC235)</f>
        <v/>
      </c>
      <c r="AO235" s="122">
        <f>SUM(AD235:AL235)</f>
        <v/>
      </c>
      <c r="AP235" s="122">
        <f>SUM(AM235,AB235)</f>
        <v/>
      </c>
      <c r="AQ235" s="122">
        <f>SUM(AA235)</f>
        <v/>
      </c>
      <c r="AR235" s="121">
        <f>(AP235+AQ235)-3%</f>
        <v/>
      </c>
      <c r="AS235" s="122">
        <f>SUM(AO235+AM235)</f>
        <v/>
      </c>
      <c r="AT235" s="122">
        <f>SUM(AH235+AN235)</f>
        <v/>
      </c>
      <c r="AU235" s="122">
        <f>SUM(AN235+AO235)</f>
        <v/>
      </c>
      <c r="AV235" s="122">
        <f>SUM(AN235+AD235+AE235+AF235+AG235+AH235+AJ235+AK235+AL235)</f>
        <v/>
      </c>
      <c r="AW235" s="122">
        <f>SUM(AD235+AE235+AF235+AG235+AI235+AJ235+AK235+AL235)</f>
        <v/>
      </c>
    </row>
    <row r="236" ht="14.1" customHeight="1" s="259">
      <c r="A236" s="183">
        <f>A235+1</f>
        <v/>
      </c>
      <c r="B236" s="204" t="n"/>
      <c r="C236" s="205" t="n"/>
      <c r="D236" s="204" t="n"/>
      <c r="E236" s="206" t="n"/>
      <c r="F236" s="206" t="n"/>
      <c r="G236" s="206" t="n"/>
      <c r="H236" s="206" t="n"/>
      <c r="I236" s="206" t="n"/>
      <c r="J236" s="206" t="n"/>
      <c r="K236" s="206" t="n"/>
      <c r="L236" s="206" t="n"/>
      <c r="M236" s="206" t="n"/>
      <c r="N236" s="206" t="n"/>
      <c r="O236" s="206" t="n"/>
      <c r="P236" s="206" t="n"/>
      <c r="Q236" s="206" t="n"/>
      <c r="R236" s="206" t="n"/>
      <c r="S236" s="206" t="n"/>
      <c r="T236" s="204">
        <f>SUM(F236:S236)</f>
        <v/>
      </c>
      <c r="U236" s="207">
        <f>(HLOOKUP(B236,F:T,A236,FALSE)/T236)</f>
        <v/>
      </c>
      <c r="V236" s="159" t="n"/>
      <c r="W236" s="163">
        <f>YEAR(C236)</f>
        <v/>
      </c>
      <c r="X236" s="116">
        <f>MONTH(C236)</f>
        <v/>
      </c>
      <c r="Y236" s="116">
        <f>WEEKNUM(C236,21)</f>
        <v/>
      </c>
      <c r="Z236" s="122" t="n"/>
      <c r="AA236" s="122" t="n"/>
      <c r="AB236" s="122" t="n"/>
      <c r="AC236" s="122" t="n"/>
      <c r="AD236" s="122" t="n"/>
      <c r="AE236" s="122">
        <f>IFERROR(K236/$T236,0)</f>
        <v/>
      </c>
      <c r="AF236" s="122">
        <f>IFERROR(L236/$T236,0)</f>
        <v/>
      </c>
      <c r="AG236" s="122" t="n"/>
      <c r="AH236" s="122" t="n"/>
      <c r="AI236" s="122" t="n"/>
      <c r="AJ236" s="122" t="n"/>
      <c r="AK236" s="122" t="n"/>
      <c r="AL236" s="122" t="n"/>
      <c r="AM236" s="122" t="n"/>
      <c r="AN236" s="122">
        <f>SUM(Z236:AC236)</f>
        <v/>
      </c>
      <c r="AO236" s="122">
        <f>SUM(AD236:AL236)</f>
        <v/>
      </c>
      <c r="AP236" s="122">
        <f>SUM(AM236,AB236)</f>
        <v/>
      </c>
      <c r="AQ236" s="122">
        <f>SUM(AA236)</f>
        <v/>
      </c>
      <c r="AR236" s="121">
        <f>(AP236+AQ236)-3%</f>
        <v/>
      </c>
      <c r="AS236" s="122">
        <f>SUM(AO236+AM236)</f>
        <v/>
      </c>
      <c r="AT236" s="122">
        <f>SUM(AH236+AN236)</f>
        <v/>
      </c>
      <c r="AU236" s="122">
        <f>SUM(AN236+AO236)</f>
        <v/>
      </c>
      <c r="AV236" s="122">
        <f>SUM(AN236+AD236+AE236+AF236+AG236+AH236+AJ236+AK236+AL236)</f>
        <v/>
      </c>
      <c r="AW236" s="122">
        <f>SUM(AD236+AE236+AF236+AG236+AI236+AJ236+AK236+AL236)</f>
        <v/>
      </c>
    </row>
    <row r="237" ht="14.1" customHeight="1" s="259">
      <c r="A237" s="183">
        <f>A236+1</f>
        <v/>
      </c>
      <c r="B237" s="199" t="n"/>
      <c r="C237" s="200" t="n"/>
      <c r="D237" s="199" t="n"/>
      <c r="E237" s="201" t="n"/>
      <c r="F237" s="201" t="n"/>
      <c r="G237" s="201" t="n"/>
      <c r="H237" s="201" t="n"/>
      <c r="I237" s="201" t="n"/>
      <c r="J237" s="201" t="n"/>
      <c r="K237" s="201" t="n"/>
      <c r="L237" s="201" t="n"/>
      <c r="M237" s="201" t="n"/>
      <c r="N237" s="201" t="n"/>
      <c r="O237" s="201" t="n"/>
      <c r="P237" s="201" t="n"/>
      <c r="Q237" s="201" t="n"/>
      <c r="R237" s="201" t="n"/>
      <c r="S237" s="201" t="n"/>
      <c r="T237" s="199">
        <f>SUM(F237:S237)</f>
        <v/>
      </c>
      <c r="U237" s="202">
        <f>(HLOOKUP(B237,F:T,A237,FALSE)/T237)</f>
        <v/>
      </c>
      <c r="V237" s="159" t="n"/>
      <c r="W237" s="163">
        <f>YEAR(C237)</f>
        <v/>
      </c>
      <c r="X237" s="116">
        <f>MONTH(C237)</f>
        <v/>
      </c>
      <c r="Y237" s="116">
        <f>WEEKNUM(C237,21)</f>
        <v/>
      </c>
      <c r="Z237" s="122" t="n"/>
      <c r="AA237" s="122" t="n"/>
      <c r="AB237" s="122" t="n"/>
      <c r="AC237" s="122" t="n"/>
      <c r="AD237" s="122" t="n"/>
      <c r="AE237" s="122">
        <f>IFERROR(K237/$T237,0)</f>
        <v/>
      </c>
      <c r="AF237" s="122">
        <f>IFERROR(L237/$T237,0)</f>
        <v/>
      </c>
      <c r="AG237" s="122" t="n"/>
      <c r="AH237" s="122" t="n"/>
      <c r="AI237" s="122" t="n"/>
      <c r="AJ237" s="122" t="n"/>
      <c r="AK237" s="122" t="n"/>
      <c r="AL237" s="122" t="n"/>
      <c r="AM237" s="122" t="n"/>
      <c r="AN237" s="122">
        <f>SUM(Z237:AC237)</f>
        <v/>
      </c>
      <c r="AO237" s="122">
        <f>SUM(AD237:AL237)</f>
        <v/>
      </c>
      <c r="AP237" s="122">
        <f>SUM(AM237,AB237)</f>
        <v/>
      </c>
      <c r="AQ237" s="122">
        <f>SUM(AA237)</f>
        <v/>
      </c>
      <c r="AR237" s="121">
        <f>(AP237+AQ237)-3%</f>
        <v/>
      </c>
      <c r="AS237" s="122">
        <f>SUM(AO237+AM237)</f>
        <v/>
      </c>
      <c r="AT237" s="122">
        <f>SUM(AH237+AN237)</f>
        <v/>
      </c>
      <c r="AU237" s="122">
        <f>SUM(AN237+AO237)</f>
        <v/>
      </c>
      <c r="AV237" s="122">
        <f>SUM(AN237+AD237+AE237+AF237+AG237+AH237+AJ237+AK237+AL237)</f>
        <v/>
      </c>
      <c r="AW237" s="122">
        <f>SUM(AD237+AE237+AF237+AG237+AI237+AJ237+AK237+AL237)</f>
        <v/>
      </c>
    </row>
    <row r="238" ht="14.1" customHeight="1" s="259">
      <c r="A238" s="183">
        <f>A237+1</f>
        <v/>
      </c>
      <c r="B238" s="199" t="n"/>
      <c r="C238" s="200" t="n"/>
      <c r="D238" s="199" t="n"/>
      <c r="E238" s="201" t="n"/>
      <c r="F238" s="201" t="n"/>
      <c r="G238" s="201" t="n"/>
      <c r="H238" s="201" t="n"/>
      <c r="I238" s="201" t="n"/>
      <c r="J238" s="201" t="n"/>
      <c r="K238" s="201" t="n"/>
      <c r="L238" s="201" t="n"/>
      <c r="M238" s="201" t="n"/>
      <c r="N238" s="201" t="n"/>
      <c r="O238" s="201" t="n"/>
      <c r="P238" s="201" t="n"/>
      <c r="Q238" s="201" t="n"/>
      <c r="R238" s="201" t="n"/>
      <c r="S238" s="201" t="n"/>
      <c r="T238" s="199">
        <f>SUM(F238:S238)</f>
        <v/>
      </c>
      <c r="U238" s="202">
        <f>(HLOOKUP(B238,F:T,A238,FALSE)/T238)</f>
        <v/>
      </c>
      <c r="V238" s="159" t="n"/>
      <c r="W238" s="163">
        <f>YEAR(C238)</f>
        <v/>
      </c>
      <c r="X238" s="116">
        <f>MONTH(C238)</f>
        <v/>
      </c>
      <c r="Y238" s="116">
        <f>WEEKNUM(C238,21)</f>
        <v/>
      </c>
      <c r="Z238" s="122" t="n"/>
      <c r="AA238" s="122" t="n"/>
      <c r="AB238" s="122" t="n"/>
      <c r="AC238" s="122" t="n"/>
      <c r="AD238" s="122" t="n"/>
      <c r="AE238" s="122">
        <f>IFERROR(K238/$T238,0)</f>
        <v/>
      </c>
      <c r="AF238" s="122">
        <f>IFERROR(L238/$T238,0)</f>
        <v/>
      </c>
      <c r="AG238" s="122" t="n"/>
      <c r="AH238" s="122" t="n"/>
      <c r="AI238" s="122" t="n"/>
      <c r="AJ238" s="122" t="n"/>
      <c r="AK238" s="122" t="n"/>
      <c r="AL238" s="122" t="n"/>
      <c r="AM238" s="122" t="n"/>
      <c r="AN238" s="122">
        <f>SUM(Z238:AC238)</f>
        <v/>
      </c>
      <c r="AO238" s="122">
        <f>SUM(AD238:AL238)</f>
        <v/>
      </c>
      <c r="AP238" s="122">
        <f>SUM(AM238,AB238)</f>
        <v/>
      </c>
      <c r="AQ238" s="122">
        <f>SUM(AA238)</f>
        <v/>
      </c>
      <c r="AR238" s="121">
        <f>(AP238+AQ238)-3%</f>
        <v/>
      </c>
      <c r="AS238" s="122">
        <f>SUM(AO238+AM238)</f>
        <v/>
      </c>
      <c r="AT238" s="122">
        <f>SUM(AH238+AN238)</f>
        <v/>
      </c>
      <c r="AU238" s="122">
        <f>SUM(AN238+AO238)</f>
        <v/>
      </c>
      <c r="AV238" s="122">
        <f>SUM(AN238+AD238+AE238+AF238+AG238+AH238+AJ238+AK238+AL238)</f>
        <v/>
      </c>
      <c r="AW238" s="122">
        <f>SUM(AD238+AE238+AF238+AG238+AI238+AJ238+AK238+AL238)</f>
        <v/>
      </c>
    </row>
    <row r="239" ht="14.1" customHeight="1" s="259">
      <c r="A239" s="183">
        <f>A238+1</f>
        <v/>
      </c>
      <c r="B239" s="204" t="n"/>
      <c r="C239" s="205" t="n"/>
      <c r="D239" s="204" t="n"/>
      <c r="E239" s="206" t="n"/>
      <c r="F239" s="206" t="n"/>
      <c r="G239" s="206" t="n"/>
      <c r="H239" s="206" t="n"/>
      <c r="I239" s="206" t="n"/>
      <c r="J239" s="206" t="n"/>
      <c r="K239" s="206" t="n"/>
      <c r="L239" s="206" t="n"/>
      <c r="M239" s="206" t="n"/>
      <c r="N239" s="206" t="n"/>
      <c r="O239" s="206" t="n"/>
      <c r="P239" s="206" t="n"/>
      <c r="Q239" s="206" t="n"/>
      <c r="R239" s="206" t="n"/>
      <c r="S239" s="206" t="n"/>
      <c r="T239" s="204">
        <f>SUM(F239:S239)</f>
        <v/>
      </c>
      <c r="U239" s="207">
        <f>(HLOOKUP(B239,F:T,A239,FALSE)/T239)</f>
        <v/>
      </c>
      <c r="V239" s="159" t="n"/>
      <c r="W239" s="163">
        <f>YEAR(C239)</f>
        <v/>
      </c>
      <c r="X239" s="116">
        <f>MONTH(C239)</f>
        <v/>
      </c>
      <c r="Y239" s="116">
        <f>WEEKNUM(C239,21)</f>
        <v/>
      </c>
      <c r="Z239" s="122" t="n"/>
      <c r="AA239" s="122" t="n"/>
      <c r="AB239" s="122" t="n"/>
      <c r="AC239" s="122" t="n"/>
      <c r="AD239" s="122" t="n"/>
      <c r="AE239" s="122">
        <f>IFERROR(K239/$T239,0)</f>
        <v/>
      </c>
      <c r="AF239" s="122">
        <f>IFERROR(L239/$T239,0)</f>
        <v/>
      </c>
      <c r="AG239" s="122" t="n"/>
      <c r="AH239" s="122" t="n"/>
      <c r="AI239" s="122" t="n"/>
      <c r="AJ239" s="122" t="n"/>
      <c r="AK239" s="122" t="n"/>
      <c r="AL239" s="122" t="n"/>
      <c r="AM239" s="122" t="n"/>
      <c r="AN239" s="122">
        <f>SUM(Z239:AC239)</f>
        <v/>
      </c>
      <c r="AO239" s="122">
        <f>SUM(AD239:AL239)</f>
        <v/>
      </c>
      <c r="AP239" s="122">
        <f>SUM(AM239,AB239)</f>
        <v/>
      </c>
      <c r="AQ239" s="122">
        <f>SUM(AA239)</f>
        <v/>
      </c>
      <c r="AR239" s="121">
        <f>(AP239+AQ239)-3%</f>
        <v/>
      </c>
      <c r="AS239" s="122">
        <f>SUM(AO239+AM239)</f>
        <v/>
      </c>
      <c r="AT239" s="122">
        <f>SUM(AH239+AN239)</f>
        <v/>
      </c>
      <c r="AU239" s="122">
        <f>SUM(AN239+AO239)</f>
        <v/>
      </c>
      <c r="AV239" s="122">
        <f>SUM(AN239+AD239+AE239+AF239+AG239+AH239+AJ239+AK239+AL239)</f>
        <v/>
      </c>
      <c r="AW239" s="122">
        <f>SUM(AD239+AE239+AF239+AG239+AI239+AJ239+AK239+AL239)</f>
        <v/>
      </c>
    </row>
    <row r="240" ht="14.1" customHeight="1" s="259">
      <c r="A240" s="183">
        <f>A239+1</f>
        <v/>
      </c>
      <c r="B240" s="204" t="n"/>
      <c r="C240" s="205" t="n"/>
      <c r="D240" s="204" t="n"/>
      <c r="E240" s="206" t="n"/>
      <c r="F240" s="206" t="n"/>
      <c r="G240" s="206" t="n"/>
      <c r="H240" s="206" t="n"/>
      <c r="I240" s="206" t="n"/>
      <c r="J240" s="206" t="n"/>
      <c r="K240" s="206" t="n"/>
      <c r="L240" s="206" t="n"/>
      <c r="M240" s="206" t="n"/>
      <c r="N240" s="206" t="n"/>
      <c r="O240" s="206" t="n"/>
      <c r="P240" s="206" t="n"/>
      <c r="Q240" s="206" t="n"/>
      <c r="R240" s="206" t="n"/>
      <c r="S240" s="206" t="n"/>
      <c r="T240" s="204">
        <f>SUM(F240:S240)</f>
        <v/>
      </c>
      <c r="U240" s="207">
        <f>(HLOOKUP(B240,F:T,A240,FALSE)/T240)</f>
        <v/>
      </c>
      <c r="V240" s="159" t="n"/>
      <c r="W240" s="163">
        <f>YEAR(C240)</f>
        <v/>
      </c>
      <c r="X240" s="116">
        <f>MONTH(C240)</f>
        <v/>
      </c>
      <c r="Y240" s="116">
        <f>WEEKNUM(C240,21)</f>
        <v/>
      </c>
      <c r="Z240" s="122" t="n"/>
      <c r="AA240" s="122" t="n"/>
      <c r="AB240" s="122" t="n"/>
      <c r="AC240" s="122" t="n"/>
      <c r="AD240" s="122" t="n"/>
      <c r="AE240" s="122">
        <f>IFERROR(K240/$T240,0)</f>
        <v/>
      </c>
      <c r="AF240" s="122">
        <f>IFERROR(L240/$T240,0)</f>
        <v/>
      </c>
      <c r="AG240" s="122" t="n"/>
      <c r="AH240" s="122" t="n"/>
      <c r="AI240" s="122" t="n"/>
      <c r="AJ240" s="122" t="n"/>
      <c r="AK240" s="122" t="n"/>
      <c r="AL240" s="122" t="n"/>
      <c r="AM240" s="122" t="n"/>
      <c r="AN240" s="122">
        <f>SUM(Z240:AC240)</f>
        <v/>
      </c>
      <c r="AO240" s="122">
        <f>SUM(AD240:AL240)</f>
        <v/>
      </c>
      <c r="AP240" s="122">
        <f>SUM(AM240,AB240)</f>
        <v/>
      </c>
      <c r="AQ240" s="122">
        <f>SUM(AA240)</f>
        <v/>
      </c>
      <c r="AR240" s="121">
        <f>(AP240+AQ240)-3%</f>
        <v/>
      </c>
      <c r="AS240" s="122">
        <f>SUM(AO240+AM240)</f>
        <v/>
      </c>
      <c r="AT240" s="122">
        <f>SUM(AH240+AN240)</f>
        <v/>
      </c>
      <c r="AU240" s="122">
        <f>SUM(AN240+AO240)</f>
        <v/>
      </c>
      <c r="AV240" s="122">
        <f>SUM(AN240+AD240+AE240+AF240+AG240+AH240+AJ240+AK240+AL240)</f>
        <v/>
      </c>
      <c r="AW240" s="122">
        <f>SUM(AD240+AE240+AF240+AG240+AI240+AJ240+AK240+AL240)</f>
        <v/>
      </c>
    </row>
    <row r="241" ht="14.1" customHeight="1" s="259">
      <c r="A241" s="183">
        <f>A240+1</f>
        <v/>
      </c>
      <c r="B241" s="204" t="n"/>
      <c r="C241" s="205" t="n"/>
      <c r="D241" s="204" t="n"/>
      <c r="E241" s="206" t="n"/>
      <c r="F241" s="206" t="n"/>
      <c r="G241" s="206" t="n"/>
      <c r="H241" s="206" t="n"/>
      <c r="I241" s="206" t="n"/>
      <c r="J241" s="206" t="n"/>
      <c r="K241" s="206" t="n"/>
      <c r="L241" s="206" t="n"/>
      <c r="M241" s="206" t="n"/>
      <c r="N241" s="206" t="n"/>
      <c r="O241" s="206" t="n"/>
      <c r="P241" s="206" t="n"/>
      <c r="Q241" s="206" t="n"/>
      <c r="R241" s="206" t="n"/>
      <c r="S241" s="206" t="n"/>
      <c r="T241" s="204">
        <f>SUM(F241:S241)</f>
        <v/>
      </c>
      <c r="U241" s="207">
        <f>(HLOOKUP(B241,F:T,A241,FALSE)/T241)</f>
        <v/>
      </c>
      <c r="V241" s="159" t="n"/>
      <c r="W241" s="163">
        <f>YEAR(C241)</f>
        <v/>
      </c>
      <c r="X241" s="116">
        <f>MONTH(C241)</f>
        <v/>
      </c>
      <c r="Y241" s="116">
        <f>WEEKNUM(C241,21)</f>
        <v/>
      </c>
      <c r="Z241" s="122" t="n"/>
      <c r="AA241" s="122" t="n"/>
      <c r="AB241" s="122" t="n"/>
      <c r="AC241" s="122" t="n"/>
      <c r="AD241" s="122" t="n"/>
      <c r="AE241" s="122">
        <f>IFERROR(K241/$T241,0)</f>
        <v/>
      </c>
      <c r="AF241" s="122">
        <f>IFERROR(L241/$T241,0)</f>
        <v/>
      </c>
      <c r="AG241" s="122" t="n"/>
      <c r="AH241" s="122" t="n"/>
      <c r="AI241" s="122" t="n"/>
      <c r="AJ241" s="122" t="n"/>
      <c r="AK241" s="122" t="n"/>
      <c r="AL241" s="122" t="n"/>
      <c r="AM241" s="122" t="n"/>
      <c r="AN241" s="122">
        <f>SUM(Z241:AC241)</f>
        <v/>
      </c>
      <c r="AO241" s="122">
        <f>SUM(AD241:AL241)</f>
        <v/>
      </c>
      <c r="AP241" s="122">
        <f>SUM(AM241,AB241)</f>
        <v/>
      </c>
      <c r="AQ241" s="122">
        <f>SUM(AA241)</f>
        <v/>
      </c>
      <c r="AR241" s="121">
        <f>(AP241+AQ241)-3%</f>
        <v/>
      </c>
      <c r="AS241" s="122">
        <f>SUM(AO241+AM241)</f>
        <v/>
      </c>
      <c r="AT241" s="122">
        <f>SUM(AH241+AN241)</f>
        <v/>
      </c>
      <c r="AU241" s="122">
        <f>SUM(AN241+AO241)</f>
        <v/>
      </c>
      <c r="AV241" s="122">
        <f>SUM(AN241+AD241+AE241+AF241+AG241+AH241+AJ241+AK241+AL241)</f>
        <v/>
      </c>
      <c r="AW241" s="122">
        <f>SUM(AD241+AE241+AF241+AG241+AI241+AJ241+AK241+AL241)</f>
        <v/>
      </c>
    </row>
    <row r="242" ht="14.1" customHeight="1" s="259">
      <c r="A242" s="183">
        <f>A241+1</f>
        <v/>
      </c>
      <c r="B242" s="204" t="n"/>
      <c r="C242" s="205" t="n"/>
      <c r="D242" s="204" t="n"/>
      <c r="E242" s="206" t="n"/>
      <c r="F242" s="206" t="n"/>
      <c r="G242" s="206" t="n"/>
      <c r="H242" s="206" t="n"/>
      <c r="I242" s="206" t="n"/>
      <c r="J242" s="206" t="n"/>
      <c r="K242" s="206" t="n"/>
      <c r="L242" s="206" t="n"/>
      <c r="M242" s="206" t="n"/>
      <c r="N242" s="206" t="n"/>
      <c r="O242" s="206" t="n"/>
      <c r="P242" s="206" t="n"/>
      <c r="Q242" s="206" t="n"/>
      <c r="R242" s="206" t="n"/>
      <c r="S242" s="206" t="n"/>
      <c r="T242" s="204">
        <f>SUM(F242:S242)</f>
        <v/>
      </c>
      <c r="U242" s="207">
        <f>(HLOOKUP(B242,F:T,A242,FALSE)/T242)</f>
        <v/>
      </c>
      <c r="V242" s="159" t="n"/>
      <c r="W242" s="163">
        <f>YEAR(C242)</f>
        <v/>
      </c>
      <c r="X242" s="116">
        <f>MONTH(C242)</f>
        <v/>
      </c>
      <c r="Y242" s="116">
        <f>WEEKNUM(C242,21)</f>
        <v/>
      </c>
      <c r="Z242" s="122" t="n"/>
      <c r="AA242" s="122" t="n"/>
      <c r="AB242" s="122" t="n"/>
      <c r="AC242" s="122" t="n"/>
      <c r="AD242" s="122" t="n"/>
      <c r="AE242" s="122">
        <f>IFERROR(K242/$T242,0)</f>
        <v/>
      </c>
      <c r="AF242" s="122">
        <f>IFERROR(L242/$T242,0)</f>
        <v/>
      </c>
      <c r="AG242" s="122" t="n"/>
      <c r="AH242" s="122" t="n"/>
      <c r="AI242" s="122" t="n"/>
      <c r="AJ242" s="122" t="n"/>
      <c r="AK242" s="122" t="n"/>
      <c r="AL242" s="122" t="n"/>
      <c r="AM242" s="122" t="n"/>
      <c r="AN242" s="122">
        <f>SUM(Z242:AC242)</f>
        <v/>
      </c>
      <c r="AO242" s="122">
        <f>SUM(AD242:AL242)</f>
        <v/>
      </c>
      <c r="AP242" s="122">
        <f>SUM(AM242,AB242)</f>
        <v/>
      </c>
      <c r="AQ242" s="122">
        <f>SUM(AA242)</f>
        <v/>
      </c>
      <c r="AR242" s="121">
        <f>(AP242+AQ242)-3%</f>
        <v/>
      </c>
      <c r="AS242" s="122">
        <f>SUM(AO242+AM242)</f>
        <v/>
      </c>
      <c r="AT242" s="122">
        <f>SUM(AH242+AN242)</f>
        <v/>
      </c>
      <c r="AU242" s="122">
        <f>SUM(AN242+AO242)</f>
        <v/>
      </c>
      <c r="AV242" s="122">
        <f>SUM(AN242+AD242+AE242+AF242+AG242+AH242+AJ242+AK242+AL242)</f>
        <v/>
      </c>
      <c r="AW242" s="122">
        <f>SUM(AD242+AE242+AF242+AG242+AI242+AJ242+AK242+AL242)</f>
        <v/>
      </c>
    </row>
    <row r="243" ht="14.1" customHeight="1" s="259">
      <c r="A243" s="183">
        <f>A242+1</f>
        <v/>
      </c>
      <c r="B243" s="204" t="n"/>
      <c r="C243" s="205" t="n"/>
      <c r="D243" s="204" t="n"/>
      <c r="E243" s="206" t="n"/>
      <c r="F243" s="206" t="n"/>
      <c r="G243" s="206" t="n"/>
      <c r="H243" s="206" t="n"/>
      <c r="I243" s="206" t="n"/>
      <c r="J243" s="206" t="n"/>
      <c r="K243" s="206" t="n"/>
      <c r="L243" s="206" t="n"/>
      <c r="M243" s="206" t="n"/>
      <c r="N243" s="206" t="n"/>
      <c r="O243" s="206" t="n"/>
      <c r="P243" s="206" t="n"/>
      <c r="Q243" s="206" t="n"/>
      <c r="R243" s="206" t="n"/>
      <c r="S243" s="206" t="n"/>
      <c r="T243" s="204">
        <f>SUM(F243:S243)</f>
        <v/>
      </c>
      <c r="U243" s="207">
        <f>(HLOOKUP(B243,F:T,A243,FALSE)/T243)</f>
        <v/>
      </c>
      <c r="V243" s="159" t="n"/>
      <c r="W243" s="163">
        <f>YEAR(C243)</f>
        <v/>
      </c>
      <c r="X243" s="116">
        <f>MONTH(C243)</f>
        <v/>
      </c>
      <c r="Y243" s="116">
        <f>WEEKNUM(C243,21)</f>
        <v/>
      </c>
      <c r="Z243" s="122" t="n"/>
      <c r="AA243" s="122" t="n"/>
      <c r="AB243" s="122" t="n"/>
      <c r="AC243" s="122" t="n"/>
      <c r="AD243" s="122" t="n"/>
      <c r="AE243" s="122">
        <f>IFERROR(K243/$T243,0)</f>
        <v/>
      </c>
      <c r="AF243" s="122">
        <f>IFERROR(L243/$T243,0)</f>
        <v/>
      </c>
      <c r="AG243" s="122" t="n"/>
      <c r="AH243" s="122" t="n"/>
      <c r="AI243" s="122" t="n"/>
      <c r="AJ243" s="122" t="n"/>
      <c r="AK243" s="122" t="n"/>
      <c r="AL243" s="122" t="n"/>
      <c r="AM243" s="122" t="n"/>
      <c r="AN243" s="122">
        <f>SUM(Z243:AC243)</f>
        <v/>
      </c>
      <c r="AO243" s="122">
        <f>SUM(AD243:AL243)</f>
        <v/>
      </c>
      <c r="AP243" s="122">
        <f>SUM(AM243,AB243)</f>
        <v/>
      </c>
      <c r="AQ243" s="122">
        <f>SUM(AA243)</f>
        <v/>
      </c>
      <c r="AR243" s="121">
        <f>(AP243+AQ243)-3%</f>
        <v/>
      </c>
      <c r="AS243" s="122">
        <f>SUM(AO243+AM243)</f>
        <v/>
      </c>
      <c r="AT243" s="122">
        <f>SUM(AH243+AN243)</f>
        <v/>
      </c>
      <c r="AU243" s="122">
        <f>SUM(AN243+AO243)</f>
        <v/>
      </c>
      <c r="AV243" s="122">
        <f>SUM(AN243+AD243+AE243+AF243+AG243+AH243+AJ243+AK243+AL243)</f>
        <v/>
      </c>
      <c r="AW243" s="122">
        <f>SUM(AD243+AE243+AF243+AG243+AI243+AJ243+AK243+AL243)</f>
        <v/>
      </c>
    </row>
    <row r="244" ht="14.1" customHeight="1" s="259">
      <c r="A244" s="183">
        <f>A243+1</f>
        <v/>
      </c>
      <c r="B244" s="204" t="n"/>
      <c r="C244" s="205" t="n"/>
      <c r="D244" s="204" t="n"/>
      <c r="E244" s="206" t="n"/>
      <c r="F244" s="206" t="n"/>
      <c r="G244" s="206" t="n"/>
      <c r="H244" s="206" t="n"/>
      <c r="I244" s="206" t="n"/>
      <c r="J244" s="206" t="n"/>
      <c r="K244" s="206" t="n"/>
      <c r="L244" s="206" t="n"/>
      <c r="M244" s="206" t="n"/>
      <c r="N244" s="206" t="n"/>
      <c r="O244" s="206" t="n"/>
      <c r="P244" s="206" t="n"/>
      <c r="Q244" s="206" t="n"/>
      <c r="R244" s="206" t="n"/>
      <c r="S244" s="206" t="n"/>
      <c r="T244" s="204">
        <f>SUM(F244:S244)</f>
        <v/>
      </c>
      <c r="U244" s="207">
        <f>(HLOOKUP(B244,F:T,A244,FALSE)/T244)</f>
        <v/>
      </c>
      <c r="V244" s="159" t="n"/>
      <c r="W244" s="163">
        <f>YEAR(C244)</f>
        <v/>
      </c>
      <c r="X244" s="116">
        <f>MONTH(C244)</f>
        <v/>
      </c>
      <c r="Y244" s="116">
        <f>WEEKNUM(C244,21)</f>
        <v/>
      </c>
      <c r="Z244" s="122" t="n"/>
      <c r="AA244" s="122" t="n"/>
      <c r="AB244" s="122" t="n"/>
      <c r="AC244" s="122" t="n"/>
      <c r="AD244" s="122" t="n"/>
      <c r="AE244" s="122">
        <f>IFERROR(K244/$T244,0)</f>
        <v/>
      </c>
      <c r="AF244" s="122">
        <f>IFERROR(L244/$T244,0)</f>
        <v/>
      </c>
      <c r="AG244" s="122" t="n"/>
      <c r="AH244" s="122" t="n"/>
      <c r="AI244" s="122" t="n"/>
      <c r="AJ244" s="122" t="n"/>
      <c r="AK244" s="122" t="n"/>
      <c r="AL244" s="122" t="n"/>
      <c r="AM244" s="122" t="n"/>
      <c r="AN244" s="122">
        <f>SUM(Z244:AC244)</f>
        <v/>
      </c>
      <c r="AO244" s="122">
        <f>SUM(AD244:AL244)</f>
        <v/>
      </c>
      <c r="AP244" s="122">
        <f>SUM(AM244,AB244)</f>
        <v/>
      </c>
      <c r="AQ244" s="122">
        <f>SUM(AA244)</f>
        <v/>
      </c>
      <c r="AR244" s="121">
        <f>(AP244+AQ244)-3%</f>
        <v/>
      </c>
      <c r="AS244" s="122">
        <f>SUM(AO244+AM244)</f>
        <v/>
      </c>
      <c r="AT244" s="122">
        <f>SUM(AH244+AN244)</f>
        <v/>
      </c>
      <c r="AU244" s="122">
        <f>SUM(AN244+AO244)</f>
        <v/>
      </c>
      <c r="AV244" s="122">
        <f>SUM(AN244+AD244+AE244+AF244+AG244+AH244+AJ244+AK244+AL244)</f>
        <v/>
      </c>
      <c r="AW244" s="122">
        <f>SUM(AD244+AE244+AF244+AG244+AI244+AJ244+AK244+AL244)</f>
        <v/>
      </c>
    </row>
    <row r="245" ht="14.1" customHeight="1" s="259">
      <c r="A245" s="183">
        <f>A244+1</f>
        <v/>
      </c>
      <c r="B245" s="204" t="n"/>
      <c r="C245" s="205" t="n"/>
      <c r="D245" s="204" t="n"/>
      <c r="E245" s="206" t="n"/>
      <c r="F245" s="206" t="n"/>
      <c r="G245" s="206" t="n"/>
      <c r="H245" s="206" t="n"/>
      <c r="I245" s="206" t="n"/>
      <c r="J245" s="206" t="n"/>
      <c r="K245" s="206" t="n"/>
      <c r="L245" s="206" t="n"/>
      <c r="M245" s="206" t="n"/>
      <c r="N245" s="206" t="n"/>
      <c r="O245" s="206" t="n"/>
      <c r="P245" s="206" t="n"/>
      <c r="Q245" s="206" t="n"/>
      <c r="R245" s="206" t="n"/>
      <c r="S245" s="206" t="n"/>
      <c r="T245" s="204">
        <f>SUM(F245:S245)</f>
        <v/>
      </c>
      <c r="U245" s="207">
        <f>(HLOOKUP(B245,F:T,A245,FALSE)/T245)</f>
        <v/>
      </c>
      <c r="V245" s="159" t="n"/>
      <c r="W245" s="163">
        <f>YEAR(C245)</f>
        <v/>
      </c>
      <c r="X245" s="116">
        <f>MONTH(C245)</f>
        <v/>
      </c>
      <c r="Y245" s="116">
        <f>WEEKNUM(C245,21)</f>
        <v/>
      </c>
      <c r="Z245" s="122" t="n"/>
      <c r="AA245" s="122" t="n"/>
      <c r="AB245" s="122" t="n"/>
      <c r="AC245" s="122" t="n"/>
      <c r="AD245" s="122" t="n"/>
      <c r="AE245" s="122">
        <f>IFERROR(K245/$T245,0)</f>
        <v/>
      </c>
      <c r="AF245" s="122">
        <f>IFERROR(L245/$T245,0)</f>
        <v/>
      </c>
      <c r="AG245" s="122" t="n"/>
      <c r="AH245" s="122" t="n"/>
      <c r="AI245" s="122" t="n"/>
      <c r="AJ245" s="122" t="n"/>
      <c r="AK245" s="122" t="n"/>
      <c r="AL245" s="122" t="n"/>
      <c r="AM245" s="122" t="n"/>
      <c r="AN245" s="122">
        <f>SUM(Z245:AC245)</f>
        <v/>
      </c>
      <c r="AO245" s="122">
        <f>SUM(AD245:AL245)</f>
        <v/>
      </c>
      <c r="AP245" s="122">
        <f>SUM(AM245,AB245)</f>
        <v/>
      </c>
      <c r="AQ245" s="122">
        <f>SUM(AA245)</f>
        <v/>
      </c>
      <c r="AR245" s="121">
        <f>(AP245+AQ245)-3%</f>
        <v/>
      </c>
      <c r="AS245" s="122">
        <f>SUM(AO245+AM245)</f>
        <v/>
      </c>
      <c r="AT245" s="122">
        <f>SUM(AH245+AN245)</f>
        <v/>
      </c>
      <c r="AU245" s="122">
        <f>SUM(AN245+AO245)</f>
        <v/>
      </c>
      <c r="AV245" s="122">
        <f>SUM(AN245+AD245+AE245+AF245+AG245+AH245+AJ245+AK245+AL245)</f>
        <v/>
      </c>
      <c r="AW245" s="122">
        <f>SUM(AD245+AE245+AF245+AG245+AI245+AJ245+AK245+AL245)</f>
        <v/>
      </c>
    </row>
    <row r="246" ht="14.1" customHeight="1" s="259">
      <c r="A246" s="183">
        <f>A245+1</f>
        <v/>
      </c>
      <c r="B246" s="204" t="n"/>
      <c r="C246" s="205" t="n"/>
      <c r="D246" s="204" t="n"/>
      <c r="E246" s="206" t="n"/>
      <c r="F246" s="206" t="n"/>
      <c r="G246" s="206" t="n"/>
      <c r="H246" s="206" t="n"/>
      <c r="I246" s="206" t="n"/>
      <c r="J246" s="206" t="n"/>
      <c r="K246" s="206" t="n"/>
      <c r="L246" s="206" t="n"/>
      <c r="M246" s="206" t="n"/>
      <c r="N246" s="206" t="n"/>
      <c r="O246" s="206" t="n"/>
      <c r="P246" s="206" t="n"/>
      <c r="Q246" s="206" t="n"/>
      <c r="R246" s="206" t="n"/>
      <c r="S246" s="206" t="n"/>
      <c r="T246" s="204">
        <f>SUM(F246:S246)</f>
        <v/>
      </c>
      <c r="U246" s="207">
        <f>(HLOOKUP(B246,F:T,A246,FALSE)/T246)</f>
        <v/>
      </c>
      <c r="V246" s="159" t="n"/>
      <c r="W246" s="163">
        <f>YEAR(C246)</f>
        <v/>
      </c>
      <c r="X246" s="116">
        <f>MONTH(C246)</f>
        <v/>
      </c>
      <c r="Y246" s="116">
        <f>WEEKNUM(C246,21)</f>
        <v/>
      </c>
      <c r="Z246" s="122" t="n"/>
      <c r="AA246" s="122" t="n"/>
      <c r="AB246" s="122" t="n"/>
      <c r="AC246" s="122" t="n"/>
      <c r="AD246" s="122" t="n"/>
      <c r="AE246" s="122">
        <f>IFERROR(K246/$T246,0)</f>
        <v/>
      </c>
      <c r="AF246" s="122">
        <f>IFERROR(L246/$T246,0)</f>
        <v/>
      </c>
      <c r="AG246" s="122" t="n"/>
      <c r="AH246" s="122" t="n"/>
      <c r="AI246" s="122" t="n"/>
      <c r="AJ246" s="122" t="n"/>
      <c r="AK246" s="122" t="n"/>
      <c r="AL246" s="122" t="n"/>
      <c r="AM246" s="122" t="n"/>
      <c r="AN246" s="122">
        <f>SUM(Z246:AC246)</f>
        <v/>
      </c>
      <c r="AO246" s="122">
        <f>SUM(AD246:AL246)</f>
        <v/>
      </c>
      <c r="AP246" s="122">
        <f>SUM(AM246,AB246)</f>
        <v/>
      </c>
      <c r="AQ246" s="122">
        <f>SUM(AA246)</f>
        <v/>
      </c>
      <c r="AR246" s="121">
        <f>(AP246+AQ246)-3%</f>
        <v/>
      </c>
      <c r="AS246" s="122">
        <f>SUM(AO246+AM246)</f>
        <v/>
      </c>
      <c r="AT246" s="122">
        <f>SUM(AH246+AN246)</f>
        <v/>
      </c>
      <c r="AU246" s="122">
        <f>SUM(AN246+AO246)</f>
        <v/>
      </c>
      <c r="AV246" s="122">
        <f>SUM(AN246+AD246+AE246+AF246+AG246+AH246+AJ246+AK246+AL246)</f>
        <v/>
      </c>
      <c r="AW246" s="122">
        <f>SUM(AD246+AE246+AF246+AG246+AI246+AJ246+AK246+AL246)</f>
        <v/>
      </c>
    </row>
    <row r="247" ht="14.1" customHeight="1" s="259">
      <c r="A247" s="183">
        <f>A246+1</f>
        <v/>
      </c>
      <c r="B247" s="204" t="n"/>
      <c r="C247" s="205" t="n"/>
      <c r="D247" s="204" t="n"/>
      <c r="E247" s="206" t="n"/>
      <c r="F247" s="206" t="n"/>
      <c r="G247" s="206" t="n"/>
      <c r="H247" s="206" t="n"/>
      <c r="I247" s="206" t="n"/>
      <c r="J247" s="206" t="n"/>
      <c r="K247" s="206" t="n"/>
      <c r="L247" s="206" t="n"/>
      <c r="M247" s="206" t="n"/>
      <c r="N247" s="206" t="n"/>
      <c r="O247" s="206" t="n"/>
      <c r="P247" s="206" t="n"/>
      <c r="Q247" s="206" t="n"/>
      <c r="R247" s="206" t="n"/>
      <c r="S247" s="206" t="n"/>
      <c r="T247" s="204">
        <f>SUM(F247:S247)</f>
        <v/>
      </c>
      <c r="U247" s="207">
        <f>(HLOOKUP(B247,F:T,A247,FALSE)/T247)</f>
        <v/>
      </c>
      <c r="V247" s="159" t="n"/>
      <c r="W247" s="163">
        <f>YEAR(C247)</f>
        <v/>
      </c>
      <c r="X247" s="116">
        <f>MONTH(C247)</f>
        <v/>
      </c>
      <c r="Y247" s="116">
        <f>WEEKNUM(C247,21)</f>
        <v/>
      </c>
      <c r="Z247" s="122" t="n"/>
      <c r="AA247" s="122" t="n"/>
      <c r="AB247" s="122" t="n"/>
      <c r="AC247" s="122" t="n"/>
      <c r="AD247" s="122" t="n"/>
      <c r="AE247" s="122">
        <f>IFERROR(K247/$T247,0)</f>
        <v/>
      </c>
      <c r="AF247" s="122">
        <f>IFERROR(L247/$T247,0)</f>
        <v/>
      </c>
      <c r="AG247" s="122" t="n"/>
      <c r="AH247" s="122" t="n"/>
      <c r="AI247" s="122" t="n"/>
      <c r="AJ247" s="122" t="n"/>
      <c r="AK247" s="122" t="n"/>
      <c r="AL247" s="122" t="n"/>
      <c r="AM247" s="122" t="n"/>
      <c r="AN247" s="122">
        <f>SUM(Z247:AC247)</f>
        <v/>
      </c>
      <c r="AO247" s="122">
        <f>SUM(AD247:AL247)</f>
        <v/>
      </c>
      <c r="AP247" s="122">
        <f>SUM(AM247,AB247)</f>
        <v/>
      </c>
      <c r="AQ247" s="122">
        <f>SUM(AA247)</f>
        <v/>
      </c>
      <c r="AR247" s="121">
        <f>(AP247+AQ247)-3%</f>
        <v/>
      </c>
      <c r="AS247" s="122">
        <f>SUM(AO247+AM247)</f>
        <v/>
      </c>
      <c r="AT247" s="122">
        <f>SUM(AH247+AN247)</f>
        <v/>
      </c>
      <c r="AU247" s="122">
        <f>SUM(AN247+AO247)</f>
        <v/>
      </c>
      <c r="AV247" s="122">
        <f>SUM(AN247+AD247+AE247+AF247+AG247+AH247+AJ247+AK247+AL247)</f>
        <v/>
      </c>
      <c r="AW247" s="122">
        <f>SUM(AD247+AE247+AF247+AG247+AI247+AJ247+AK247+AL247)</f>
        <v/>
      </c>
    </row>
    <row r="248" ht="14.1" customHeight="1" s="259">
      <c r="A248" s="183">
        <f>A247+1</f>
        <v/>
      </c>
      <c r="B248" s="199" t="n"/>
      <c r="C248" s="200" t="n"/>
      <c r="D248" s="199" t="n"/>
      <c r="E248" s="201" t="n"/>
      <c r="F248" s="201" t="n"/>
      <c r="G248" s="201" t="n"/>
      <c r="H248" s="201" t="n"/>
      <c r="I248" s="201" t="n"/>
      <c r="J248" s="201" t="n"/>
      <c r="K248" s="201" t="n"/>
      <c r="L248" s="201" t="n"/>
      <c r="M248" s="201" t="n"/>
      <c r="N248" s="201" t="n"/>
      <c r="O248" s="201" t="n"/>
      <c r="P248" s="201" t="n"/>
      <c r="Q248" s="201" t="n"/>
      <c r="R248" s="201" t="n"/>
      <c r="S248" s="201" t="n"/>
      <c r="T248" s="199">
        <f>SUM(F248:S248)</f>
        <v/>
      </c>
      <c r="U248" s="202">
        <f>(HLOOKUP(B248,F:T,A248,FALSE)/T248)</f>
        <v/>
      </c>
      <c r="V248" s="159" t="n"/>
      <c r="W248" s="163">
        <f>YEAR(C248)</f>
        <v/>
      </c>
      <c r="X248" s="116">
        <f>MONTH(C248)</f>
        <v/>
      </c>
      <c r="Y248" s="116">
        <f>WEEKNUM(C248,21)</f>
        <v/>
      </c>
      <c r="Z248" s="122" t="n"/>
      <c r="AA248" s="122" t="n"/>
      <c r="AB248" s="122" t="n"/>
      <c r="AC248" s="122" t="n"/>
      <c r="AD248" s="122" t="n"/>
      <c r="AE248" s="122">
        <f>IFERROR(K248/$T248,0)</f>
        <v/>
      </c>
      <c r="AF248" s="122">
        <f>IFERROR(L248/$T248,0)</f>
        <v/>
      </c>
      <c r="AG248" s="122" t="n"/>
      <c r="AH248" s="122" t="n"/>
      <c r="AI248" s="122" t="n"/>
      <c r="AJ248" s="122" t="n"/>
      <c r="AK248" s="122" t="n"/>
      <c r="AL248" s="122" t="n"/>
      <c r="AM248" s="122" t="n"/>
      <c r="AN248" s="122">
        <f>SUM(Z248:AC248)</f>
        <v/>
      </c>
      <c r="AO248" s="122">
        <f>SUM(AD248:AL248)</f>
        <v/>
      </c>
      <c r="AP248" s="122">
        <f>SUM(AM248,AB248)</f>
        <v/>
      </c>
      <c r="AQ248" s="122">
        <f>SUM(AA248)</f>
        <v/>
      </c>
      <c r="AR248" s="121">
        <f>(AP248+AQ248)-3%</f>
        <v/>
      </c>
      <c r="AS248" s="122">
        <f>SUM(AO248+AM248)</f>
        <v/>
      </c>
      <c r="AT248" s="122">
        <f>SUM(AH248+AN248)</f>
        <v/>
      </c>
      <c r="AU248" s="122">
        <f>SUM(AN248+AO248)</f>
        <v/>
      </c>
      <c r="AV248" s="122">
        <f>SUM(AN248+AD248+AE248+AF248+AG248+AH248+AJ248+AK248+AL248)</f>
        <v/>
      </c>
      <c r="AW248" s="122">
        <f>SUM(AD248+AE248+AF248+AG248+AI248+AJ248+AK248+AL248)</f>
        <v/>
      </c>
    </row>
    <row r="249" ht="14.1" customHeight="1" s="259">
      <c r="A249" s="183">
        <f>A248+1</f>
        <v/>
      </c>
      <c r="B249" s="199" t="n"/>
      <c r="C249" s="200" t="n"/>
      <c r="D249" s="199" t="n"/>
      <c r="E249" s="201" t="n"/>
      <c r="F249" s="201" t="n"/>
      <c r="G249" s="201" t="n"/>
      <c r="H249" s="201" t="n"/>
      <c r="I249" s="201" t="n"/>
      <c r="J249" s="201" t="n"/>
      <c r="K249" s="201" t="n"/>
      <c r="L249" s="201" t="n"/>
      <c r="M249" s="201" t="n"/>
      <c r="N249" s="201" t="n"/>
      <c r="O249" s="201" t="n"/>
      <c r="P249" s="201" t="n"/>
      <c r="Q249" s="201" t="n"/>
      <c r="R249" s="201" t="n"/>
      <c r="S249" s="201" t="n"/>
      <c r="T249" s="199">
        <f>SUM(F249:S249)</f>
        <v/>
      </c>
      <c r="U249" s="202">
        <f>(HLOOKUP(B249,F:T,A249,FALSE)/T249)</f>
        <v/>
      </c>
      <c r="V249" s="159" t="n"/>
      <c r="W249" s="163">
        <f>YEAR(C249)</f>
        <v/>
      </c>
      <c r="X249" s="116">
        <f>MONTH(C249)</f>
        <v/>
      </c>
      <c r="Y249" s="116">
        <f>WEEKNUM(C249,21)</f>
        <v/>
      </c>
      <c r="Z249" s="122" t="n"/>
      <c r="AA249" s="122" t="n"/>
      <c r="AB249" s="122" t="n"/>
      <c r="AC249" s="122" t="n"/>
      <c r="AD249" s="122" t="n"/>
      <c r="AE249" s="122">
        <f>IFERROR(K249/$T249,0)</f>
        <v/>
      </c>
      <c r="AF249" s="122">
        <f>IFERROR(L249/$T249,0)</f>
        <v/>
      </c>
      <c r="AG249" s="122" t="n"/>
      <c r="AH249" s="122" t="n"/>
      <c r="AI249" s="122" t="n"/>
      <c r="AJ249" s="122" t="n"/>
      <c r="AK249" s="122" t="n"/>
      <c r="AL249" s="122" t="n"/>
      <c r="AM249" s="122" t="n"/>
      <c r="AN249" s="122">
        <f>SUM(Z249:AC249)</f>
        <v/>
      </c>
      <c r="AO249" s="122">
        <f>SUM(AD249:AL249)</f>
        <v/>
      </c>
      <c r="AP249" s="122">
        <f>SUM(AM249,AB249)</f>
        <v/>
      </c>
      <c r="AQ249" s="122">
        <f>SUM(AA249)</f>
        <v/>
      </c>
      <c r="AR249" s="121">
        <f>(AP249+AQ249)-3%</f>
        <v/>
      </c>
      <c r="AS249" s="122">
        <f>SUM(AO249+AM249)</f>
        <v/>
      </c>
      <c r="AT249" s="122">
        <f>SUM(AH249+AN249)</f>
        <v/>
      </c>
      <c r="AU249" s="122">
        <f>SUM(AN249+AO249)</f>
        <v/>
      </c>
      <c r="AV249" s="122">
        <f>SUM(AN249+AD249+AE249+AF249+AG249+AH249+AJ249+AK249+AL249)</f>
        <v/>
      </c>
      <c r="AW249" s="122">
        <f>SUM(AD249+AE249+AF249+AG249+AI249+AJ249+AK249+AL249)</f>
        <v/>
      </c>
    </row>
    <row r="250" ht="14.1" customHeight="1" s="259">
      <c r="A250" s="183">
        <f>A249+1</f>
        <v/>
      </c>
      <c r="B250" s="204" t="n"/>
      <c r="C250" s="205" t="n"/>
      <c r="D250" s="204" t="n"/>
      <c r="E250" s="206" t="n"/>
      <c r="F250" s="206" t="n"/>
      <c r="G250" s="206" t="n"/>
      <c r="H250" s="206" t="n"/>
      <c r="I250" s="206" t="n"/>
      <c r="J250" s="206" t="n"/>
      <c r="K250" s="206" t="n"/>
      <c r="L250" s="206" t="n"/>
      <c r="M250" s="206" t="n"/>
      <c r="N250" s="206" t="n"/>
      <c r="O250" s="206" t="n"/>
      <c r="P250" s="206" t="n"/>
      <c r="Q250" s="206" t="n"/>
      <c r="R250" s="206" t="n"/>
      <c r="S250" s="206" t="n"/>
      <c r="T250" s="204">
        <f>SUM(F250:S250)</f>
        <v/>
      </c>
      <c r="U250" s="207">
        <f>(HLOOKUP(B250,F:T,A250,FALSE)/T250)</f>
        <v/>
      </c>
      <c r="V250" s="159" t="n"/>
      <c r="W250" s="163">
        <f>YEAR(C250)</f>
        <v/>
      </c>
      <c r="X250" s="116">
        <f>MONTH(C250)</f>
        <v/>
      </c>
      <c r="Y250" s="116">
        <f>WEEKNUM(C250,21)</f>
        <v/>
      </c>
      <c r="Z250" s="122" t="n"/>
      <c r="AA250" s="122" t="n"/>
      <c r="AB250" s="122" t="n"/>
      <c r="AC250" s="122" t="n"/>
      <c r="AD250" s="122" t="n"/>
      <c r="AE250" s="122">
        <f>IFERROR(K250/$T250,0)</f>
        <v/>
      </c>
      <c r="AF250" s="122">
        <f>IFERROR(L250/$T250,0)</f>
        <v/>
      </c>
      <c r="AG250" s="122" t="n"/>
      <c r="AH250" s="122" t="n"/>
      <c r="AI250" s="122" t="n"/>
      <c r="AJ250" s="122" t="n"/>
      <c r="AK250" s="122" t="n"/>
      <c r="AL250" s="122" t="n"/>
      <c r="AM250" s="122" t="n"/>
      <c r="AN250" s="122">
        <f>SUM(Z250:AC250)</f>
        <v/>
      </c>
      <c r="AO250" s="122">
        <f>SUM(AD250:AL250)</f>
        <v/>
      </c>
      <c r="AP250" s="122">
        <f>SUM(AM250,AB250)</f>
        <v/>
      </c>
      <c r="AQ250" s="122">
        <f>SUM(AA250)</f>
        <v/>
      </c>
      <c r="AR250" s="121">
        <f>(AP250+AQ250)-3%</f>
        <v/>
      </c>
      <c r="AS250" s="122">
        <f>SUM(AO250+AM250)</f>
        <v/>
      </c>
      <c r="AT250" s="122">
        <f>SUM(AH250+AN250)</f>
        <v/>
      </c>
      <c r="AU250" s="122">
        <f>SUM(AN250+AO250)</f>
        <v/>
      </c>
      <c r="AV250" s="122">
        <f>SUM(AN250+AD250+AE250+AF250+AG250+AH250+AJ250+AK250+AL250)</f>
        <v/>
      </c>
      <c r="AW250" s="122">
        <f>SUM(AD250+AE250+AF250+AG250+AI250+AJ250+AK250+AL250)</f>
        <v/>
      </c>
    </row>
    <row r="251" ht="14.1" customHeight="1" s="259">
      <c r="A251" s="183">
        <f>A250+1</f>
        <v/>
      </c>
      <c r="B251" s="204" t="n"/>
      <c r="C251" s="205" t="n"/>
      <c r="D251" s="204" t="n"/>
      <c r="E251" s="206" t="n"/>
      <c r="F251" s="206" t="n"/>
      <c r="G251" s="206" t="n"/>
      <c r="H251" s="206" t="n"/>
      <c r="I251" s="206" t="n"/>
      <c r="J251" s="206" t="n"/>
      <c r="K251" s="206" t="n"/>
      <c r="L251" s="206" t="n"/>
      <c r="M251" s="206" t="n"/>
      <c r="N251" s="206" t="n"/>
      <c r="O251" s="206" t="n"/>
      <c r="P251" s="206" t="n"/>
      <c r="Q251" s="206" t="n"/>
      <c r="R251" s="206" t="n"/>
      <c r="S251" s="206" t="n"/>
      <c r="T251" s="204">
        <f>SUM(F251:S251)</f>
        <v/>
      </c>
      <c r="U251" s="207">
        <f>(HLOOKUP(B251,F:T,A251,FALSE)/T251)</f>
        <v/>
      </c>
      <c r="V251" s="159" t="n"/>
      <c r="W251" s="163">
        <f>YEAR(C251)</f>
        <v/>
      </c>
      <c r="X251" s="116">
        <f>MONTH(C251)</f>
        <v/>
      </c>
      <c r="Y251" s="116">
        <f>WEEKNUM(C251,21)</f>
        <v/>
      </c>
      <c r="Z251" s="122" t="n"/>
      <c r="AA251" s="122" t="n"/>
      <c r="AB251" s="122" t="n"/>
      <c r="AC251" s="122" t="n"/>
      <c r="AD251" s="122" t="n"/>
      <c r="AE251" s="122">
        <f>IFERROR(K251/$T251,0)</f>
        <v/>
      </c>
      <c r="AF251" s="122">
        <f>IFERROR(L251/$T251,0)</f>
        <v/>
      </c>
      <c r="AG251" s="122" t="n"/>
      <c r="AH251" s="122" t="n"/>
      <c r="AI251" s="122" t="n"/>
      <c r="AJ251" s="122" t="n"/>
      <c r="AK251" s="122" t="n"/>
      <c r="AL251" s="122" t="n"/>
      <c r="AM251" s="122" t="n"/>
      <c r="AN251" s="122">
        <f>SUM(Z251:AC251)</f>
        <v/>
      </c>
      <c r="AO251" s="122">
        <f>SUM(AD251:AL251)</f>
        <v/>
      </c>
      <c r="AP251" s="122">
        <f>SUM(AM251,AB251)</f>
        <v/>
      </c>
      <c r="AQ251" s="122">
        <f>SUM(AA251)</f>
        <v/>
      </c>
      <c r="AR251" s="121">
        <f>(AP251+AQ251)-3%</f>
        <v/>
      </c>
      <c r="AS251" s="122">
        <f>SUM(AO251+AM251)</f>
        <v/>
      </c>
      <c r="AT251" s="122">
        <f>SUM(AH251+AN251)</f>
        <v/>
      </c>
      <c r="AU251" s="122">
        <f>SUM(AN251+AO251)</f>
        <v/>
      </c>
      <c r="AV251" s="122">
        <f>SUM(AN251+AD251+AE251+AF251+AG251+AH251+AJ251+AK251+AL251)</f>
        <v/>
      </c>
      <c r="AW251" s="122">
        <f>SUM(AD251+AE251+AF251+AG251+AI251+AJ251+AK251+AL251)</f>
        <v/>
      </c>
    </row>
    <row r="252" ht="14.1" customHeight="1" s="259">
      <c r="A252" s="183">
        <f>A251+1</f>
        <v/>
      </c>
      <c r="B252" s="204" t="n"/>
      <c r="C252" s="205" t="n"/>
      <c r="D252" s="204" t="n"/>
      <c r="E252" s="206" t="n"/>
      <c r="F252" s="206" t="n"/>
      <c r="G252" s="206" t="n"/>
      <c r="H252" s="206" t="n"/>
      <c r="I252" s="206" t="n"/>
      <c r="J252" s="206" t="n"/>
      <c r="K252" s="206" t="n"/>
      <c r="L252" s="206" t="n"/>
      <c r="M252" s="206" t="n"/>
      <c r="N252" s="206" t="n"/>
      <c r="O252" s="206" t="n"/>
      <c r="P252" s="206" t="n"/>
      <c r="Q252" s="206" t="n"/>
      <c r="R252" s="206" t="n"/>
      <c r="S252" s="206" t="n"/>
      <c r="T252" s="204">
        <f>SUM(F252:S252)</f>
        <v/>
      </c>
      <c r="U252" s="207">
        <f>(HLOOKUP(B252,F:T,A252,FALSE)/T252)</f>
        <v/>
      </c>
      <c r="V252" s="159" t="n"/>
      <c r="W252" s="163">
        <f>YEAR(C252)</f>
        <v/>
      </c>
      <c r="X252" s="116">
        <f>MONTH(C252)</f>
        <v/>
      </c>
      <c r="Y252" s="116">
        <f>WEEKNUM(C252,21)</f>
        <v/>
      </c>
      <c r="Z252" s="122" t="n"/>
      <c r="AA252" s="122" t="n"/>
      <c r="AB252" s="122" t="n"/>
      <c r="AC252" s="122" t="n"/>
      <c r="AD252" s="122" t="n"/>
      <c r="AE252" s="122">
        <f>IFERROR(K252/$T252,0)</f>
        <v/>
      </c>
      <c r="AF252" s="122">
        <f>IFERROR(L252/$T252,0)</f>
        <v/>
      </c>
      <c r="AG252" s="122" t="n"/>
      <c r="AH252" s="122" t="n"/>
      <c r="AI252" s="122" t="n"/>
      <c r="AJ252" s="122" t="n"/>
      <c r="AK252" s="122" t="n"/>
      <c r="AL252" s="122" t="n"/>
      <c r="AM252" s="122" t="n"/>
      <c r="AN252" s="122">
        <f>SUM(Z252:AC252)</f>
        <v/>
      </c>
      <c r="AO252" s="122">
        <f>SUM(AD252:AL252)</f>
        <v/>
      </c>
      <c r="AP252" s="122">
        <f>SUM(AM252,AB252)</f>
        <v/>
      </c>
      <c r="AQ252" s="122">
        <f>SUM(AA252)</f>
        <v/>
      </c>
      <c r="AR252" s="121">
        <f>(AP252+AQ252)-3%</f>
        <v/>
      </c>
      <c r="AS252" s="122">
        <f>SUM(AO252+AM252)</f>
        <v/>
      </c>
      <c r="AT252" s="122">
        <f>SUM(AH252+AN252)</f>
        <v/>
      </c>
      <c r="AU252" s="122">
        <f>SUM(AN252+AO252)</f>
        <v/>
      </c>
      <c r="AV252" s="122">
        <f>SUM(AN252+AD252+AE252+AF252+AG252+AH252+AJ252+AK252+AL252)</f>
        <v/>
      </c>
      <c r="AW252" s="122">
        <f>SUM(AD252+AE252+AF252+AG252+AI252+AJ252+AK252+AL252)</f>
        <v/>
      </c>
    </row>
    <row r="253" ht="14.1" customHeight="1" s="259">
      <c r="A253" s="183">
        <f>A252+1</f>
        <v/>
      </c>
      <c r="B253" s="204" t="n"/>
      <c r="C253" s="205" t="n"/>
      <c r="D253" s="204" t="n"/>
      <c r="E253" s="206" t="n"/>
      <c r="F253" s="206" t="n"/>
      <c r="G253" s="206" t="n"/>
      <c r="H253" s="206" t="n"/>
      <c r="I253" s="206" t="n"/>
      <c r="J253" s="206" t="n"/>
      <c r="K253" s="206" t="n"/>
      <c r="L253" s="206" t="n"/>
      <c r="M253" s="206" t="n"/>
      <c r="N253" s="206" t="n"/>
      <c r="O253" s="206" t="n"/>
      <c r="P253" s="206" t="n"/>
      <c r="Q253" s="206" t="n"/>
      <c r="R253" s="206" t="n"/>
      <c r="S253" s="206" t="n"/>
      <c r="T253" s="204">
        <f>SUM(F253:S253)</f>
        <v/>
      </c>
      <c r="U253" s="207">
        <f>(HLOOKUP(B253,F:T,A253,FALSE)/T253)</f>
        <v/>
      </c>
      <c r="V253" s="159" t="n"/>
      <c r="W253" s="163">
        <f>YEAR(C253)</f>
        <v/>
      </c>
      <c r="X253" s="116">
        <f>MONTH(C253)</f>
        <v/>
      </c>
      <c r="Y253" s="116">
        <f>WEEKNUM(C253,21)</f>
        <v/>
      </c>
      <c r="Z253" s="122" t="n"/>
      <c r="AA253" s="122" t="n"/>
      <c r="AB253" s="122" t="n"/>
      <c r="AC253" s="122" t="n"/>
      <c r="AD253" s="122" t="n"/>
      <c r="AE253" s="122">
        <f>IFERROR(K253/$T253,0)</f>
        <v/>
      </c>
      <c r="AF253" s="122">
        <f>IFERROR(L253/$T253,0)</f>
        <v/>
      </c>
      <c r="AG253" s="122" t="n"/>
      <c r="AH253" s="122" t="n"/>
      <c r="AI253" s="122" t="n"/>
      <c r="AJ253" s="122" t="n"/>
      <c r="AK253" s="122" t="n"/>
      <c r="AL253" s="122" t="n"/>
      <c r="AM253" s="122" t="n"/>
      <c r="AN253" s="122">
        <f>SUM(Z253:AC253)</f>
        <v/>
      </c>
      <c r="AO253" s="122">
        <f>SUM(AD253:AL253)</f>
        <v/>
      </c>
      <c r="AP253" s="122">
        <f>SUM(AM253,AB253)</f>
        <v/>
      </c>
      <c r="AQ253" s="122">
        <f>SUM(AA253)</f>
        <v/>
      </c>
      <c r="AR253" s="121">
        <f>(AP253+AQ253)-3%</f>
        <v/>
      </c>
      <c r="AS253" s="122">
        <f>SUM(AO253+AM253)</f>
        <v/>
      </c>
      <c r="AT253" s="122">
        <f>SUM(AH253+AN253)</f>
        <v/>
      </c>
      <c r="AU253" s="122">
        <f>SUM(AN253+AO253)</f>
        <v/>
      </c>
      <c r="AV253" s="122">
        <f>SUM(AN253+AD253+AE253+AF253+AG253+AH253+AJ253+AK253+AL253)</f>
        <v/>
      </c>
      <c r="AW253" s="122">
        <f>SUM(AD253+AE253+AF253+AG253+AI253+AJ253+AK253+AL253)</f>
        <v/>
      </c>
    </row>
    <row r="254" ht="14.1" customHeight="1" s="259">
      <c r="A254" s="183">
        <f>A253+1</f>
        <v/>
      </c>
      <c r="B254" s="204" t="n"/>
      <c r="C254" s="205" t="n"/>
      <c r="D254" s="204" t="n"/>
      <c r="E254" s="206" t="n"/>
      <c r="F254" s="206" t="n"/>
      <c r="G254" s="206" t="n"/>
      <c r="H254" s="206" t="n"/>
      <c r="I254" s="206" t="n"/>
      <c r="J254" s="206" t="n"/>
      <c r="K254" s="206" t="n"/>
      <c r="L254" s="206" t="n"/>
      <c r="M254" s="206" t="n"/>
      <c r="N254" s="206" t="n"/>
      <c r="O254" s="206" t="n"/>
      <c r="P254" s="206" t="n"/>
      <c r="Q254" s="206" t="n"/>
      <c r="R254" s="206" t="n"/>
      <c r="S254" s="206" t="n"/>
      <c r="T254" s="204">
        <f>SUM(F254:S254)</f>
        <v/>
      </c>
      <c r="U254" s="207">
        <f>(HLOOKUP(B254,F:T,A254,FALSE)/T254)</f>
        <v/>
      </c>
      <c r="V254" s="159" t="n"/>
      <c r="W254" s="163">
        <f>YEAR(C254)</f>
        <v/>
      </c>
      <c r="X254" s="116">
        <f>MONTH(C254)</f>
        <v/>
      </c>
      <c r="Y254" s="116">
        <f>WEEKNUM(C254,21)</f>
        <v/>
      </c>
      <c r="Z254" s="122" t="n"/>
      <c r="AA254" s="122" t="n"/>
      <c r="AB254" s="122" t="n"/>
      <c r="AC254" s="122" t="n"/>
      <c r="AD254" s="122" t="n"/>
      <c r="AE254" s="122">
        <f>IFERROR(K254/$T254,0)</f>
        <v/>
      </c>
      <c r="AF254" s="122">
        <f>IFERROR(L254/$T254,0)</f>
        <v/>
      </c>
      <c r="AG254" s="122" t="n"/>
      <c r="AH254" s="122" t="n"/>
      <c r="AI254" s="122" t="n"/>
      <c r="AJ254" s="122" t="n"/>
      <c r="AK254" s="122" t="n"/>
      <c r="AL254" s="122" t="n"/>
      <c r="AM254" s="122" t="n"/>
      <c r="AN254" s="122">
        <f>SUM(Z254:AC254)</f>
        <v/>
      </c>
      <c r="AO254" s="122">
        <f>SUM(AD254:AL254)</f>
        <v/>
      </c>
      <c r="AP254" s="122">
        <f>SUM(AM254,AB254)</f>
        <v/>
      </c>
      <c r="AQ254" s="122">
        <f>SUM(AA254)</f>
        <v/>
      </c>
      <c r="AR254" s="121">
        <f>(AP254+AQ254)-3%</f>
        <v/>
      </c>
      <c r="AS254" s="122">
        <f>SUM(AO254+AM254)</f>
        <v/>
      </c>
      <c r="AT254" s="122">
        <f>SUM(AH254+AN254)</f>
        <v/>
      </c>
      <c r="AU254" s="122">
        <f>SUM(AN254+AO254)</f>
        <v/>
      </c>
      <c r="AV254" s="122">
        <f>SUM(AN254+AD254+AE254+AF254+AG254+AH254+AJ254+AK254+AL254)</f>
        <v/>
      </c>
      <c r="AW254" s="122">
        <f>SUM(AD254+AE254+AF254+AG254+AI254+AJ254+AK254+AL254)</f>
        <v/>
      </c>
    </row>
    <row r="255" ht="14.1" customHeight="1" s="259">
      <c r="A255" s="183">
        <f>A254+1</f>
        <v/>
      </c>
      <c r="B255" s="204" t="n"/>
      <c r="C255" s="205" t="n"/>
      <c r="D255" s="204" t="n"/>
      <c r="E255" s="206" t="n"/>
      <c r="F255" s="206" t="n"/>
      <c r="G255" s="206" t="n"/>
      <c r="H255" s="206" t="n"/>
      <c r="I255" s="206" t="n"/>
      <c r="J255" s="206" t="n"/>
      <c r="K255" s="206" t="n"/>
      <c r="L255" s="206" t="n"/>
      <c r="M255" s="206" t="n"/>
      <c r="N255" s="206" t="n"/>
      <c r="O255" s="206" t="n"/>
      <c r="P255" s="206" t="n"/>
      <c r="Q255" s="206" t="n"/>
      <c r="R255" s="206" t="n"/>
      <c r="S255" s="206" t="n"/>
      <c r="T255" s="204">
        <f>SUM(F255:S255)</f>
        <v/>
      </c>
      <c r="U255" s="207">
        <f>(HLOOKUP(B255,F:T,A255,FALSE)/T255)</f>
        <v/>
      </c>
      <c r="V255" s="159" t="n"/>
      <c r="W255" s="163">
        <f>YEAR(C255)</f>
        <v/>
      </c>
      <c r="X255" s="116">
        <f>MONTH(C255)</f>
        <v/>
      </c>
      <c r="Y255" s="116">
        <f>WEEKNUM(C255,21)</f>
        <v/>
      </c>
      <c r="Z255" s="122" t="n"/>
      <c r="AA255" s="122" t="n"/>
      <c r="AB255" s="122" t="n"/>
      <c r="AC255" s="122" t="n"/>
      <c r="AD255" s="122" t="n"/>
      <c r="AE255" s="122">
        <f>IFERROR(K255/$T255,0)</f>
        <v/>
      </c>
      <c r="AF255" s="122">
        <f>IFERROR(L255/$T255,0)</f>
        <v/>
      </c>
      <c r="AG255" s="122" t="n"/>
      <c r="AH255" s="122" t="n"/>
      <c r="AI255" s="122" t="n"/>
      <c r="AJ255" s="122" t="n"/>
      <c r="AK255" s="122" t="n"/>
      <c r="AL255" s="122" t="n"/>
      <c r="AM255" s="122" t="n"/>
      <c r="AN255" s="122">
        <f>SUM(Z255:AC255)</f>
        <v/>
      </c>
      <c r="AO255" s="122">
        <f>SUM(AD255:AL255)</f>
        <v/>
      </c>
      <c r="AP255" s="122">
        <f>SUM(AM255,AB255)</f>
        <v/>
      </c>
      <c r="AQ255" s="122">
        <f>SUM(AA255)</f>
        <v/>
      </c>
      <c r="AR255" s="121">
        <f>(AP255+AQ255)-3%</f>
        <v/>
      </c>
      <c r="AS255" s="122">
        <f>SUM(AO255+AM255)</f>
        <v/>
      </c>
      <c r="AT255" s="122">
        <f>SUM(AH255+AN255)</f>
        <v/>
      </c>
      <c r="AU255" s="122">
        <f>SUM(AN255+AO255)</f>
        <v/>
      </c>
      <c r="AV255" s="122">
        <f>SUM(AN255+AD255+AE255+AF255+AG255+AH255+AJ255+AK255+AL255)</f>
        <v/>
      </c>
      <c r="AW255" s="122">
        <f>SUM(AD255+AE255+AF255+AG255+AI255+AJ255+AK255+AL255)</f>
        <v/>
      </c>
    </row>
    <row r="256" ht="14.1" customHeight="1" s="259">
      <c r="A256" s="183">
        <f>A255+1</f>
        <v/>
      </c>
      <c r="B256" s="204" t="n"/>
      <c r="C256" s="205" t="n"/>
      <c r="D256" s="204" t="n"/>
      <c r="E256" s="206" t="n"/>
      <c r="F256" s="206" t="n"/>
      <c r="G256" s="206" t="n"/>
      <c r="H256" s="206" t="n"/>
      <c r="I256" s="206" t="n"/>
      <c r="J256" s="206" t="n"/>
      <c r="K256" s="206" t="n"/>
      <c r="L256" s="206" t="n"/>
      <c r="M256" s="206" t="n"/>
      <c r="N256" s="206" t="n"/>
      <c r="O256" s="206" t="n"/>
      <c r="P256" s="206" t="n"/>
      <c r="Q256" s="206" t="n"/>
      <c r="R256" s="206" t="n"/>
      <c r="S256" s="206" t="n"/>
      <c r="T256" s="204">
        <f>SUM(F256:S256)</f>
        <v/>
      </c>
      <c r="U256" s="207">
        <f>(HLOOKUP(B256,F:T,A256,FALSE)/T256)</f>
        <v/>
      </c>
      <c r="V256" s="159" t="n"/>
      <c r="W256" s="163">
        <f>YEAR(C256)</f>
        <v/>
      </c>
      <c r="X256" s="116">
        <f>MONTH(C256)</f>
        <v/>
      </c>
      <c r="Y256" s="116">
        <f>WEEKNUM(C256,21)</f>
        <v/>
      </c>
      <c r="Z256" s="122" t="n"/>
      <c r="AA256" s="122" t="n"/>
      <c r="AB256" s="122" t="n"/>
      <c r="AC256" s="122" t="n"/>
      <c r="AD256" s="122" t="n"/>
      <c r="AE256" s="122">
        <f>IFERROR(K256/$T256,0)</f>
        <v/>
      </c>
      <c r="AF256" s="122">
        <f>IFERROR(L256/$T256,0)</f>
        <v/>
      </c>
      <c r="AG256" s="122" t="n"/>
      <c r="AH256" s="122" t="n"/>
      <c r="AI256" s="122" t="n"/>
      <c r="AJ256" s="122" t="n"/>
      <c r="AK256" s="122" t="n"/>
      <c r="AL256" s="122" t="n"/>
      <c r="AM256" s="122" t="n"/>
      <c r="AN256" s="122">
        <f>SUM(Z256:AC256)</f>
        <v/>
      </c>
      <c r="AO256" s="122">
        <f>SUM(AD256:AL256)</f>
        <v/>
      </c>
      <c r="AP256" s="122">
        <f>SUM(AM256,AB256)</f>
        <v/>
      </c>
      <c r="AQ256" s="122">
        <f>SUM(AA256)</f>
        <v/>
      </c>
      <c r="AR256" s="121">
        <f>(AP256+AQ256)-3%</f>
        <v/>
      </c>
      <c r="AS256" s="122">
        <f>SUM(AO256+AM256)</f>
        <v/>
      </c>
      <c r="AT256" s="122">
        <f>SUM(AH256+AN256)</f>
        <v/>
      </c>
      <c r="AU256" s="122">
        <f>SUM(AN256+AO256)</f>
        <v/>
      </c>
      <c r="AV256" s="122">
        <f>SUM(AN256+AD256+AE256+AF256+AG256+AH256+AJ256+AK256+AL256)</f>
        <v/>
      </c>
      <c r="AW256" s="122">
        <f>SUM(AD256+AE256+AF256+AG256+AI256+AJ256+AK256+AL256)</f>
        <v/>
      </c>
    </row>
    <row r="257" ht="14.1" customHeight="1" s="259">
      <c r="A257" s="183">
        <f>A256+1</f>
        <v/>
      </c>
      <c r="B257" s="204" t="n"/>
      <c r="C257" s="205" t="n"/>
      <c r="D257" s="204" t="n"/>
      <c r="E257" s="206" t="n"/>
      <c r="F257" s="206" t="n"/>
      <c r="G257" s="206" t="n"/>
      <c r="H257" s="206" t="n"/>
      <c r="I257" s="206" t="n"/>
      <c r="J257" s="206" t="n"/>
      <c r="K257" s="206" t="n"/>
      <c r="L257" s="206" t="n"/>
      <c r="M257" s="206" t="n"/>
      <c r="N257" s="206" t="n"/>
      <c r="O257" s="206" t="n"/>
      <c r="P257" s="206" t="n"/>
      <c r="Q257" s="206" t="n"/>
      <c r="R257" s="206" t="n"/>
      <c r="S257" s="206" t="n"/>
      <c r="T257" s="204">
        <f>SUM(F257:S257)</f>
        <v/>
      </c>
      <c r="U257" s="207">
        <f>(HLOOKUP(B257,F:T,A257,FALSE)/T257)</f>
        <v/>
      </c>
      <c r="V257" s="159" t="n"/>
      <c r="W257" s="163">
        <f>YEAR(C257)</f>
        <v/>
      </c>
      <c r="X257" s="116">
        <f>MONTH(C257)</f>
        <v/>
      </c>
      <c r="Y257" s="116">
        <f>WEEKNUM(C257,21)</f>
        <v/>
      </c>
      <c r="Z257" s="122" t="n"/>
      <c r="AA257" s="122" t="n"/>
      <c r="AB257" s="122" t="n"/>
      <c r="AC257" s="122" t="n"/>
      <c r="AD257" s="122" t="n"/>
      <c r="AE257" s="122">
        <f>IFERROR(K257/$T257,0)</f>
        <v/>
      </c>
      <c r="AF257" s="122">
        <f>IFERROR(L257/$T257,0)</f>
        <v/>
      </c>
      <c r="AG257" s="122" t="n"/>
      <c r="AH257" s="122" t="n"/>
      <c r="AI257" s="122" t="n"/>
      <c r="AJ257" s="122" t="n"/>
      <c r="AK257" s="122" t="n"/>
      <c r="AL257" s="122" t="n"/>
      <c r="AM257" s="122" t="n"/>
      <c r="AN257" s="122">
        <f>SUM(Z257:AC257)</f>
        <v/>
      </c>
      <c r="AO257" s="122">
        <f>SUM(AD257:AL257)</f>
        <v/>
      </c>
      <c r="AP257" s="122">
        <f>SUM(AM257,AB257)</f>
        <v/>
      </c>
      <c r="AQ257" s="122">
        <f>SUM(AA257)</f>
        <v/>
      </c>
      <c r="AR257" s="121">
        <f>(AP257+AQ257)-3%</f>
        <v/>
      </c>
      <c r="AS257" s="122">
        <f>SUM(AO257+AM257)</f>
        <v/>
      </c>
      <c r="AT257" s="122">
        <f>SUM(AH257+AN257)</f>
        <v/>
      </c>
      <c r="AU257" s="122">
        <f>SUM(AN257+AO257)</f>
        <v/>
      </c>
      <c r="AV257" s="122">
        <f>SUM(AN257+AD257+AE257+AF257+AG257+AH257+AJ257+AK257+AL257)</f>
        <v/>
      </c>
      <c r="AW257" s="122">
        <f>SUM(AD257+AE257+AF257+AG257+AI257+AJ257+AK257+AL257)</f>
        <v/>
      </c>
    </row>
    <row r="258" ht="14.1" customHeight="1" s="259">
      <c r="A258" s="183">
        <f>A257+1</f>
        <v/>
      </c>
      <c r="B258" s="204" t="n"/>
      <c r="C258" s="205" t="n"/>
      <c r="D258" s="204" t="n"/>
      <c r="E258" s="206" t="n"/>
      <c r="F258" s="206" t="n"/>
      <c r="G258" s="206" t="n"/>
      <c r="H258" s="206" t="n"/>
      <c r="I258" s="206" t="n"/>
      <c r="J258" s="206" t="n"/>
      <c r="K258" s="206" t="n"/>
      <c r="L258" s="206" t="n"/>
      <c r="M258" s="206" t="n"/>
      <c r="N258" s="206" t="n"/>
      <c r="O258" s="206" t="n"/>
      <c r="P258" s="206" t="n"/>
      <c r="Q258" s="206" t="n"/>
      <c r="R258" s="206" t="n"/>
      <c r="S258" s="206" t="n"/>
      <c r="T258" s="204">
        <f>SUM(F258:S258)</f>
        <v/>
      </c>
      <c r="U258" s="207">
        <f>(HLOOKUP(B258,F:T,A258,FALSE)/T258)</f>
        <v/>
      </c>
      <c r="V258" s="159" t="n"/>
      <c r="W258" s="163">
        <f>YEAR(C258)</f>
        <v/>
      </c>
      <c r="X258" s="116">
        <f>MONTH(C258)</f>
        <v/>
      </c>
      <c r="Y258" s="116">
        <f>WEEKNUM(C258,21)</f>
        <v/>
      </c>
      <c r="Z258" s="122" t="n"/>
      <c r="AA258" s="122" t="n"/>
      <c r="AB258" s="122" t="n"/>
      <c r="AC258" s="122" t="n"/>
      <c r="AD258" s="122" t="n"/>
      <c r="AE258" s="122">
        <f>IFERROR(K258/$T258,0)</f>
        <v/>
      </c>
      <c r="AF258" s="122">
        <f>IFERROR(L258/$T258,0)</f>
        <v/>
      </c>
      <c r="AG258" s="122" t="n"/>
      <c r="AH258" s="122" t="n"/>
      <c r="AI258" s="122" t="n"/>
      <c r="AJ258" s="122" t="n"/>
      <c r="AK258" s="122" t="n"/>
      <c r="AL258" s="122" t="n"/>
      <c r="AM258" s="122" t="n"/>
      <c r="AN258" s="122">
        <f>SUM(Z258:AC258)</f>
        <v/>
      </c>
      <c r="AO258" s="122">
        <f>SUM(AD258:AL258)</f>
        <v/>
      </c>
      <c r="AP258" s="122">
        <f>SUM(AM258,AB258)</f>
        <v/>
      </c>
      <c r="AQ258" s="122">
        <f>SUM(AA258)</f>
        <v/>
      </c>
      <c r="AR258" s="121">
        <f>(AP258+AQ258)-3%</f>
        <v/>
      </c>
      <c r="AS258" s="122">
        <f>SUM(AO258+AM258)</f>
        <v/>
      </c>
      <c r="AT258" s="122">
        <f>SUM(AH258+AN258)</f>
        <v/>
      </c>
      <c r="AU258" s="122">
        <f>SUM(AN258+AO258)</f>
        <v/>
      </c>
      <c r="AV258" s="122">
        <f>SUM(AN258+AD258+AE258+AF258+AG258+AH258+AJ258+AK258+AL258)</f>
        <v/>
      </c>
      <c r="AW258" s="122">
        <f>SUM(AD258+AE258+AF258+AG258+AI258+AJ258+AK258+AL258)</f>
        <v/>
      </c>
    </row>
    <row r="259" ht="14.1" customHeight="1" s="259">
      <c r="A259" s="183">
        <f>A258+1</f>
        <v/>
      </c>
      <c r="B259" s="199" t="n"/>
      <c r="C259" s="200" t="n"/>
      <c r="D259" s="199" t="n"/>
      <c r="E259" s="201" t="n"/>
      <c r="F259" s="201" t="n"/>
      <c r="G259" s="201" t="n"/>
      <c r="H259" s="201" t="n"/>
      <c r="I259" s="201" t="n"/>
      <c r="J259" s="201" t="n"/>
      <c r="K259" s="201" t="n"/>
      <c r="L259" s="201" t="n"/>
      <c r="M259" s="201" t="n"/>
      <c r="N259" s="201" t="n"/>
      <c r="O259" s="201" t="n"/>
      <c r="P259" s="201" t="n"/>
      <c r="Q259" s="201" t="n"/>
      <c r="R259" s="201" t="n"/>
      <c r="S259" s="201" t="n"/>
      <c r="T259" s="199">
        <f>SUM(F259:S259)</f>
        <v/>
      </c>
      <c r="U259" s="202">
        <f>(HLOOKUP(B259,F:T,A259,FALSE)/T259)</f>
        <v/>
      </c>
      <c r="V259" s="159" t="n"/>
      <c r="W259" s="163">
        <f>YEAR(C259)</f>
        <v/>
      </c>
      <c r="X259" s="116">
        <f>MONTH(C259)</f>
        <v/>
      </c>
      <c r="Y259" s="116">
        <f>WEEKNUM(C259,21)</f>
        <v/>
      </c>
      <c r="Z259" s="122" t="n"/>
      <c r="AA259" s="122" t="n"/>
      <c r="AB259" s="122" t="n"/>
      <c r="AC259" s="122" t="n"/>
      <c r="AD259" s="122" t="n"/>
      <c r="AE259" s="122">
        <f>IFERROR(K259/$T259,0)</f>
        <v/>
      </c>
      <c r="AF259" s="122">
        <f>IFERROR(L259/$T259,0)</f>
        <v/>
      </c>
      <c r="AG259" s="122" t="n"/>
      <c r="AH259" s="122" t="n"/>
      <c r="AI259" s="122" t="n"/>
      <c r="AJ259" s="122" t="n"/>
      <c r="AK259" s="122" t="n"/>
      <c r="AL259" s="122" t="n"/>
      <c r="AM259" s="122" t="n"/>
      <c r="AN259" s="122">
        <f>SUM(Z259:AC259)</f>
        <v/>
      </c>
      <c r="AO259" s="122">
        <f>SUM(AD259:AL259)</f>
        <v/>
      </c>
      <c r="AP259" s="122">
        <f>SUM(AM259,AB259)</f>
        <v/>
      </c>
      <c r="AQ259" s="122">
        <f>SUM(AA259)</f>
        <v/>
      </c>
      <c r="AR259" s="121">
        <f>(AP259+AQ259)-3%</f>
        <v/>
      </c>
      <c r="AS259" s="122">
        <f>SUM(AO259+AM259)</f>
        <v/>
      </c>
      <c r="AT259" s="122">
        <f>SUM(AH259+AN259)</f>
        <v/>
      </c>
      <c r="AU259" s="122">
        <f>SUM(AN259+AO259)</f>
        <v/>
      </c>
      <c r="AV259" s="122">
        <f>SUM(AN259+AD259+AE259+AF259+AG259+AH259+AJ259+AK259+AL259)</f>
        <v/>
      </c>
      <c r="AW259" s="122">
        <f>SUM(AD259+AE259+AF259+AG259+AI259+AJ259+AK259+AL259)</f>
        <v/>
      </c>
    </row>
    <row r="260" ht="14.1" customHeight="1" s="259">
      <c r="A260" s="183">
        <f>A259+1</f>
        <v/>
      </c>
      <c r="B260" s="199" t="n"/>
      <c r="C260" s="200" t="n"/>
      <c r="D260" s="199" t="n"/>
      <c r="E260" s="201" t="n"/>
      <c r="F260" s="201" t="n"/>
      <c r="G260" s="201" t="n"/>
      <c r="H260" s="201" t="n"/>
      <c r="I260" s="201" t="n"/>
      <c r="J260" s="201" t="n"/>
      <c r="K260" s="201" t="n"/>
      <c r="L260" s="201" t="n"/>
      <c r="M260" s="201" t="n"/>
      <c r="N260" s="201" t="n"/>
      <c r="O260" s="201" t="n"/>
      <c r="P260" s="201" t="n"/>
      <c r="Q260" s="201" t="n"/>
      <c r="R260" s="201" t="n"/>
      <c r="S260" s="201" t="n"/>
      <c r="T260" s="199">
        <f>SUM(F260:S260)</f>
        <v/>
      </c>
      <c r="U260" s="202">
        <f>(HLOOKUP(B260,F:T,A260,FALSE)/T260)</f>
        <v/>
      </c>
      <c r="V260" s="159" t="n"/>
      <c r="W260" s="163">
        <f>YEAR(C260)</f>
        <v/>
      </c>
      <c r="X260" s="116">
        <f>MONTH(C260)</f>
        <v/>
      </c>
      <c r="Y260" s="116">
        <f>WEEKNUM(C260,21)</f>
        <v/>
      </c>
      <c r="Z260" s="122" t="n"/>
      <c r="AA260" s="122" t="n"/>
      <c r="AB260" s="122" t="n"/>
      <c r="AC260" s="122" t="n"/>
      <c r="AD260" s="122" t="n"/>
      <c r="AE260" s="122">
        <f>IFERROR(K260/$T260,0)</f>
        <v/>
      </c>
      <c r="AF260" s="122">
        <f>IFERROR(L260/$T260,0)</f>
        <v/>
      </c>
      <c r="AG260" s="122" t="n"/>
      <c r="AH260" s="122" t="n"/>
      <c r="AI260" s="122" t="n"/>
      <c r="AJ260" s="122" t="n"/>
      <c r="AK260" s="122" t="n"/>
      <c r="AL260" s="122" t="n"/>
      <c r="AM260" s="122" t="n"/>
      <c r="AN260" s="122">
        <f>SUM(Z260:AC260)</f>
        <v/>
      </c>
      <c r="AO260" s="122">
        <f>SUM(AD260:AL260)</f>
        <v/>
      </c>
      <c r="AP260" s="122">
        <f>SUM(AM260,AB260)</f>
        <v/>
      </c>
      <c r="AQ260" s="122">
        <f>SUM(AA260)</f>
        <v/>
      </c>
      <c r="AR260" s="121">
        <f>(AP260+AQ260)-3%</f>
        <v/>
      </c>
      <c r="AS260" s="122">
        <f>SUM(AO260+AM260)</f>
        <v/>
      </c>
      <c r="AT260" s="122">
        <f>SUM(AH260+AN260)</f>
        <v/>
      </c>
      <c r="AU260" s="122">
        <f>SUM(AN260+AO260)</f>
        <v/>
      </c>
      <c r="AV260" s="122">
        <f>SUM(AN260+AD260+AE260+AF260+AG260+AH260+AJ260+AK260+AL260)</f>
        <v/>
      </c>
      <c r="AW260" s="122">
        <f>SUM(AD260+AE260+AF260+AG260+AI260+AJ260+AK260+AL260)</f>
        <v/>
      </c>
    </row>
    <row r="261" ht="14.1" customHeight="1" s="259">
      <c r="A261" s="183">
        <f>A260+1</f>
        <v/>
      </c>
      <c r="B261" s="204" t="n"/>
      <c r="C261" s="205" t="n"/>
      <c r="D261" s="204" t="n"/>
      <c r="E261" s="206" t="n"/>
      <c r="F261" s="206" t="n"/>
      <c r="G261" s="206" t="n"/>
      <c r="H261" s="206" t="n"/>
      <c r="I261" s="206" t="n"/>
      <c r="J261" s="206" t="n"/>
      <c r="K261" s="206" t="n"/>
      <c r="L261" s="206" t="n"/>
      <c r="M261" s="206" t="n"/>
      <c r="N261" s="206" t="n"/>
      <c r="O261" s="206" t="n"/>
      <c r="P261" s="206" t="n"/>
      <c r="Q261" s="206" t="n"/>
      <c r="R261" s="206" t="n"/>
      <c r="S261" s="206" t="n"/>
      <c r="T261" s="204">
        <f>SUM(F261:S261)</f>
        <v/>
      </c>
      <c r="U261" s="207">
        <f>(HLOOKUP(B261,F:T,A261,FALSE)/T261)</f>
        <v/>
      </c>
      <c r="V261" s="159" t="n"/>
      <c r="W261" s="163">
        <f>YEAR(C261)</f>
        <v/>
      </c>
      <c r="X261" s="116">
        <f>MONTH(C261)</f>
        <v/>
      </c>
      <c r="Y261" s="116">
        <f>WEEKNUM(C261,21)</f>
        <v/>
      </c>
      <c r="Z261" s="122" t="n"/>
      <c r="AA261" s="122" t="n"/>
      <c r="AB261" s="122" t="n"/>
      <c r="AC261" s="122" t="n"/>
      <c r="AD261" s="122" t="n"/>
      <c r="AE261" s="122">
        <f>IFERROR(K261/$T261,0)</f>
        <v/>
      </c>
      <c r="AF261" s="122">
        <f>IFERROR(L261/$T261,0)</f>
        <v/>
      </c>
      <c r="AG261" s="122" t="n"/>
      <c r="AH261" s="122" t="n"/>
      <c r="AI261" s="122" t="n"/>
      <c r="AJ261" s="122" t="n"/>
      <c r="AK261" s="122" t="n"/>
      <c r="AL261" s="122" t="n"/>
      <c r="AM261" s="122" t="n"/>
      <c r="AN261" s="122">
        <f>SUM(Z261:AC261)</f>
        <v/>
      </c>
      <c r="AO261" s="122">
        <f>SUM(AD261:AL261)</f>
        <v/>
      </c>
      <c r="AP261" s="122">
        <f>SUM(AM261,AB261)</f>
        <v/>
      </c>
      <c r="AQ261" s="122">
        <f>SUM(AA261)</f>
        <v/>
      </c>
      <c r="AR261" s="121">
        <f>(AP261+AQ261)-3%</f>
        <v/>
      </c>
      <c r="AS261" s="122">
        <f>SUM(AO261+AM261)</f>
        <v/>
      </c>
      <c r="AT261" s="122">
        <f>SUM(AH261+AN261)</f>
        <v/>
      </c>
      <c r="AU261" s="122">
        <f>SUM(AN261+AO261)</f>
        <v/>
      </c>
      <c r="AV261" s="122">
        <f>SUM(AN261+AD261+AE261+AF261+AG261+AH261+AJ261+AK261+AL261)</f>
        <v/>
      </c>
      <c r="AW261" s="122">
        <f>SUM(AD261+AE261+AF261+AG261+AI261+AJ261+AK261+AL261)</f>
        <v/>
      </c>
    </row>
    <row r="262" ht="14.1" customHeight="1" s="259">
      <c r="A262" s="183">
        <f>A261+1</f>
        <v/>
      </c>
      <c r="B262" s="204" t="n"/>
      <c r="C262" s="205" t="n"/>
      <c r="D262" s="204" t="n"/>
      <c r="E262" s="206" t="n"/>
      <c r="F262" s="206" t="n"/>
      <c r="G262" s="206" t="n"/>
      <c r="H262" s="206" t="n"/>
      <c r="I262" s="206" t="n"/>
      <c r="J262" s="206" t="n"/>
      <c r="K262" s="206" t="n"/>
      <c r="L262" s="206" t="n"/>
      <c r="M262" s="206" t="n"/>
      <c r="N262" s="206" t="n"/>
      <c r="O262" s="206" t="n"/>
      <c r="P262" s="206" t="n"/>
      <c r="Q262" s="206" t="n"/>
      <c r="R262" s="206" t="n"/>
      <c r="S262" s="206" t="n"/>
      <c r="T262" s="204">
        <f>SUM(F262:S262)</f>
        <v/>
      </c>
      <c r="U262" s="207">
        <f>(HLOOKUP(B262,F:T,A262,FALSE)/T262)</f>
        <v/>
      </c>
      <c r="V262" s="159" t="n"/>
      <c r="W262" s="163">
        <f>YEAR(C262)</f>
        <v/>
      </c>
      <c r="X262" s="116">
        <f>MONTH(C262)</f>
        <v/>
      </c>
      <c r="Y262" s="116">
        <f>WEEKNUM(C262,21)</f>
        <v/>
      </c>
      <c r="Z262" s="122" t="n"/>
      <c r="AA262" s="122" t="n"/>
      <c r="AB262" s="122" t="n"/>
      <c r="AC262" s="122" t="n"/>
      <c r="AD262" s="122" t="n"/>
      <c r="AE262" s="122">
        <f>IFERROR(K262/$T262,0)</f>
        <v/>
      </c>
      <c r="AF262" s="122">
        <f>IFERROR(L262/$T262,0)</f>
        <v/>
      </c>
      <c r="AG262" s="122" t="n"/>
      <c r="AH262" s="122" t="n"/>
      <c r="AI262" s="122" t="n"/>
      <c r="AJ262" s="122" t="n"/>
      <c r="AK262" s="122" t="n"/>
      <c r="AL262" s="122" t="n"/>
      <c r="AM262" s="122" t="n"/>
      <c r="AN262" s="122">
        <f>SUM(Z262:AC262)</f>
        <v/>
      </c>
      <c r="AO262" s="122">
        <f>SUM(AD262:AL262)</f>
        <v/>
      </c>
      <c r="AP262" s="122">
        <f>SUM(AM262,AB262)</f>
        <v/>
      </c>
      <c r="AQ262" s="122">
        <f>SUM(AA262)</f>
        <v/>
      </c>
      <c r="AR262" s="121">
        <f>(AP262+AQ262)-3%</f>
        <v/>
      </c>
      <c r="AS262" s="122">
        <f>SUM(AO262+AM262)</f>
        <v/>
      </c>
      <c r="AT262" s="122">
        <f>SUM(AH262+AN262)</f>
        <v/>
      </c>
      <c r="AU262" s="122">
        <f>SUM(AN262+AO262)</f>
        <v/>
      </c>
      <c r="AV262" s="122">
        <f>SUM(AN262+AD262+AE262+AF262+AG262+AH262+AJ262+AK262+AL262)</f>
        <v/>
      </c>
      <c r="AW262" s="122">
        <f>SUM(AD262+AE262+AF262+AG262+AI262+AJ262+AK262+AL262)</f>
        <v/>
      </c>
    </row>
    <row r="263" ht="14.1" customHeight="1" s="259">
      <c r="A263" s="183">
        <f>A262+1</f>
        <v/>
      </c>
      <c r="B263" s="204" t="n"/>
      <c r="C263" s="205" t="n"/>
      <c r="D263" s="204" t="n"/>
      <c r="E263" s="206" t="n"/>
      <c r="F263" s="206" t="n"/>
      <c r="G263" s="206" t="n"/>
      <c r="H263" s="206" t="n"/>
      <c r="I263" s="206" t="n"/>
      <c r="J263" s="206" t="n"/>
      <c r="K263" s="206" t="n"/>
      <c r="L263" s="206" t="n"/>
      <c r="M263" s="206" t="n"/>
      <c r="N263" s="206" t="n"/>
      <c r="O263" s="206" t="n"/>
      <c r="P263" s="206" t="n"/>
      <c r="Q263" s="206" t="n"/>
      <c r="R263" s="206" t="n"/>
      <c r="S263" s="206" t="n"/>
      <c r="T263" s="204">
        <f>SUM(F263:S263)</f>
        <v/>
      </c>
      <c r="U263" s="207">
        <f>(HLOOKUP(B263,F:T,A263,FALSE)/T263)</f>
        <v/>
      </c>
      <c r="V263" s="159" t="n"/>
      <c r="W263" s="163">
        <f>YEAR(C263)</f>
        <v/>
      </c>
      <c r="X263" s="116">
        <f>MONTH(C263)</f>
        <v/>
      </c>
      <c r="Y263" s="116">
        <f>WEEKNUM(C263,21)</f>
        <v/>
      </c>
      <c r="Z263" s="122" t="n"/>
      <c r="AA263" s="122" t="n"/>
      <c r="AB263" s="122" t="n"/>
      <c r="AC263" s="122" t="n"/>
      <c r="AD263" s="122" t="n"/>
      <c r="AE263" s="122">
        <f>IFERROR(K263/$T263,0)</f>
        <v/>
      </c>
      <c r="AF263" s="122">
        <f>IFERROR(L263/$T263,0)</f>
        <v/>
      </c>
      <c r="AG263" s="122" t="n"/>
      <c r="AH263" s="122" t="n"/>
      <c r="AI263" s="122" t="n"/>
      <c r="AJ263" s="122" t="n"/>
      <c r="AK263" s="122" t="n"/>
      <c r="AL263" s="122" t="n"/>
      <c r="AM263" s="122" t="n"/>
      <c r="AN263" s="122">
        <f>SUM(Z263:AC263)</f>
        <v/>
      </c>
      <c r="AO263" s="122">
        <f>SUM(AD263:AL263)</f>
        <v/>
      </c>
      <c r="AP263" s="122">
        <f>SUM(AM263,AB263)</f>
        <v/>
      </c>
      <c r="AQ263" s="122">
        <f>SUM(AA263)</f>
        <v/>
      </c>
      <c r="AR263" s="121">
        <f>(AP263+AQ263)-3%</f>
        <v/>
      </c>
      <c r="AS263" s="122">
        <f>SUM(AO263+AM263)</f>
        <v/>
      </c>
      <c r="AT263" s="122">
        <f>SUM(AH263+AN263)</f>
        <v/>
      </c>
      <c r="AU263" s="122">
        <f>SUM(AN263+AO263)</f>
        <v/>
      </c>
      <c r="AV263" s="122">
        <f>SUM(AN263+AD263+AE263+AF263+AG263+AH263+AJ263+AK263+AL263)</f>
        <v/>
      </c>
      <c r="AW263" s="122">
        <f>SUM(AD263+AE263+AF263+AG263+AI263+AJ263+AK263+AL263)</f>
        <v/>
      </c>
    </row>
    <row r="264" ht="14.1" customHeight="1" s="259">
      <c r="A264" s="183">
        <f>A263+1</f>
        <v/>
      </c>
      <c r="B264" s="204" t="n"/>
      <c r="C264" s="205" t="n"/>
      <c r="D264" s="204" t="n"/>
      <c r="E264" s="206" t="n"/>
      <c r="F264" s="206" t="n"/>
      <c r="G264" s="206" t="n"/>
      <c r="H264" s="206" t="n"/>
      <c r="I264" s="206" t="n"/>
      <c r="J264" s="206" t="n"/>
      <c r="K264" s="206" t="n"/>
      <c r="L264" s="206" t="n"/>
      <c r="M264" s="206" t="n"/>
      <c r="N264" s="206" t="n"/>
      <c r="O264" s="206" t="n"/>
      <c r="P264" s="206" t="n"/>
      <c r="Q264" s="206" t="n"/>
      <c r="R264" s="206" t="n"/>
      <c r="S264" s="206" t="n"/>
      <c r="T264" s="204">
        <f>SUM(F264:S264)</f>
        <v/>
      </c>
      <c r="U264" s="207">
        <f>(HLOOKUP(B264,F:T,A264,FALSE)/T264)</f>
        <v/>
      </c>
      <c r="V264" s="159" t="n"/>
      <c r="W264" s="163">
        <f>YEAR(C264)</f>
        <v/>
      </c>
      <c r="X264" s="116">
        <f>MONTH(C264)</f>
        <v/>
      </c>
      <c r="Y264" s="116">
        <f>WEEKNUM(C264,21)</f>
        <v/>
      </c>
      <c r="Z264" s="122" t="n"/>
      <c r="AA264" s="122" t="n"/>
      <c r="AB264" s="122" t="n"/>
      <c r="AC264" s="122" t="n"/>
      <c r="AD264" s="122" t="n"/>
      <c r="AE264" s="122">
        <f>IFERROR(K264/$T264,0)</f>
        <v/>
      </c>
      <c r="AF264" s="122">
        <f>IFERROR(L264/$T264,0)</f>
        <v/>
      </c>
      <c r="AG264" s="122" t="n"/>
      <c r="AH264" s="122" t="n"/>
      <c r="AI264" s="122" t="n"/>
      <c r="AJ264" s="122" t="n"/>
      <c r="AK264" s="122" t="n"/>
      <c r="AL264" s="122" t="n"/>
      <c r="AM264" s="122" t="n"/>
      <c r="AN264" s="122">
        <f>SUM(Z264:AC264)</f>
        <v/>
      </c>
      <c r="AO264" s="122">
        <f>SUM(AD264:AL264)</f>
        <v/>
      </c>
      <c r="AP264" s="122">
        <f>SUM(AM264,AB264)</f>
        <v/>
      </c>
      <c r="AQ264" s="122">
        <f>SUM(AA264)</f>
        <v/>
      </c>
      <c r="AR264" s="121">
        <f>(AP264+AQ264)-3%</f>
        <v/>
      </c>
      <c r="AS264" s="122">
        <f>SUM(AO264+AM264)</f>
        <v/>
      </c>
      <c r="AT264" s="122">
        <f>SUM(AH264+AN264)</f>
        <v/>
      </c>
      <c r="AU264" s="122">
        <f>SUM(AN264+AO264)</f>
        <v/>
      </c>
      <c r="AV264" s="122">
        <f>SUM(AN264+AD264+AE264+AF264+AG264+AH264+AJ264+AK264+AL264)</f>
        <v/>
      </c>
      <c r="AW264" s="122">
        <f>SUM(AD264+AE264+AF264+AG264+AI264+AJ264+AK264+AL264)</f>
        <v/>
      </c>
    </row>
    <row r="265" ht="14.1" customHeight="1" s="259">
      <c r="A265" s="183">
        <f>A264+1</f>
        <v/>
      </c>
      <c r="B265" s="204" t="n"/>
      <c r="C265" s="205" t="n"/>
      <c r="D265" s="204" t="n"/>
      <c r="E265" s="206" t="n"/>
      <c r="F265" s="206" t="n"/>
      <c r="G265" s="206" t="n"/>
      <c r="H265" s="206" t="n"/>
      <c r="I265" s="206" t="n"/>
      <c r="J265" s="206" t="n"/>
      <c r="K265" s="206" t="n"/>
      <c r="L265" s="206" t="n"/>
      <c r="M265" s="206" t="n"/>
      <c r="N265" s="206" t="n"/>
      <c r="O265" s="206" t="n"/>
      <c r="P265" s="206" t="n"/>
      <c r="Q265" s="206" t="n"/>
      <c r="R265" s="206" t="n"/>
      <c r="S265" s="206" t="n"/>
      <c r="T265" s="204">
        <f>SUM(F265:S265)</f>
        <v/>
      </c>
      <c r="U265" s="207">
        <f>(HLOOKUP(B265,F:T,A265,FALSE)/T265)</f>
        <v/>
      </c>
      <c r="V265" s="159" t="n"/>
      <c r="W265" s="163">
        <f>YEAR(C265)</f>
        <v/>
      </c>
      <c r="X265" s="116">
        <f>MONTH(C265)</f>
        <v/>
      </c>
      <c r="Y265" s="116">
        <f>WEEKNUM(C265,21)</f>
        <v/>
      </c>
      <c r="Z265" s="122" t="n"/>
      <c r="AA265" s="122" t="n"/>
      <c r="AB265" s="122" t="n"/>
      <c r="AC265" s="122" t="n"/>
      <c r="AD265" s="122" t="n"/>
      <c r="AE265" s="122">
        <f>IFERROR(K265/$T265,0)</f>
        <v/>
      </c>
      <c r="AF265" s="122">
        <f>IFERROR(L265/$T265,0)</f>
        <v/>
      </c>
      <c r="AG265" s="122" t="n"/>
      <c r="AH265" s="122" t="n"/>
      <c r="AI265" s="122" t="n"/>
      <c r="AJ265" s="122" t="n"/>
      <c r="AK265" s="122" t="n"/>
      <c r="AL265" s="122" t="n"/>
      <c r="AM265" s="122" t="n"/>
      <c r="AN265" s="122">
        <f>SUM(Z265:AC265)</f>
        <v/>
      </c>
      <c r="AO265" s="122">
        <f>SUM(AD265:AL265)</f>
        <v/>
      </c>
      <c r="AP265" s="122">
        <f>SUM(AM265,AB265)</f>
        <v/>
      </c>
      <c r="AQ265" s="122">
        <f>SUM(AA265)</f>
        <v/>
      </c>
      <c r="AR265" s="121">
        <f>(AP265+AQ265)-3%</f>
        <v/>
      </c>
      <c r="AS265" s="122">
        <f>SUM(AO265+AM265)</f>
        <v/>
      </c>
      <c r="AT265" s="122">
        <f>SUM(AH265+AN265)</f>
        <v/>
      </c>
      <c r="AU265" s="122">
        <f>SUM(AN265+AO265)</f>
        <v/>
      </c>
      <c r="AV265" s="122">
        <f>SUM(AN265+AD265+AE265+AF265+AG265+AH265+AJ265+AK265+AL265)</f>
        <v/>
      </c>
      <c r="AW265" s="122">
        <f>SUM(AD265+AE265+AF265+AG265+AI265+AJ265+AK265+AL265)</f>
        <v/>
      </c>
    </row>
    <row r="266" ht="14.1" customHeight="1" s="259">
      <c r="A266" s="183">
        <f>A265+1</f>
        <v/>
      </c>
      <c r="B266" s="204" t="n"/>
      <c r="C266" s="205" t="n"/>
      <c r="D266" s="204" t="n"/>
      <c r="E266" s="206" t="n"/>
      <c r="F266" s="206" t="n"/>
      <c r="G266" s="206" t="n"/>
      <c r="H266" s="206" t="n"/>
      <c r="I266" s="206" t="n"/>
      <c r="J266" s="206" t="n"/>
      <c r="K266" s="206" t="n"/>
      <c r="L266" s="206" t="n"/>
      <c r="M266" s="206" t="n"/>
      <c r="N266" s="206" t="n"/>
      <c r="O266" s="206" t="n"/>
      <c r="P266" s="206" t="n"/>
      <c r="Q266" s="206" t="n"/>
      <c r="R266" s="206" t="n"/>
      <c r="S266" s="206" t="n"/>
      <c r="T266" s="204">
        <f>SUM(F266:S266)</f>
        <v/>
      </c>
      <c r="U266" s="207">
        <f>(HLOOKUP(B266,F:T,A266,FALSE)/T266)</f>
        <v/>
      </c>
      <c r="V266" s="159" t="n"/>
      <c r="W266" s="163">
        <f>YEAR(C266)</f>
        <v/>
      </c>
      <c r="X266" s="116">
        <f>MONTH(C266)</f>
        <v/>
      </c>
      <c r="Y266" s="116">
        <f>WEEKNUM(C266,21)</f>
        <v/>
      </c>
      <c r="Z266" s="122" t="n"/>
      <c r="AA266" s="122" t="n"/>
      <c r="AB266" s="122" t="n"/>
      <c r="AC266" s="122" t="n"/>
      <c r="AD266" s="122" t="n"/>
      <c r="AE266" s="122">
        <f>IFERROR(K266/$T266,0)</f>
        <v/>
      </c>
      <c r="AF266" s="122">
        <f>IFERROR(L266/$T266,0)</f>
        <v/>
      </c>
      <c r="AG266" s="122" t="n"/>
      <c r="AH266" s="122" t="n"/>
      <c r="AI266" s="122" t="n"/>
      <c r="AJ266" s="122" t="n"/>
      <c r="AK266" s="122" t="n"/>
      <c r="AL266" s="122" t="n"/>
      <c r="AM266" s="122" t="n"/>
      <c r="AN266" s="122">
        <f>SUM(Z266:AC266)</f>
        <v/>
      </c>
      <c r="AO266" s="122">
        <f>SUM(AD266:AL266)</f>
        <v/>
      </c>
      <c r="AP266" s="122">
        <f>SUM(AM266,AB266)</f>
        <v/>
      </c>
      <c r="AQ266" s="122">
        <f>SUM(AA266)</f>
        <v/>
      </c>
      <c r="AR266" s="121">
        <f>(AP266+AQ266)-3%</f>
        <v/>
      </c>
      <c r="AS266" s="122">
        <f>SUM(AO266+AM266)</f>
        <v/>
      </c>
      <c r="AT266" s="122">
        <f>SUM(AH266+AN266)</f>
        <v/>
      </c>
      <c r="AU266" s="122">
        <f>SUM(AN266+AO266)</f>
        <v/>
      </c>
      <c r="AV266" s="122">
        <f>SUM(AN266+AD266+AE266+AF266+AG266+AH266+AJ266+AK266+AL266)</f>
        <v/>
      </c>
      <c r="AW266" s="122">
        <f>SUM(AD266+AE266+AF266+AG266+AI266+AJ266+AK266+AL266)</f>
        <v/>
      </c>
    </row>
    <row r="267" ht="14.1" customHeight="1" s="259">
      <c r="A267" s="183">
        <f>A266+1</f>
        <v/>
      </c>
      <c r="B267" s="204" t="n"/>
      <c r="C267" s="205" t="n"/>
      <c r="D267" s="204" t="n"/>
      <c r="E267" s="206" t="n"/>
      <c r="F267" s="206" t="n"/>
      <c r="G267" s="206" t="n"/>
      <c r="H267" s="206" t="n"/>
      <c r="I267" s="206" t="n"/>
      <c r="J267" s="206" t="n"/>
      <c r="K267" s="206" t="n"/>
      <c r="L267" s="206" t="n"/>
      <c r="M267" s="206" t="n"/>
      <c r="N267" s="206" t="n"/>
      <c r="O267" s="206" t="n"/>
      <c r="P267" s="206" t="n"/>
      <c r="Q267" s="206" t="n"/>
      <c r="R267" s="206" t="n"/>
      <c r="S267" s="206" t="n"/>
      <c r="T267" s="204">
        <f>SUM(F267:S267)</f>
        <v/>
      </c>
      <c r="U267" s="207">
        <f>(HLOOKUP(B267,F:T,A267,FALSE)/T267)</f>
        <v/>
      </c>
      <c r="V267" s="159" t="n"/>
      <c r="W267" s="163">
        <f>YEAR(C267)</f>
        <v/>
      </c>
      <c r="X267" s="116">
        <f>MONTH(C267)</f>
        <v/>
      </c>
      <c r="Y267" s="116">
        <f>WEEKNUM(C267,21)</f>
        <v/>
      </c>
      <c r="Z267" s="122" t="n"/>
      <c r="AA267" s="122" t="n"/>
      <c r="AB267" s="122" t="n"/>
      <c r="AC267" s="122" t="n"/>
      <c r="AD267" s="122" t="n"/>
      <c r="AE267" s="122">
        <f>IFERROR(K267/$T267,0)</f>
        <v/>
      </c>
      <c r="AF267" s="122">
        <f>IFERROR(L267/$T267,0)</f>
        <v/>
      </c>
      <c r="AG267" s="122" t="n"/>
      <c r="AH267" s="122" t="n"/>
      <c r="AI267" s="122" t="n"/>
      <c r="AJ267" s="122" t="n"/>
      <c r="AK267" s="122" t="n"/>
      <c r="AL267" s="122" t="n"/>
      <c r="AM267" s="122" t="n"/>
      <c r="AN267" s="122">
        <f>SUM(Z267:AC267)</f>
        <v/>
      </c>
      <c r="AO267" s="122">
        <f>SUM(AD267:AL267)</f>
        <v/>
      </c>
      <c r="AP267" s="122">
        <f>SUM(AM267,AB267)</f>
        <v/>
      </c>
      <c r="AQ267" s="122">
        <f>SUM(AA267)</f>
        <v/>
      </c>
      <c r="AR267" s="121">
        <f>(AP267+AQ267)-3%</f>
        <v/>
      </c>
      <c r="AS267" s="122">
        <f>SUM(AO267+AM267)</f>
        <v/>
      </c>
      <c r="AT267" s="122">
        <f>SUM(AH267+AN267)</f>
        <v/>
      </c>
      <c r="AU267" s="122">
        <f>SUM(AN267+AO267)</f>
        <v/>
      </c>
      <c r="AV267" s="122">
        <f>SUM(AN267+AD267+AE267+AF267+AG267+AH267+AJ267+AK267+AL267)</f>
        <v/>
      </c>
      <c r="AW267" s="122">
        <f>SUM(AD267+AE267+AF267+AG267+AI267+AJ267+AK267+AL267)</f>
        <v/>
      </c>
    </row>
    <row r="268" ht="14.1" customHeight="1" s="259">
      <c r="A268" s="183">
        <f>A267+1</f>
        <v/>
      </c>
      <c r="B268" s="204" t="n"/>
      <c r="C268" s="205" t="n"/>
      <c r="D268" s="204" t="n"/>
      <c r="E268" s="206" t="n"/>
      <c r="F268" s="206" t="n"/>
      <c r="G268" s="206" t="n"/>
      <c r="H268" s="206" t="n"/>
      <c r="I268" s="206" t="n"/>
      <c r="J268" s="206" t="n"/>
      <c r="K268" s="206" t="n"/>
      <c r="L268" s="206" t="n"/>
      <c r="M268" s="206" t="n"/>
      <c r="N268" s="206" t="n"/>
      <c r="O268" s="206" t="n"/>
      <c r="P268" s="206" t="n"/>
      <c r="Q268" s="206" t="n"/>
      <c r="R268" s="206" t="n"/>
      <c r="S268" s="206" t="n"/>
      <c r="T268" s="204">
        <f>SUM(F268:S268)</f>
        <v/>
      </c>
      <c r="U268" s="207">
        <f>(HLOOKUP(B268,F:T,A268,FALSE)/T268)</f>
        <v/>
      </c>
      <c r="V268" s="159" t="n"/>
      <c r="W268" s="163">
        <f>YEAR(C268)</f>
        <v/>
      </c>
      <c r="X268" s="116">
        <f>MONTH(C268)</f>
        <v/>
      </c>
      <c r="Y268" s="116">
        <f>WEEKNUM(C268,21)</f>
        <v/>
      </c>
      <c r="Z268" s="122" t="n"/>
      <c r="AA268" s="122" t="n"/>
      <c r="AB268" s="122" t="n"/>
      <c r="AC268" s="122" t="n"/>
      <c r="AD268" s="122" t="n"/>
      <c r="AE268" s="122">
        <f>IFERROR(K268/$T268,0)</f>
        <v/>
      </c>
      <c r="AF268" s="122">
        <f>IFERROR(L268/$T268,0)</f>
        <v/>
      </c>
      <c r="AG268" s="122" t="n"/>
      <c r="AH268" s="122" t="n"/>
      <c r="AI268" s="122" t="n"/>
      <c r="AJ268" s="122" t="n"/>
      <c r="AK268" s="122" t="n"/>
      <c r="AL268" s="122" t="n"/>
      <c r="AM268" s="122" t="n"/>
      <c r="AN268" s="122">
        <f>SUM(Z268:AC268)</f>
        <v/>
      </c>
      <c r="AO268" s="122">
        <f>SUM(AD268:AL268)</f>
        <v/>
      </c>
      <c r="AP268" s="122">
        <f>SUM(AM268,AB268)</f>
        <v/>
      </c>
      <c r="AQ268" s="122">
        <f>SUM(AA268)</f>
        <v/>
      </c>
      <c r="AR268" s="121">
        <f>(AP268+AQ268)-3%</f>
        <v/>
      </c>
      <c r="AS268" s="122">
        <f>SUM(AO268+AM268)</f>
        <v/>
      </c>
      <c r="AT268" s="122">
        <f>SUM(AH268+AN268)</f>
        <v/>
      </c>
      <c r="AU268" s="122">
        <f>SUM(AN268+AO268)</f>
        <v/>
      </c>
      <c r="AV268" s="122">
        <f>SUM(AN268+AD268+AE268+AF268+AG268+AH268+AJ268+AK268+AL268)</f>
        <v/>
      </c>
      <c r="AW268" s="122">
        <f>SUM(AD268+AE268+AF268+AG268+AI268+AJ268+AK268+AL268)</f>
        <v/>
      </c>
    </row>
    <row r="269" ht="14.1" customHeight="1" s="259">
      <c r="A269" s="183">
        <f>A268+1</f>
        <v/>
      </c>
      <c r="B269" s="204" t="n"/>
      <c r="C269" s="205" t="n"/>
      <c r="D269" s="204" t="n"/>
      <c r="E269" s="206" t="n"/>
      <c r="F269" s="206" t="n"/>
      <c r="G269" s="206" t="n"/>
      <c r="H269" s="206" t="n"/>
      <c r="I269" s="206" t="n"/>
      <c r="J269" s="206" t="n"/>
      <c r="K269" s="206" t="n"/>
      <c r="L269" s="206" t="n"/>
      <c r="M269" s="206" t="n"/>
      <c r="N269" s="206" t="n"/>
      <c r="O269" s="206" t="n"/>
      <c r="P269" s="206" t="n"/>
      <c r="Q269" s="206" t="n"/>
      <c r="R269" s="206" t="n"/>
      <c r="S269" s="206" t="n"/>
      <c r="T269" s="204">
        <f>SUM(F269:S269)</f>
        <v/>
      </c>
      <c r="U269" s="207">
        <f>(HLOOKUP(B269,F:T,A269,FALSE)/T269)</f>
        <v/>
      </c>
      <c r="V269" s="159" t="n"/>
      <c r="W269" s="163">
        <f>YEAR(C269)</f>
        <v/>
      </c>
      <c r="X269" s="116">
        <f>MONTH(C269)</f>
        <v/>
      </c>
      <c r="Y269" s="116">
        <f>WEEKNUM(C269,21)</f>
        <v/>
      </c>
      <c r="Z269" s="122" t="n"/>
      <c r="AA269" s="122" t="n"/>
      <c r="AB269" s="122" t="n"/>
      <c r="AC269" s="122" t="n"/>
      <c r="AD269" s="122" t="n"/>
      <c r="AE269" s="122">
        <f>IFERROR(K269/$T269,0)</f>
        <v/>
      </c>
      <c r="AF269" s="122">
        <f>IFERROR(L269/$T269,0)</f>
        <v/>
      </c>
      <c r="AG269" s="122" t="n"/>
      <c r="AH269" s="122" t="n"/>
      <c r="AI269" s="122" t="n"/>
      <c r="AJ269" s="122" t="n"/>
      <c r="AK269" s="122" t="n"/>
      <c r="AL269" s="122" t="n"/>
      <c r="AM269" s="122" t="n"/>
      <c r="AN269" s="122">
        <f>SUM(Z269:AC269)</f>
        <v/>
      </c>
      <c r="AO269" s="122">
        <f>SUM(AD269:AL269)</f>
        <v/>
      </c>
      <c r="AP269" s="122">
        <f>SUM(AM269,AB269)</f>
        <v/>
      </c>
      <c r="AQ269" s="122">
        <f>SUM(AA269)</f>
        <v/>
      </c>
      <c r="AR269" s="121">
        <f>(AP269+AQ269)-3%</f>
        <v/>
      </c>
      <c r="AS269" s="122">
        <f>SUM(AO269+AM269)</f>
        <v/>
      </c>
      <c r="AT269" s="122">
        <f>SUM(AH269+AN269)</f>
        <v/>
      </c>
      <c r="AU269" s="122">
        <f>SUM(AN269+AO269)</f>
        <v/>
      </c>
      <c r="AV269" s="122">
        <f>SUM(AN269+AD269+AE269+AF269+AG269+AH269+AJ269+AK269+AL269)</f>
        <v/>
      </c>
      <c r="AW269" s="122">
        <f>SUM(AD269+AE269+AF269+AG269+AI269+AJ269+AK269+AL269)</f>
        <v/>
      </c>
    </row>
    <row r="270" ht="14.1" customHeight="1" s="259">
      <c r="A270" s="183">
        <f>A269+1</f>
        <v/>
      </c>
      <c r="B270" s="199" t="n"/>
      <c r="C270" s="200" t="n"/>
      <c r="D270" s="199" t="n"/>
      <c r="E270" s="201" t="n"/>
      <c r="F270" s="201" t="n"/>
      <c r="G270" s="201" t="n"/>
      <c r="H270" s="201" t="n"/>
      <c r="I270" s="201" t="n"/>
      <c r="J270" s="201" t="n"/>
      <c r="K270" s="201" t="n"/>
      <c r="L270" s="201" t="n"/>
      <c r="M270" s="201" t="n"/>
      <c r="N270" s="201" t="n"/>
      <c r="O270" s="201" t="n"/>
      <c r="P270" s="201" t="n"/>
      <c r="Q270" s="201" t="n"/>
      <c r="R270" s="201" t="n"/>
      <c r="S270" s="201" t="n"/>
      <c r="T270" s="199">
        <f>SUM(F270:S270)</f>
        <v/>
      </c>
      <c r="U270" s="202">
        <f>(HLOOKUP(B270,F:T,A270,FALSE)/T270)</f>
        <v/>
      </c>
      <c r="V270" s="159" t="n"/>
      <c r="W270" s="163">
        <f>YEAR(C270)</f>
        <v/>
      </c>
      <c r="X270" s="116">
        <f>MONTH(C270)</f>
        <v/>
      </c>
      <c r="Y270" s="116">
        <f>WEEKNUM(C270,21)</f>
        <v/>
      </c>
      <c r="Z270" s="122" t="n"/>
      <c r="AA270" s="122" t="n"/>
      <c r="AB270" s="122" t="n"/>
      <c r="AC270" s="122" t="n"/>
      <c r="AD270" s="122" t="n"/>
      <c r="AE270" s="122">
        <f>IFERROR(K270/$T270,0)</f>
        <v/>
      </c>
      <c r="AF270" s="122">
        <f>IFERROR(L270/$T270,0)</f>
        <v/>
      </c>
      <c r="AG270" s="122" t="n"/>
      <c r="AH270" s="122" t="n"/>
      <c r="AI270" s="122" t="n"/>
      <c r="AJ270" s="122" t="n"/>
      <c r="AK270" s="122" t="n"/>
      <c r="AL270" s="122" t="n"/>
      <c r="AM270" s="122" t="n"/>
      <c r="AN270" s="122">
        <f>SUM(Z270:AC270)</f>
        <v/>
      </c>
      <c r="AO270" s="122">
        <f>SUM(AD270:AL270)</f>
        <v/>
      </c>
      <c r="AP270" s="122">
        <f>SUM(AM270,AB270)</f>
        <v/>
      </c>
      <c r="AQ270" s="122">
        <f>SUM(AA270)</f>
        <v/>
      </c>
      <c r="AR270" s="121">
        <f>(AP270+AQ270)-3%</f>
        <v/>
      </c>
      <c r="AS270" s="122">
        <f>SUM(AO270+AM270)</f>
        <v/>
      </c>
      <c r="AT270" s="122">
        <f>SUM(AH270+AN270)</f>
        <v/>
      </c>
      <c r="AU270" s="122">
        <f>SUM(AN270+AO270)</f>
        <v/>
      </c>
      <c r="AV270" s="122">
        <f>SUM(AN270+AD270+AE270+AF270+AG270+AH270+AJ270+AK270+AL270)</f>
        <v/>
      </c>
      <c r="AW270" s="122">
        <f>SUM(AD270+AE270+AF270+AG270+AI270+AJ270+AK270+AL270)</f>
        <v/>
      </c>
    </row>
    <row r="271" ht="14.1" customHeight="1" s="259">
      <c r="A271" s="183">
        <f>A270+1</f>
        <v/>
      </c>
      <c r="B271" s="199" t="n"/>
      <c r="C271" s="200" t="n"/>
      <c r="D271" s="199" t="n"/>
      <c r="E271" s="201" t="n"/>
      <c r="F271" s="201" t="n"/>
      <c r="G271" s="201" t="n"/>
      <c r="H271" s="201" t="n"/>
      <c r="I271" s="201" t="n"/>
      <c r="J271" s="201" t="n"/>
      <c r="K271" s="201" t="n"/>
      <c r="L271" s="201" t="n"/>
      <c r="M271" s="201" t="n"/>
      <c r="N271" s="201" t="n"/>
      <c r="O271" s="201" t="n"/>
      <c r="P271" s="201" t="n"/>
      <c r="Q271" s="201" t="n"/>
      <c r="R271" s="201" t="n"/>
      <c r="S271" s="201" t="n"/>
      <c r="T271" s="199">
        <f>SUM(F271:S271)</f>
        <v/>
      </c>
      <c r="U271" s="202">
        <f>(HLOOKUP(B271,F:T,A271,FALSE)/T271)</f>
        <v/>
      </c>
      <c r="V271" s="159" t="n"/>
      <c r="W271" s="163">
        <f>YEAR(C271)</f>
        <v/>
      </c>
      <c r="X271" s="116">
        <f>MONTH(C271)</f>
        <v/>
      </c>
      <c r="Y271" s="116">
        <f>WEEKNUM(C271,21)</f>
        <v/>
      </c>
      <c r="Z271" s="122" t="n"/>
      <c r="AA271" s="122" t="n"/>
      <c r="AB271" s="122" t="n"/>
      <c r="AC271" s="122" t="n"/>
      <c r="AD271" s="122" t="n"/>
      <c r="AE271" s="122">
        <f>IFERROR(K271/$T271,0)</f>
        <v/>
      </c>
      <c r="AF271" s="122">
        <f>IFERROR(L271/$T271,0)</f>
        <v/>
      </c>
      <c r="AG271" s="122" t="n"/>
      <c r="AH271" s="122" t="n"/>
      <c r="AI271" s="122" t="n"/>
      <c r="AJ271" s="122" t="n"/>
      <c r="AK271" s="122" t="n"/>
      <c r="AL271" s="122" t="n"/>
      <c r="AM271" s="122" t="n"/>
      <c r="AN271" s="122">
        <f>SUM(Z271:AC271)</f>
        <v/>
      </c>
      <c r="AO271" s="122">
        <f>SUM(AD271:AL271)</f>
        <v/>
      </c>
      <c r="AP271" s="122">
        <f>SUM(AM271,AB271)</f>
        <v/>
      </c>
      <c r="AQ271" s="122">
        <f>SUM(AA271)</f>
        <v/>
      </c>
      <c r="AR271" s="121">
        <f>(AP271+AQ271)-3%</f>
        <v/>
      </c>
      <c r="AS271" s="122">
        <f>SUM(AO271+AM271)</f>
        <v/>
      </c>
      <c r="AT271" s="122">
        <f>SUM(AH271+AN271)</f>
        <v/>
      </c>
      <c r="AU271" s="122">
        <f>SUM(AN271+AO271)</f>
        <v/>
      </c>
      <c r="AV271" s="122">
        <f>SUM(AN271+AD271+AE271+AF271+AG271+AH271+AJ271+AK271+AL271)</f>
        <v/>
      </c>
      <c r="AW271" s="122">
        <f>SUM(AD271+AE271+AF271+AG271+AI271+AJ271+AK271+AL271)</f>
        <v/>
      </c>
    </row>
    <row r="272" ht="14.1" customHeight="1" s="259">
      <c r="A272" s="183">
        <f>A271+1</f>
        <v/>
      </c>
      <c r="B272" s="204" t="n"/>
      <c r="C272" s="205" t="n"/>
      <c r="D272" s="204" t="n"/>
      <c r="E272" s="206" t="n"/>
      <c r="F272" s="206" t="n"/>
      <c r="G272" s="206" t="n"/>
      <c r="H272" s="206" t="n"/>
      <c r="I272" s="206" t="n"/>
      <c r="J272" s="206" t="n"/>
      <c r="K272" s="206" t="n"/>
      <c r="L272" s="206" t="n"/>
      <c r="M272" s="206" t="n"/>
      <c r="N272" s="206" t="n"/>
      <c r="O272" s="206" t="n"/>
      <c r="P272" s="206" t="n"/>
      <c r="Q272" s="206" t="n"/>
      <c r="R272" s="206" t="n"/>
      <c r="S272" s="206" t="n"/>
      <c r="T272" s="204">
        <f>SUM(F272:S272)</f>
        <v/>
      </c>
      <c r="U272" s="207">
        <f>(HLOOKUP(B272,F:T,A272,FALSE)/T272)</f>
        <v/>
      </c>
      <c r="V272" s="159" t="n"/>
      <c r="W272" s="163">
        <f>YEAR(C272)</f>
        <v/>
      </c>
      <c r="X272" s="116">
        <f>MONTH(C272)</f>
        <v/>
      </c>
      <c r="Y272" s="116">
        <f>WEEKNUM(C272,21)</f>
        <v/>
      </c>
      <c r="Z272" s="122" t="n"/>
      <c r="AA272" s="122" t="n"/>
      <c r="AB272" s="122" t="n"/>
      <c r="AC272" s="122" t="n"/>
      <c r="AD272" s="122" t="n"/>
      <c r="AE272" s="122">
        <f>IFERROR(K272/$T272,0)</f>
        <v/>
      </c>
      <c r="AF272" s="122">
        <f>IFERROR(L272/$T272,0)</f>
        <v/>
      </c>
      <c r="AG272" s="122" t="n"/>
      <c r="AH272" s="122" t="n"/>
      <c r="AI272" s="122" t="n"/>
      <c r="AJ272" s="122" t="n"/>
      <c r="AK272" s="122" t="n"/>
      <c r="AL272" s="122" t="n"/>
      <c r="AM272" s="122" t="n"/>
      <c r="AN272" s="122">
        <f>SUM(Z272:AC272)</f>
        <v/>
      </c>
      <c r="AO272" s="122">
        <f>SUM(AD272:AL272)</f>
        <v/>
      </c>
      <c r="AP272" s="122">
        <f>SUM(AM272,AB272)</f>
        <v/>
      </c>
      <c r="AQ272" s="122">
        <f>SUM(AA272)</f>
        <v/>
      </c>
      <c r="AR272" s="121">
        <f>(AP272+AQ272)-3%</f>
        <v/>
      </c>
      <c r="AS272" s="122">
        <f>SUM(AO272+AM272)</f>
        <v/>
      </c>
      <c r="AT272" s="122">
        <f>SUM(AH272+AN272)</f>
        <v/>
      </c>
      <c r="AU272" s="122">
        <f>SUM(AN272+AO272)</f>
        <v/>
      </c>
      <c r="AV272" s="122">
        <f>SUM(AN272+AD272+AE272+AF272+AG272+AH272+AJ272+AK272+AL272)</f>
        <v/>
      </c>
      <c r="AW272" s="122">
        <f>SUM(AD272+AE272+AF272+AG272+AI272+AJ272+AK272+AL272)</f>
        <v/>
      </c>
    </row>
    <row r="273" ht="14.1" customHeight="1" s="259">
      <c r="A273" s="183">
        <f>A272+1</f>
        <v/>
      </c>
      <c r="B273" s="204" t="n"/>
      <c r="C273" s="205" t="n"/>
      <c r="D273" s="204" t="n"/>
      <c r="E273" s="206" t="n"/>
      <c r="F273" s="206" t="n"/>
      <c r="G273" s="206" t="n"/>
      <c r="H273" s="206" t="n"/>
      <c r="I273" s="206" t="n"/>
      <c r="J273" s="206" t="n"/>
      <c r="K273" s="206" t="n"/>
      <c r="L273" s="206" t="n"/>
      <c r="M273" s="206" t="n"/>
      <c r="N273" s="206" t="n"/>
      <c r="O273" s="206" t="n"/>
      <c r="P273" s="206" t="n"/>
      <c r="Q273" s="206" t="n"/>
      <c r="R273" s="206" t="n"/>
      <c r="S273" s="206" t="n"/>
      <c r="T273" s="204">
        <f>SUM(F273:S273)</f>
        <v/>
      </c>
      <c r="U273" s="207">
        <f>(HLOOKUP(B273,F:T,A273,FALSE)/T273)</f>
        <v/>
      </c>
      <c r="V273" s="159" t="n"/>
      <c r="W273" s="163">
        <f>YEAR(C273)</f>
        <v/>
      </c>
      <c r="X273" s="116">
        <f>MONTH(C273)</f>
        <v/>
      </c>
      <c r="Y273" s="116">
        <f>WEEKNUM(C273,21)</f>
        <v/>
      </c>
      <c r="Z273" s="122" t="n"/>
      <c r="AA273" s="122" t="n"/>
      <c r="AB273" s="122" t="n"/>
      <c r="AC273" s="122" t="n"/>
      <c r="AD273" s="122" t="n"/>
      <c r="AE273" s="122">
        <f>IFERROR(K273/$T273,0)</f>
        <v/>
      </c>
      <c r="AF273" s="122">
        <f>IFERROR(L273/$T273,0)</f>
        <v/>
      </c>
      <c r="AG273" s="122" t="n"/>
      <c r="AH273" s="122" t="n"/>
      <c r="AI273" s="122" t="n"/>
      <c r="AJ273" s="122" t="n"/>
      <c r="AK273" s="122" t="n"/>
      <c r="AL273" s="122" t="n"/>
      <c r="AM273" s="122" t="n"/>
      <c r="AN273" s="122">
        <f>SUM(Z273:AC273)</f>
        <v/>
      </c>
      <c r="AO273" s="122">
        <f>SUM(AD273:AL273)</f>
        <v/>
      </c>
      <c r="AP273" s="122">
        <f>SUM(AM273,AB273)</f>
        <v/>
      </c>
      <c r="AQ273" s="122">
        <f>SUM(AA273)</f>
        <v/>
      </c>
      <c r="AR273" s="121">
        <f>(AP273+AQ273)-3%</f>
        <v/>
      </c>
      <c r="AS273" s="122">
        <f>SUM(AO273+AM273)</f>
        <v/>
      </c>
      <c r="AT273" s="122">
        <f>SUM(AH273+AN273)</f>
        <v/>
      </c>
      <c r="AU273" s="122">
        <f>SUM(AN273+AO273)</f>
        <v/>
      </c>
      <c r="AV273" s="122">
        <f>SUM(AN273+AD273+AE273+AF273+AG273+AH273+AJ273+AK273+AL273)</f>
        <v/>
      </c>
      <c r="AW273" s="122">
        <f>SUM(AD273+AE273+AF273+AG273+AI273+AJ273+AK273+AL273)</f>
        <v/>
      </c>
    </row>
    <row r="274" ht="14.1" customHeight="1" s="259">
      <c r="A274" s="183">
        <f>A273+1</f>
        <v/>
      </c>
      <c r="B274" s="204" t="n"/>
      <c r="C274" s="205" t="n"/>
      <c r="D274" s="204" t="n"/>
      <c r="E274" s="206" t="n"/>
      <c r="F274" s="206" t="n"/>
      <c r="G274" s="206" t="n"/>
      <c r="H274" s="206" t="n"/>
      <c r="I274" s="206" t="n"/>
      <c r="J274" s="206" t="n"/>
      <c r="K274" s="206" t="n"/>
      <c r="L274" s="206" t="n"/>
      <c r="M274" s="206" t="n"/>
      <c r="N274" s="206" t="n"/>
      <c r="O274" s="206" t="n"/>
      <c r="P274" s="206" t="n"/>
      <c r="Q274" s="206" t="n"/>
      <c r="R274" s="206" t="n"/>
      <c r="S274" s="206" t="n"/>
      <c r="T274" s="204">
        <f>SUM(F274:S274)</f>
        <v/>
      </c>
      <c r="U274" s="207">
        <f>(HLOOKUP(B274,F:T,A274,FALSE)/T274)</f>
        <v/>
      </c>
      <c r="V274" s="159" t="n"/>
      <c r="W274" s="163">
        <f>YEAR(C274)</f>
        <v/>
      </c>
      <c r="X274" s="116">
        <f>MONTH(C274)</f>
        <v/>
      </c>
      <c r="Y274" s="116">
        <f>WEEKNUM(C274,21)</f>
        <v/>
      </c>
      <c r="Z274" s="122" t="n"/>
      <c r="AA274" s="122" t="n"/>
      <c r="AB274" s="122" t="n"/>
      <c r="AC274" s="122" t="n"/>
      <c r="AD274" s="122" t="n"/>
      <c r="AE274" s="122">
        <f>IFERROR(K274/$T274,0)</f>
        <v/>
      </c>
      <c r="AF274" s="122">
        <f>IFERROR(L274/$T274,0)</f>
        <v/>
      </c>
      <c r="AG274" s="122" t="n"/>
      <c r="AH274" s="122" t="n"/>
      <c r="AI274" s="122" t="n"/>
      <c r="AJ274" s="122" t="n"/>
      <c r="AK274" s="122" t="n"/>
      <c r="AL274" s="122" t="n"/>
      <c r="AM274" s="122" t="n"/>
      <c r="AN274" s="122">
        <f>SUM(Z274:AC274)</f>
        <v/>
      </c>
      <c r="AO274" s="122">
        <f>SUM(AD274:AL274)</f>
        <v/>
      </c>
      <c r="AP274" s="122">
        <f>SUM(AM274,AB274)</f>
        <v/>
      </c>
      <c r="AQ274" s="122">
        <f>SUM(AA274)</f>
        <v/>
      </c>
      <c r="AR274" s="121">
        <f>(AP274+AQ274)-3%</f>
        <v/>
      </c>
      <c r="AS274" s="122">
        <f>SUM(AO274+AM274)</f>
        <v/>
      </c>
      <c r="AT274" s="122">
        <f>SUM(AH274+AN274)</f>
        <v/>
      </c>
      <c r="AU274" s="122">
        <f>SUM(AN274+AO274)</f>
        <v/>
      </c>
      <c r="AV274" s="122">
        <f>SUM(AN274+AD274+AE274+AF274+AG274+AH274+AJ274+AK274+AL274)</f>
        <v/>
      </c>
      <c r="AW274" s="122">
        <f>SUM(AD274+AE274+AF274+AG274+AI274+AJ274+AK274+AL274)</f>
        <v/>
      </c>
    </row>
    <row r="275" ht="14.1" customHeight="1" s="259">
      <c r="A275" s="183">
        <f>A274+1</f>
        <v/>
      </c>
      <c r="B275" s="204" t="n"/>
      <c r="C275" s="205" t="n"/>
      <c r="D275" s="204" t="n"/>
      <c r="E275" s="206" t="n"/>
      <c r="F275" s="206" t="n"/>
      <c r="G275" s="206" t="n"/>
      <c r="H275" s="206" t="n"/>
      <c r="I275" s="206" t="n"/>
      <c r="J275" s="206" t="n"/>
      <c r="K275" s="206" t="n"/>
      <c r="L275" s="206" t="n"/>
      <c r="M275" s="206" t="n"/>
      <c r="N275" s="206" t="n"/>
      <c r="O275" s="206" t="n"/>
      <c r="P275" s="206" t="n"/>
      <c r="Q275" s="206" t="n"/>
      <c r="R275" s="206" t="n"/>
      <c r="S275" s="206" t="n"/>
      <c r="T275" s="204">
        <f>SUM(F275:S275)</f>
        <v/>
      </c>
      <c r="U275" s="207">
        <f>(HLOOKUP(B275,F:T,A275,FALSE)/T275)</f>
        <v/>
      </c>
      <c r="V275" s="159" t="n"/>
      <c r="W275" s="163">
        <f>YEAR(C275)</f>
        <v/>
      </c>
      <c r="X275" s="116">
        <f>MONTH(C275)</f>
        <v/>
      </c>
      <c r="Y275" s="116">
        <f>WEEKNUM(C275,21)</f>
        <v/>
      </c>
      <c r="Z275" s="122" t="n"/>
      <c r="AA275" s="122" t="n"/>
      <c r="AB275" s="122" t="n"/>
      <c r="AC275" s="122" t="n"/>
      <c r="AD275" s="122" t="n"/>
      <c r="AE275" s="122">
        <f>IFERROR(K275/$T275,0)</f>
        <v/>
      </c>
      <c r="AF275" s="122">
        <f>IFERROR(L275/$T275,0)</f>
        <v/>
      </c>
      <c r="AG275" s="122" t="n"/>
      <c r="AH275" s="122" t="n"/>
      <c r="AI275" s="122" t="n"/>
      <c r="AJ275" s="122" t="n"/>
      <c r="AK275" s="122" t="n"/>
      <c r="AL275" s="122" t="n"/>
      <c r="AM275" s="122" t="n"/>
      <c r="AN275" s="122">
        <f>SUM(Z275:AC275)</f>
        <v/>
      </c>
      <c r="AO275" s="122">
        <f>SUM(AD275:AL275)</f>
        <v/>
      </c>
      <c r="AP275" s="122">
        <f>SUM(AM275,AB275)</f>
        <v/>
      </c>
      <c r="AQ275" s="122">
        <f>SUM(AA275)</f>
        <v/>
      </c>
      <c r="AR275" s="121">
        <f>(AP275+AQ275)-3%</f>
        <v/>
      </c>
      <c r="AS275" s="122">
        <f>SUM(AO275+AM275)</f>
        <v/>
      </c>
      <c r="AT275" s="122">
        <f>SUM(AH275+AN275)</f>
        <v/>
      </c>
      <c r="AU275" s="122">
        <f>SUM(AN275+AO275)</f>
        <v/>
      </c>
      <c r="AV275" s="122">
        <f>SUM(AN275+AD275+AE275+AF275+AG275+AH275+AJ275+AK275+AL275)</f>
        <v/>
      </c>
      <c r="AW275" s="122">
        <f>SUM(AD275+AE275+AF275+AG275+AI275+AJ275+AK275+AL275)</f>
        <v/>
      </c>
    </row>
    <row r="276" ht="14.1" customHeight="1" s="259">
      <c r="A276" s="183">
        <f>A275+1</f>
        <v/>
      </c>
      <c r="B276" s="204" t="n"/>
      <c r="C276" s="205" t="n"/>
      <c r="D276" s="204" t="n"/>
      <c r="E276" s="206" t="n"/>
      <c r="F276" s="206" t="n"/>
      <c r="G276" s="206" t="n"/>
      <c r="H276" s="206" t="n"/>
      <c r="I276" s="206" t="n"/>
      <c r="J276" s="206" t="n"/>
      <c r="K276" s="206" t="n"/>
      <c r="L276" s="206" t="n"/>
      <c r="M276" s="206" t="n"/>
      <c r="N276" s="206" t="n"/>
      <c r="O276" s="206" t="n"/>
      <c r="P276" s="206" t="n"/>
      <c r="Q276" s="206" t="n"/>
      <c r="R276" s="206" t="n"/>
      <c r="S276" s="206" t="n"/>
      <c r="T276" s="204">
        <f>SUM(F276:S276)</f>
        <v/>
      </c>
      <c r="U276" s="207">
        <f>(HLOOKUP(B276,F:T,A276,FALSE)/T276)</f>
        <v/>
      </c>
      <c r="V276" s="159" t="n"/>
      <c r="W276" s="163">
        <f>YEAR(C276)</f>
        <v/>
      </c>
      <c r="X276" s="116">
        <f>MONTH(C276)</f>
        <v/>
      </c>
      <c r="Y276" s="116">
        <f>WEEKNUM(C276,21)</f>
        <v/>
      </c>
      <c r="Z276" s="122" t="n"/>
      <c r="AA276" s="122" t="n"/>
      <c r="AB276" s="122" t="n"/>
      <c r="AC276" s="122" t="n"/>
      <c r="AD276" s="122" t="n"/>
      <c r="AE276" s="122">
        <f>IFERROR(K276/$T276,0)</f>
        <v/>
      </c>
      <c r="AF276" s="122">
        <f>IFERROR(L276/$T276,0)</f>
        <v/>
      </c>
      <c r="AG276" s="122" t="n"/>
      <c r="AH276" s="122" t="n"/>
      <c r="AI276" s="122" t="n"/>
      <c r="AJ276" s="122" t="n"/>
      <c r="AK276" s="122" t="n"/>
      <c r="AL276" s="122" t="n"/>
      <c r="AM276" s="122" t="n"/>
      <c r="AN276" s="122">
        <f>SUM(Z276:AC276)</f>
        <v/>
      </c>
      <c r="AO276" s="122">
        <f>SUM(AD276:AL276)</f>
        <v/>
      </c>
      <c r="AP276" s="122">
        <f>SUM(AM276,AB276)</f>
        <v/>
      </c>
      <c r="AQ276" s="122">
        <f>SUM(AA276)</f>
        <v/>
      </c>
      <c r="AR276" s="121">
        <f>(AP276+AQ276)-3%</f>
        <v/>
      </c>
      <c r="AS276" s="122">
        <f>SUM(AO276+AM276)</f>
        <v/>
      </c>
      <c r="AT276" s="122">
        <f>SUM(AH276+AN276)</f>
        <v/>
      </c>
      <c r="AU276" s="122">
        <f>SUM(AN276+AO276)</f>
        <v/>
      </c>
      <c r="AV276" s="122">
        <f>SUM(AN276+AD276+AE276+AF276+AG276+AH276+AJ276+AK276+AL276)</f>
        <v/>
      </c>
      <c r="AW276" s="122">
        <f>SUM(AD276+AE276+AF276+AG276+AI276+AJ276+AK276+AL276)</f>
        <v/>
      </c>
    </row>
    <row r="277" ht="14.1" customHeight="1" s="259">
      <c r="A277" s="183">
        <f>A276+1</f>
        <v/>
      </c>
      <c r="B277" s="204" t="n"/>
      <c r="C277" s="205" t="n"/>
      <c r="D277" s="204" t="n"/>
      <c r="E277" s="206" t="n"/>
      <c r="F277" s="206" t="n"/>
      <c r="G277" s="206" t="n"/>
      <c r="H277" s="206" t="n"/>
      <c r="I277" s="206" t="n"/>
      <c r="J277" s="206" t="n"/>
      <c r="K277" s="206" t="n"/>
      <c r="L277" s="206" t="n"/>
      <c r="M277" s="206" t="n"/>
      <c r="N277" s="206" t="n"/>
      <c r="O277" s="206" t="n"/>
      <c r="P277" s="206" t="n"/>
      <c r="Q277" s="206" t="n"/>
      <c r="R277" s="206" t="n"/>
      <c r="S277" s="206" t="n"/>
      <c r="T277" s="204">
        <f>SUM(F277:S277)</f>
        <v/>
      </c>
      <c r="U277" s="207">
        <f>(HLOOKUP(B277,F:T,A277,FALSE)/T277)</f>
        <v/>
      </c>
      <c r="V277" s="159" t="n"/>
      <c r="W277" s="163">
        <f>YEAR(C277)</f>
        <v/>
      </c>
      <c r="X277" s="116">
        <f>MONTH(C277)</f>
        <v/>
      </c>
      <c r="Y277" s="116">
        <f>WEEKNUM(C277,21)</f>
        <v/>
      </c>
      <c r="Z277" s="122" t="n"/>
      <c r="AA277" s="122" t="n"/>
      <c r="AB277" s="122" t="n"/>
      <c r="AC277" s="122" t="n"/>
      <c r="AD277" s="122" t="n"/>
      <c r="AE277" s="122">
        <f>IFERROR(K277/$T277,0)</f>
        <v/>
      </c>
      <c r="AF277" s="122">
        <f>IFERROR(L277/$T277,0)</f>
        <v/>
      </c>
      <c r="AG277" s="122" t="n"/>
      <c r="AH277" s="122" t="n"/>
      <c r="AI277" s="122" t="n"/>
      <c r="AJ277" s="122" t="n"/>
      <c r="AK277" s="122" t="n"/>
      <c r="AL277" s="122" t="n"/>
      <c r="AM277" s="122" t="n"/>
      <c r="AN277" s="122">
        <f>SUM(Z277:AC277)</f>
        <v/>
      </c>
      <c r="AO277" s="122">
        <f>SUM(AD277:AL277)</f>
        <v/>
      </c>
      <c r="AP277" s="122">
        <f>SUM(AM277,AB277)</f>
        <v/>
      </c>
      <c r="AQ277" s="122">
        <f>SUM(AA277)</f>
        <v/>
      </c>
      <c r="AR277" s="121">
        <f>(AP277+AQ277)-3%</f>
        <v/>
      </c>
      <c r="AS277" s="122">
        <f>SUM(AO277+AM277)</f>
        <v/>
      </c>
      <c r="AT277" s="122">
        <f>SUM(AH277+AN277)</f>
        <v/>
      </c>
      <c r="AU277" s="122">
        <f>SUM(AN277+AO277)</f>
        <v/>
      </c>
      <c r="AV277" s="122">
        <f>SUM(AN277+AD277+AE277+AF277+AG277+AH277+AJ277+AK277+AL277)</f>
        <v/>
      </c>
      <c r="AW277" s="122">
        <f>SUM(AD277+AE277+AF277+AG277+AI277+AJ277+AK277+AL277)</f>
        <v/>
      </c>
    </row>
    <row r="278" ht="14.1" customHeight="1" s="259">
      <c r="A278" s="183">
        <f>A277+1</f>
        <v/>
      </c>
      <c r="B278" s="204" t="n"/>
      <c r="C278" s="205" t="n"/>
      <c r="D278" s="204" t="n"/>
      <c r="E278" s="206" t="n"/>
      <c r="F278" s="206" t="n"/>
      <c r="G278" s="206" t="n"/>
      <c r="H278" s="206" t="n"/>
      <c r="I278" s="206" t="n"/>
      <c r="J278" s="206" t="n"/>
      <c r="K278" s="206" t="n"/>
      <c r="L278" s="206" t="n"/>
      <c r="M278" s="206" t="n"/>
      <c r="N278" s="206" t="n"/>
      <c r="O278" s="206" t="n"/>
      <c r="P278" s="206" t="n"/>
      <c r="Q278" s="206" t="n"/>
      <c r="R278" s="206" t="n"/>
      <c r="S278" s="206" t="n"/>
      <c r="T278" s="204">
        <f>SUM(F278:S278)</f>
        <v/>
      </c>
      <c r="U278" s="207">
        <f>(HLOOKUP(B278,F:T,A278,FALSE)/T278)</f>
        <v/>
      </c>
      <c r="V278" s="159" t="n"/>
      <c r="W278" s="163">
        <f>YEAR(C278)</f>
        <v/>
      </c>
      <c r="X278" s="116">
        <f>MONTH(C278)</f>
        <v/>
      </c>
      <c r="Y278" s="116">
        <f>WEEKNUM(C278,21)</f>
        <v/>
      </c>
      <c r="Z278" s="122" t="n"/>
      <c r="AA278" s="122" t="n"/>
      <c r="AB278" s="122" t="n"/>
      <c r="AC278" s="122" t="n"/>
      <c r="AD278" s="122" t="n"/>
      <c r="AE278" s="122">
        <f>IFERROR(K278/$T278,0)</f>
        <v/>
      </c>
      <c r="AF278" s="122">
        <f>IFERROR(L278/$T278,0)</f>
        <v/>
      </c>
      <c r="AG278" s="122" t="n"/>
      <c r="AH278" s="122" t="n"/>
      <c r="AI278" s="122" t="n"/>
      <c r="AJ278" s="122" t="n"/>
      <c r="AK278" s="122" t="n"/>
      <c r="AL278" s="122" t="n"/>
      <c r="AM278" s="122" t="n"/>
      <c r="AN278" s="122">
        <f>SUM(Z278:AC278)</f>
        <v/>
      </c>
      <c r="AO278" s="122">
        <f>SUM(AD278:AL278)</f>
        <v/>
      </c>
      <c r="AP278" s="122">
        <f>SUM(AM278,AB278)</f>
        <v/>
      </c>
      <c r="AQ278" s="122">
        <f>SUM(AA278)</f>
        <v/>
      </c>
      <c r="AR278" s="121">
        <f>(AP278+AQ278)-3%</f>
        <v/>
      </c>
      <c r="AS278" s="122">
        <f>SUM(AO278+AM278)</f>
        <v/>
      </c>
      <c r="AT278" s="122">
        <f>SUM(AH278+AN278)</f>
        <v/>
      </c>
      <c r="AU278" s="122">
        <f>SUM(AN278+AO278)</f>
        <v/>
      </c>
      <c r="AV278" s="122">
        <f>SUM(AN278+AD278+AE278+AF278+AG278+AH278+AJ278+AK278+AL278)</f>
        <v/>
      </c>
      <c r="AW278" s="122">
        <f>SUM(AD278+AE278+AF278+AG278+AI278+AJ278+AK278+AL278)</f>
        <v/>
      </c>
    </row>
    <row r="279" ht="14.1" customHeight="1" s="259">
      <c r="A279" s="183">
        <f>A278+1</f>
        <v/>
      </c>
      <c r="B279" s="204" t="n"/>
      <c r="C279" s="205" t="n"/>
      <c r="D279" s="204" t="n"/>
      <c r="E279" s="206" t="n"/>
      <c r="F279" s="206" t="n"/>
      <c r="G279" s="206" t="n"/>
      <c r="H279" s="206" t="n"/>
      <c r="I279" s="206" t="n"/>
      <c r="J279" s="206" t="n"/>
      <c r="K279" s="206" t="n"/>
      <c r="L279" s="206" t="n"/>
      <c r="M279" s="206" t="n"/>
      <c r="N279" s="206" t="n"/>
      <c r="O279" s="206" t="n"/>
      <c r="P279" s="206" t="n"/>
      <c r="Q279" s="206" t="n"/>
      <c r="R279" s="206" t="n"/>
      <c r="S279" s="206" t="n"/>
      <c r="T279" s="204">
        <f>SUM(F279:S279)</f>
        <v/>
      </c>
      <c r="U279" s="207">
        <f>(HLOOKUP(B279,F:T,A279,FALSE)/T279)</f>
        <v/>
      </c>
      <c r="V279" s="159" t="n"/>
      <c r="W279" s="163">
        <f>YEAR(C279)</f>
        <v/>
      </c>
      <c r="X279" s="116">
        <f>MONTH(C279)</f>
        <v/>
      </c>
      <c r="Y279" s="116">
        <f>WEEKNUM(C279,21)</f>
        <v/>
      </c>
      <c r="Z279" s="122" t="n"/>
      <c r="AA279" s="122" t="n"/>
      <c r="AB279" s="122" t="n"/>
      <c r="AC279" s="122" t="n"/>
      <c r="AD279" s="122" t="n"/>
      <c r="AE279" s="122">
        <f>IFERROR(K279/$T279,0)</f>
        <v/>
      </c>
      <c r="AF279" s="122">
        <f>IFERROR(L279/$T279,0)</f>
        <v/>
      </c>
      <c r="AG279" s="122" t="n"/>
      <c r="AH279" s="122" t="n"/>
      <c r="AI279" s="122" t="n"/>
      <c r="AJ279" s="122" t="n"/>
      <c r="AK279" s="122" t="n"/>
      <c r="AL279" s="122" t="n"/>
      <c r="AM279" s="122" t="n"/>
      <c r="AN279" s="122">
        <f>SUM(Z279:AC279)</f>
        <v/>
      </c>
      <c r="AO279" s="122">
        <f>SUM(AD279:AL279)</f>
        <v/>
      </c>
      <c r="AP279" s="122">
        <f>SUM(AM279,AB279)</f>
        <v/>
      </c>
      <c r="AQ279" s="122">
        <f>SUM(AA279)</f>
        <v/>
      </c>
      <c r="AR279" s="121">
        <f>(AP279+AQ279)-3%</f>
        <v/>
      </c>
      <c r="AS279" s="122">
        <f>SUM(AO279+AM279)</f>
        <v/>
      </c>
      <c r="AT279" s="122">
        <f>SUM(AH279+AN279)</f>
        <v/>
      </c>
      <c r="AU279" s="122">
        <f>SUM(AN279+AO279)</f>
        <v/>
      </c>
      <c r="AV279" s="122">
        <f>SUM(AN279+AD279+AE279+AF279+AG279+AH279+AJ279+AK279+AL279)</f>
        <v/>
      </c>
      <c r="AW279" s="122">
        <f>SUM(AD279+AE279+AF279+AG279+AI279+AJ279+AK279+AL279)</f>
        <v/>
      </c>
    </row>
    <row r="280" ht="14.1" customHeight="1" s="259">
      <c r="A280" s="183">
        <f>A279+1</f>
        <v/>
      </c>
      <c r="B280" s="204" t="n"/>
      <c r="C280" s="205" t="n"/>
      <c r="D280" s="204" t="n"/>
      <c r="E280" s="206" t="n"/>
      <c r="F280" s="206" t="n"/>
      <c r="G280" s="206" t="n"/>
      <c r="H280" s="206" t="n"/>
      <c r="I280" s="206" t="n"/>
      <c r="J280" s="206" t="n"/>
      <c r="K280" s="206" t="n"/>
      <c r="L280" s="206" t="n"/>
      <c r="M280" s="206" t="n"/>
      <c r="N280" s="206" t="n"/>
      <c r="O280" s="206" t="n"/>
      <c r="P280" s="206" t="n"/>
      <c r="Q280" s="206" t="n"/>
      <c r="R280" s="206" t="n"/>
      <c r="S280" s="206" t="n"/>
      <c r="T280" s="204">
        <f>SUM(F280:S280)</f>
        <v/>
      </c>
      <c r="U280" s="207">
        <f>(HLOOKUP(B280,F:T,A280,FALSE)/T280)</f>
        <v/>
      </c>
      <c r="V280" s="159" t="n"/>
      <c r="W280" s="163">
        <f>YEAR(C280)</f>
        <v/>
      </c>
      <c r="X280" s="116">
        <f>MONTH(C280)</f>
        <v/>
      </c>
      <c r="Y280" s="116">
        <f>WEEKNUM(C280,21)</f>
        <v/>
      </c>
      <c r="Z280" s="122" t="n"/>
      <c r="AA280" s="122" t="n"/>
      <c r="AB280" s="122" t="n"/>
      <c r="AC280" s="122" t="n"/>
      <c r="AD280" s="122" t="n"/>
      <c r="AE280" s="122">
        <f>IFERROR(K280/$T280,0)</f>
        <v/>
      </c>
      <c r="AF280" s="122">
        <f>IFERROR(L280/$T280,0)</f>
        <v/>
      </c>
      <c r="AG280" s="122" t="n"/>
      <c r="AH280" s="122" t="n"/>
      <c r="AI280" s="122" t="n"/>
      <c r="AJ280" s="122" t="n"/>
      <c r="AK280" s="122" t="n"/>
      <c r="AL280" s="122" t="n"/>
      <c r="AM280" s="122" t="n"/>
      <c r="AN280" s="122">
        <f>SUM(Z280:AC280)</f>
        <v/>
      </c>
      <c r="AO280" s="122">
        <f>SUM(AD280:AL280)</f>
        <v/>
      </c>
      <c r="AP280" s="122">
        <f>SUM(AM280,AB280)</f>
        <v/>
      </c>
      <c r="AQ280" s="122">
        <f>SUM(AA280)</f>
        <v/>
      </c>
      <c r="AR280" s="121">
        <f>(AP280+AQ280)-3%</f>
        <v/>
      </c>
      <c r="AS280" s="122">
        <f>SUM(AO280+AM280)</f>
        <v/>
      </c>
      <c r="AT280" s="122">
        <f>SUM(AH280+AN280)</f>
        <v/>
      </c>
      <c r="AU280" s="122">
        <f>SUM(AN280+AO280)</f>
        <v/>
      </c>
      <c r="AV280" s="122">
        <f>SUM(AN280+AD280+AE280+AF280+AG280+AH280+AJ280+AK280+AL280)</f>
        <v/>
      </c>
      <c r="AW280" s="122">
        <f>SUM(AD280+AE280+AF280+AG280+AI280+AJ280+AK280+AL280)</f>
        <v/>
      </c>
    </row>
    <row r="281" ht="14.1" customHeight="1" s="259">
      <c r="A281" s="183">
        <f>A280+1</f>
        <v/>
      </c>
      <c r="B281" s="199" t="n"/>
      <c r="C281" s="200" t="n"/>
      <c r="D281" s="199" t="n"/>
      <c r="E281" s="201" t="n"/>
      <c r="F281" s="201" t="n"/>
      <c r="G281" s="201" t="n"/>
      <c r="H281" s="201" t="n"/>
      <c r="I281" s="201" t="n"/>
      <c r="J281" s="201" t="n"/>
      <c r="K281" s="201" t="n"/>
      <c r="L281" s="201" t="n"/>
      <c r="M281" s="201" t="n"/>
      <c r="N281" s="201" t="n"/>
      <c r="O281" s="201" t="n"/>
      <c r="P281" s="201" t="n"/>
      <c r="Q281" s="201" t="n"/>
      <c r="R281" s="201" t="n"/>
      <c r="S281" s="201" t="n"/>
      <c r="T281" s="199">
        <f>SUM(F281:S281)</f>
        <v/>
      </c>
      <c r="U281" s="202">
        <f>(HLOOKUP(B281,F:T,A281,FALSE)/T281)</f>
        <v/>
      </c>
      <c r="V281" s="159" t="n"/>
      <c r="W281" s="163">
        <f>YEAR(C281)</f>
        <v/>
      </c>
      <c r="X281" s="116">
        <f>MONTH(C281)</f>
        <v/>
      </c>
      <c r="Y281" s="116">
        <f>WEEKNUM(C281,21)</f>
        <v/>
      </c>
      <c r="Z281" s="122" t="n"/>
      <c r="AA281" s="122" t="n"/>
      <c r="AB281" s="122" t="n"/>
      <c r="AC281" s="122" t="n"/>
      <c r="AD281" s="122" t="n"/>
      <c r="AE281" s="122">
        <f>IFERROR(K281/$T281,0)</f>
        <v/>
      </c>
      <c r="AF281" s="122">
        <f>IFERROR(L281/$T281,0)</f>
        <v/>
      </c>
      <c r="AG281" s="122" t="n"/>
      <c r="AH281" s="122" t="n"/>
      <c r="AI281" s="122" t="n"/>
      <c r="AJ281" s="122" t="n"/>
      <c r="AK281" s="122" t="n"/>
      <c r="AL281" s="122" t="n"/>
      <c r="AM281" s="122" t="n"/>
      <c r="AN281" s="122">
        <f>SUM(Z281:AC281)</f>
        <v/>
      </c>
      <c r="AO281" s="122">
        <f>SUM(AD281:AL281)</f>
        <v/>
      </c>
      <c r="AP281" s="122">
        <f>SUM(AM281,AB281)</f>
        <v/>
      </c>
      <c r="AQ281" s="122">
        <f>SUM(AA281)</f>
        <v/>
      </c>
      <c r="AR281" s="121">
        <f>(AP281+AQ281)-3%</f>
        <v/>
      </c>
      <c r="AS281" s="122">
        <f>SUM(AO281+AM281)</f>
        <v/>
      </c>
      <c r="AT281" s="122">
        <f>SUM(AH281+AN281)</f>
        <v/>
      </c>
      <c r="AU281" s="122">
        <f>SUM(AN281+AO281)</f>
        <v/>
      </c>
      <c r="AV281" s="122">
        <f>SUM(AN281+AD281+AE281+AF281+AG281+AH281+AJ281+AK281+AL281)</f>
        <v/>
      </c>
      <c r="AW281" s="122">
        <f>SUM(AD281+AE281+AF281+AG281+AI281+AJ281+AK281+AL281)</f>
        <v/>
      </c>
    </row>
    <row r="282" ht="14.1" customHeight="1" s="259">
      <c r="A282" s="183">
        <f>A281+1</f>
        <v/>
      </c>
      <c r="B282" s="199" t="n"/>
      <c r="C282" s="200" t="n"/>
      <c r="D282" s="199" t="n"/>
      <c r="E282" s="201" t="n"/>
      <c r="F282" s="201" t="n"/>
      <c r="G282" s="201" t="n"/>
      <c r="H282" s="201" t="n"/>
      <c r="I282" s="201" t="n"/>
      <c r="J282" s="201" t="n"/>
      <c r="K282" s="201" t="n"/>
      <c r="L282" s="201" t="n"/>
      <c r="M282" s="201" t="n"/>
      <c r="N282" s="201" t="n"/>
      <c r="O282" s="201" t="n"/>
      <c r="P282" s="201" t="n"/>
      <c r="Q282" s="201" t="n"/>
      <c r="R282" s="201" t="n"/>
      <c r="S282" s="201" t="n"/>
      <c r="T282" s="199">
        <f>SUM(F282:S282)</f>
        <v/>
      </c>
      <c r="U282" s="202">
        <f>(HLOOKUP(B282,F:T,A282,FALSE)/T282)</f>
        <v/>
      </c>
      <c r="V282" s="159" t="n"/>
      <c r="W282" s="163">
        <f>YEAR(C282)</f>
        <v/>
      </c>
      <c r="X282" s="116">
        <f>MONTH(C282)</f>
        <v/>
      </c>
      <c r="Y282" s="116">
        <f>WEEKNUM(C282,21)</f>
        <v/>
      </c>
      <c r="Z282" s="122" t="n"/>
      <c r="AA282" s="122" t="n"/>
      <c r="AB282" s="122" t="n"/>
      <c r="AC282" s="122" t="n"/>
      <c r="AD282" s="122" t="n"/>
      <c r="AE282" s="122">
        <f>IFERROR(K282/$T282,0)</f>
        <v/>
      </c>
      <c r="AF282" s="122">
        <f>IFERROR(L282/$T282,0)</f>
        <v/>
      </c>
      <c r="AG282" s="122" t="n"/>
      <c r="AH282" s="122" t="n"/>
      <c r="AI282" s="122" t="n"/>
      <c r="AJ282" s="122" t="n"/>
      <c r="AK282" s="122" t="n"/>
      <c r="AL282" s="122" t="n"/>
      <c r="AM282" s="122" t="n"/>
      <c r="AN282" s="122">
        <f>SUM(Z282:AC282)</f>
        <v/>
      </c>
      <c r="AO282" s="122">
        <f>SUM(AD282:AL282)</f>
        <v/>
      </c>
      <c r="AP282" s="122">
        <f>SUM(AM282,AB282)</f>
        <v/>
      </c>
      <c r="AQ282" s="122">
        <f>SUM(AA282)</f>
        <v/>
      </c>
      <c r="AR282" s="121">
        <f>(AP282+AQ282)-3%</f>
        <v/>
      </c>
      <c r="AS282" s="122">
        <f>SUM(AO282+AM282)</f>
        <v/>
      </c>
      <c r="AT282" s="122">
        <f>SUM(AH282+AN282)</f>
        <v/>
      </c>
      <c r="AU282" s="122">
        <f>SUM(AN282+AO282)</f>
        <v/>
      </c>
      <c r="AV282" s="122">
        <f>SUM(AN282+AD282+AE282+AF282+AG282+AH282+AJ282+AK282+AL282)</f>
        <v/>
      </c>
      <c r="AW282" s="122">
        <f>SUM(AD282+AE282+AF282+AG282+AI282+AJ282+AK282+AL282)</f>
        <v/>
      </c>
    </row>
    <row r="283" ht="14.1" customHeight="1" s="259">
      <c r="A283" s="183">
        <f>A282+1</f>
        <v/>
      </c>
      <c r="B283" s="204" t="n"/>
      <c r="C283" s="205" t="n"/>
      <c r="D283" s="204" t="n"/>
      <c r="E283" s="206" t="n"/>
      <c r="F283" s="206" t="n"/>
      <c r="G283" s="206" t="n"/>
      <c r="H283" s="206" t="n"/>
      <c r="I283" s="206" t="n"/>
      <c r="J283" s="206" t="n"/>
      <c r="K283" s="206" t="n"/>
      <c r="L283" s="206" t="n"/>
      <c r="M283" s="206" t="n"/>
      <c r="N283" s="206" t="n"/>
      <c r="O283" s="206" t="n"/>
      <c r="P283" s="206" t="n"/>
      <c r="Q283" s="206" t="n"/>
      <c r="R283" s="206" t="n"/>
      <c r="S283" s="206" t="n"/>
      <c r="T283" s="204">
        <f>SUM(F283:S283)</f>
        <v/>
      </c>
      <c r="U283" s="207">
        <f>(HLOOKUP(B283,F:T,A283,FALSE)/T283)</f>
        <v/>
      </c>
      <c r="V283" s="159" t="n"/>
      <c r="W283" s="163">
        <f>YEAR(C283)</f>
        <v/>
      </c>
      <c r="X283" s="116">
        <f>MONTH(C283)</f>
        <v/>
      </c>
      <c r="Y283" s="116">
        <f>WEEKNUM(C283,21)</f>
        <v/>
      </c>
      <c r="Z283" s="122" t="n"/>
      <c r="AA283" s="122" t="n"/>
      <c r="AB283" s="122" t="n"/>
      <c r="AC283" s="122" t="n"/>
      <c r="AD283" s="122" t="n"/>
      <c r="AE283" s="122">
        <f>IFERROR(K283/$T283,0)</f>
        <v/>
      </c>
      <c r="AF283" s="122">
        <f>IFERROR(L283/$T283,0)</f>
        <v/>
      </c>
      <c r="AG283" s="122" t="n"/>
      <c r="AH283" s="122" t="n"/>
      <c r="AI283" s="122" t="n"/>
      <c r="AJ283" s="122" t="n"/>
      <c r="AK283" s="122" t="n"/>
      <c r="AL283" s="122" t="n"/>
      <c r="AM283" s="122" t="n"/>
      <c r="AN283" s="122">
        <f>SUM(Z283:AC283)</f>
        <v/>
      </c>
      <c r="AO283" s="122">
        <f>SUM(AD283:AL283)</f>
        <v/>
      </c>
      <c r="AP283" s="122">
        <f>SUM(AM283,AB283)</f>
        <v/>
      </c>
      <c r="AQ283" s="122">
        <f>SUM(AA283)</f>
        <v/>
      </c>
      <c r="AR283" s="121">
        <f>(AP283+AQ283)-3%</f>
        <v/>
      </c>
      <c r="AS283" s="122">
        <f>SUM(AO283+AM283)</f>
        <v/>
      </c>
      <c r="AT283" s="122">
        <f>SUM(AH283+AN283)</f>
        <v/>
      </c>
      <c r="AU283" s="122">
        <f>SUM(AN283+AO283)</f>
        <v/>
      </c>
      <c r="AV283" s="122">
        <f>SUM(AN283+AD283+AE283+AF283+AG283+AH283+AJ283+AK283+AL283)</f>
        <v/>
      </c>
      <c r="AW283" s="122">
        <f>SUM(AD283+AE283+AF283+AG283+AI283+AJ283+AK283+AL283)</f>
        <v/>
      </c>
    </row>
    <row r="284" ht="14.1" customHeight="1" s="259">
      <c r="A284" s="183">
        <f>A283+1</f>
        <v/>
      </c>
      <c r="B284" s="204" t="n"/>
      <c r="C284" s="205" t="n"/>
      <c r="D284" s="204" t="n"/>
      <c r="E284" s="206" t="n"/>
      <c r="F284" s="206" t="n"/>
      <c r="G284" s="206" t="n"/>
      <c r="H284" s="206" t="n"/>
      <c r="I284" s="206" t="n"/>
      <c r="J284" s="206" t="n"/>
      <c r="K284" s="206" t="n"/>
      <c r="L284" s="206" t="n"/>
      <c r="M284" s="206" t="n"/>
      <c r="N284" s="206" t="n"/>
      <c r="O284" s="206" t="n"/>
      <c r="P284" s="206" t="n"/>
      <c r="Q284" s="206" t="n"/>
      <c r="R284" s="206" t="n"/>
      <c r="S284" s="206" t="n"/>
      <c r="T284" s="204">
        <f>SUM(F284:S284)</f>
        <v/>
      </c>
      <c r="U284" s="207">
        <f>(HLOOKUP(B284,F:T,A284,FALSE)/T284)</f>
        <v/>
      </c>
      <c r="V284" s="159" t="n"/>
      <c r="W284" s="163">
        <f>YEAR(C284)</f>
        <v/>
      </c>
      <c r="X284" s="116">
        <f>MONTH(C284)</f>
        <v/>
      </c>
      <c r="Y284" s="116">
        <f>WEEKNUM(C284,21)</f>
        <v/>
      </c>
      <c r="Z284" s="122" t="n"/>
      <c r="AA284" s="122" t="n"/>
      <c r="AB284" s="122" t="n"/>
      <c r="AC284" s="122" t="n"/>
      <c r="AD284" s="122" t="n"/>
      <c r="AE284" s="122">
        <f>IFERROR(K284/$T284,0)</f>
        <v/>
      </c>
      <c r="AF284" s="122">
        <f>IFERROR(L284/$T284,0)</f>
        <v/>
      </c>
      <c r="AG284" s="122" t="n"/>
      <c r="AH284" s="122" t="n"/>
      <c r="AI284" s="122" t="n"/>
      <c r="AJ284" s="122" t="n"/>
      <c r="AK284" s="122" t="n"/>
      <c r="AL284" s="122" t="n"/>
      <c r="AM284" s="122" t="n"/>
      <c r="AN284" s="122">
        <f>SUM(Z284:AC284)</f>
        <v/>
      </c>
      <c r="AO284" s="122">
        <f>SUM(AD284:AL284)</f>
        <v/>
      </c>
      <c r="AP284" s="122">
        <f>SUM(AM284,AB284)</f>
        <v/>
      </c>
      <c r="AQ284" s="122">
        <f>SUM(AA284)</f>
        <v/>
      </c>
      <c r="AR284" s="121">
        <f>(AP284+AQ284)-3%</f>
        <v/>
      </c>
      <c r="AS284" s="122">
        <f>SUM(AO284+AM284)</f>
        <v/>
      </c>
      <c r="AT284" s="122">
        <f>SUM(AH284+AN284)</f>
        <v/>
      </c>
      <c r="AU284" s="122">
        <f>SUM(AN284+AO284)</f>
        <v/>
      </c>
      <c r="AV284" s="122">
        <f>SUM(AN284+AD284+AE284+AF284+AG284+AH284+AJ284+AK284+AL284)</f>
        <v/>
      </c>
      <c r="AW284" s="122">
        <f>SUM(AD284+AE284+AF284+AG284+AI284+AJ284+AK284+AL284)</f>
        <v/>
      </c>
    </row>
    <row r="285" ht="14.1" customHeight="1" s="259">
      <c r="A285" s="183">
        <f>A284+1</f>
        <v/>
      </c>
      <c r="B285" s="204" t="n"/>
      <c r="C285" s="205" t="n"/>
      <c r="D285" s="204" t="n"/>
      <c r="E285" s="206" t="n"/>
      <c r="F285" s="206" t="n"/>
      <c r="G285" s="206" t="n"/>
      <c r="H285" s="206" t="n"/>
      <c r="I285" s="206" t="n"/>
      <c r="J285" s="206" t="n"/>
      <c r="K285" s="206" t="n"/>
      <c r="L285" s="206" t="n"/>
      <c r="M285" s="206" t="n"/>
      <c r="N285" s="206" t="n"/>
      <c r="O285" s="206" t="n"/>
      <c r="P285" s="206" t="n"/>
      <c r="Q285" s="206" t="n"/>
      <c r="R285" s="206" t="n"/>
      <c r="S285" s="206" t="n"/>
      <c r="T285" s="204">
        <f>SUM(F285:S285)</f>
        <v/>
      </c>
      <c r="U285" s="207">
        <f>(HLOOKUP(B285,F:T,A285,FALSE)/T285)</f>
        <v/>
      </c>
      <c r="V285" s="159" t="n"/>
      <c r="W285" s="163">
        <f>YEAR(C285)</f>
        <v/>
      </c>
      <c r="X285" s="116">
        <f>MONTH(C285)</f>
        <v/>
      </c>
      <c r="Y285" s="116">
        <f>WEEKNUM(C285,21)</f>
        <v/>
      </c>
      <c r="Z285" s="122" t="n"/>
      <c r="AA285" s="122" t="n"/>
      <c r="AB285" s="122" t="n"/>
      <c r="AC285" s="122" t="n"/>
      <c r="AD285" s="122" t="n"/>
      <c r="AE285" s="122">
        <f>IFERROR(K285/$T285,0)</f>
        <v/>
      </c>
      <c r="AF285" s="122">
        <f>IFERROR(L285/$T285,0)</f>
        <v/>
      </c>
      <c r="AG285" s="122" t="n"/>
      <c r="AH285" s="122" t="n"/>
      <c r="AI285" s="122" t="n"/>
      <c r="AJ285" s="122" t="n"/>
      <c r="AK285" s="122" t="n"/>
      <c r="AL285" s="122" t="n"/>
      <c r="AM285" s="122" t="n"/>
      <c r="AN285" s="122">
        <f>SUM(Z285:AC285)</f>
        <v/>
      </c>
      <c r="AO285" s="122">
        <f>SUM(AD285:AL285)</f>
        <v/>
      </c>
      <c r="AP285" s="122">
        <f>SUM(AM285,AB285)</f>
        <v/>
      </c>
      <c r="AQ285" s="122">
        <f>SUM(AA285)</f>
        <v/>
      </c>
      <c r="AR285" s="121">
        <f>(AP285+AQ285)-3%</f>
        <v/>
      </c>
      <c r="AS285" s="122">
        <f>SUM(AO285+AM285)</f>
        <v/>
      </c>
      <c r="AT285" s="122">
        <f>SUM(AH285+AN285)</f>
        <v/>
      </c>
      <c r="AU285" s="122">
        <f>SUM(AN285+AO285)</f>
        <v/>
      </c>
      <c r="AV285" s="122">
        <f>SUM(AN285+AD285+AE285+AF285+AG285+AH285+AJ285+AK285+AL285)</f>
        <v/>
      </c>
      <c r="AW285" s="122">
        <f>SUM(AD285+AE285+AF285+AG285+AI285+AJ285+AK285+AL285)</f>
        <v/>
      </c>
    </row>
    <row r="286" ht="14.1" customHeight="1" s="259">
      <c r="A286" s="183">
        <f>A285+1</f>
        <v/>
      </c>
      <c r="B286" s="204" t="n"/>
      <c r="C286" s="205" t="n"/>
      <c r="D286" s="204" t="n"/>
      <c r="E286" s="206" t="n"/>
      <c r="F286" s="206" t="n"/>
      <c r="G286" s="206" t="n"/>
      <c r="H286" s="206" t="n"/>
      <c r="I286" s="206" t="n"/>
      <c r="J286" s="206" t="n"/>
      <c r="K286" s="206" t="n"/>
      <c r="L286" s="206" t="n"/>
      <c r="M286" s="206" t="n"/>
      <c r="N286" s="206" t="n"/>
      <c r="O286" s="206" t="n"/>
      <c r="P286" s="206" t="n"/>
      <c r="Q286" s="206" t="n"/>
      <c r="R286" s="206" t="n"/>
      <c r="S286" s="206" t="n"/>
      <c r="T286" s="204">
        <f>SUM(F286:S286)</f>
        <v/>
      </c>
      <c r="U286" s="207">
        <f>(HLOOKUP(B286,F:T,A286,FALSE)/T286)</f>
        <v/>
      </c>
      <c r="V286" s="159" t="n"/>
      <c r="W286" s="163">
        <f>YEAR(C286)</f>
        <v/>
      </c>
      <c r="X286" s="116">
        <f>MONTH(C286)</f>
        <v/>
      </c>
      <c r="Y286" s="116">
        <f>WEEKNUM(C286,21)</f>
        <v/>
      </c>
      <c r="Z286" s="122" t="n"/>
      <c r="AA286" s="122" t="n"/>
      <c r="AB286" s="122" t="n"/>
      <c r="AC286" s="122" t="n"/>
      <c r="AD286" s="122" t="n"/>
      <c r="AE286" s="122">
        <f>IFERROR(K286/$T286,0)</f>
        <v/>
      </c>
      <c r="AF286" s="122">
        <f>IFERROR(L286/$T286,0)</f>
        <v/>
      </c>
      <c r="AG286" s="122" t="n"/>
      <c r="AH286" s="122" t="n"/>
      <c r="AI286" s="122" t="n"/>
      <c r="AJ286" s="122" t="n"/>
      <c r="AK286" s="122" t="n"/>
      <c r="AL286" s="122" t="n"/>
      <c r="AM286" s="122" t="n"/>
      <c r="AN286" s="122">
        <f>SUM(Z286:AC286)</f>
        <v/>
      </c>
      <c r="AO286" s="122">
        <f>SUM(AD286:AL286)</f>
        <v/>
      </c>
      <c r="AP286" s="122">
        <f>SUM(AM286,AB286)</f>
        <v/>
      </c>
      <c r="AQ286" s="122">
        <f>SUM(AA286)</f>
        <v/>
      </c>
      <c r="AR286" s="121">
        <f>(AP286+AQ286)-3%</f>
        <v/>
      </c>
      <c r="AS286" s="122">
        <f>SUM(AO286+AM286)</f>
        <v/>
      </c>
      <c r="AT286" s="122">
        <f>SUM(AH286+AN286)</f>
        <v/>
      </c>
      <c r="AU286" s="122">
        <f>SUM(AN286+AO286)</f>
        <v/>
      </c>
      <c r="AV286" s="122">
        <f>SUM(AN286+AD286+AE286+AF286+AG286+AH286+AJ286+AK286+AL286)</f>
        <v/>
      </c>
      <c r="AW286" s="122">
        <f>SUM(AD286+AE286+AF286+AG286+AI286+AJ286+AK286+AL286)</f>
        <v/>
      </c>
    </row>
    <row r="287" ht="14.1" customHeight="1" s="259">
      <c r="A287" s="183">
        <f>A286+1</f>
        <v/>
      </c>
      <c r="B287" s="204" t="n"/>
      <c r="C287" s="205" t="n"/>
      <c r="D287" s="204" t="n"/>
      <c r="E287" s="206" t="n"/>
      <c r="F287" s="206" t="n"/>
      <c r="G287" s="206" t="n"/>
      <c r="H287" s="206" t="n"/>
      <c r="I287" s="206" t="n"/>
      <c r="J287" s="206" t="n"/>
      <c r="K287" s="206" t="n"/>
      <c r="L287" s="206" t="n"/>
      <c r="M287" s="206" t="n"/>
      <c r="N287" s="206" t="n"/>
      <c r="O287" s="206" t="n"/>
      <c r="P287" s="206" t="n"/>
      <c r="Q287" s="206" t="n"/>
      <c r="R287" s="206" t="n"/>
      <c r="S287" s="206" t="n"/>
      <c r="T287" s="204">
        <f>SUM(F287:S287)</f>
        <v/>
      </c>
      <c r="U287" s="207">
        <f>(HLOOKUP(B287,F:T,A287,FALSE)/T287)</f>
        <v/>
      </c>
      <c r="V287" s="159" t="n"/>
      <c r="W287" s="163">
        <f>YEAR(C287)</f>
        <v/>
      </c>
      <c r="X287" s="116">
        <f>MONTH(C287)</f>
        <v/>
      </c>
      <c r="Y287" s="116">
        <f>WEEKNUM(C287,21)</f>
        <v/>
      </c>
      <c r="Z287" s="122" t="n"/>
      <c r="AA287" s="122" t="n"/>
      <c r="AB287" s="122" t="n"/>
      <c r="AC287" s="122" t="n"/>
      <c r="AD287" s="122" t="n"/>
      <c r="AE287" s="122">
        <f>IFERROR(K287/$T287,0)</f>
        <v/>
      </c>
      <c r="AF287" s="122">
        <f>IFERROR(L287/$T287,0)</f>
        <v/>
      </c>
      <c r="AG287" s="122" t="n"/>
      <c r="AH287" s="122" t="n"/>
      <c r="AI287" s="122" t="n"/>
      <c r="AJ287" s="122" t="n"/>
      <c r="AK287" s="122" t="n"/>
      <c r="AL287" s="122" t="n"/>
      <c r="AM287" s="122" t="n"/>
      <c r="AN287" s="122">
        <f>SUM(Z287:AC287)</f>
        <v/>
      </c>
      <c r="AO287" s="122">
        <f>SUM(AD287:AL287)</f>
        <v/>
      </c>
      <c r="AP287" s="122">
        <f>SUM(AM287,AB287)</f>
        <v/>
      </c>
      <c r="AQ287" s="122">
        <f>SUM(AA287)</f>
        <v/>
      </c>
      <c r="AR287" s="121">
        <f>(AP287+AQ287)-3%</f>
        <v/>
      </c>
      <c r="AS287" s="122">
        <f>SUM(AO287+AM287)</f>
        <v/>
      </c>
      <c r="AT287" s="122">
        <f>SUM(AH287+AN287)</f>
        <v/>
      </c>
      <c r="AU287" s="122">
        <f>SUM(AN287+AO287)</f>
        <v/>
      </c>
      <c r="AV287" s="122">
        <f>SUM(AN287+AD287+AE287+AF287+AG287+AH287+AJ287+AK287+AL287)</f>
        <v/>
      </c>
      <c r="AW287" s="122">
        <f>SUM(AD287+AE287+AF287+AG287+AI287+AJ287+AK287+AL287)</f>
        <v/>
      </c>
    </row>
    <row r="288" ht="14.1" customHeight="1" s="259">
      <c r="A288" s="183">
        <f>A287+1</f>
        <v/>
      </c>
      <c r="B288" s="204" t="n"/>
      <c r="C288" s="205" t="n"/>
      <c r="D288" s="204" t="n"/>
      <c r="E288" s="206" t="n"/>
      <c r="F288" s="206" t="n"/>
      <c r="G288" s="206" t="n"/>
      <c r="H288" s="206" t="n"/>
      <c r="I288" s="206" t="n"/>
      <c r="J288" s="206" t="n"/>
      <c r="K288" s="206" t="n"/>
      <c r="L288" s="206" t="n"/>
      <c r="M288" s="206" t="n"/>
      <c r="N288" s="206" t="n"/>
      <c r="O288" s="206" t="n"/>
      <c r="P288" s="206" t="n"/>
      <c r="Q288" s="206" t="n"/>
      <c r="R288" s="206" t="n"/>
      <c r="S288" s="206" t="n"/>
      <c r="T288" s="204">
        <f>SUM(F288:S288)</f>
        <v/>
      </c>
      <c r="U288" s="207">
        <f>(HLOOKUP(B288,F:T,A288,FALSE)/T288)</f>
        <v/>
      </c>
      <c r="V288" s="159" t="n"/>
      <c r="W288" s="163">
        <f>YEAR(C288)</f>
        <v/>
      </c>
      <c r="X288" s="116">
        <f>MONTH(C288)</f>
        <v/>
      </c>
      <c r="Y288" s="116">
        <f>WEEKNUM(C288,21)</f>
        <v/>
      </c>
      <c r="Z288" s="122" t="n"/>
      <c r="AA288" s="122" t="n"/>
      <c r="AB288" s="122" t="n"/>
      <c r="AC288" s="122" t="n"/>
      <c r="AD288" s="122" t="n"/>
      <c r="AE288" s="122">
        <f>IFERROR(K288/$T288,0)</f>
        <v/>
      </c>
      <c r="AF288" s="122">
        <f>IFERROR(L288/$T288,0)</f>
        <v/>
      </c>
      <c r="AG288" s="122" t="n"/>
      <c r="AH288" s="122" t="n"/>
      <c r="AI288" s="122" t="n"/>
      <c r="AJ288" s="122" t="n"/>
      <c r="AK288" s="122" t="n"/>
      <c r="AL288" s="122" t="n"/>
      <c r="AM288" s="122" t="n"/>
      <c r="AN288" s="122">
        <f>SUM(Z288:AC288)</f>
        <v/>
      </c>
      <c r="AO288" s="122">
        <f>SUM(AD288:AL288)</f>
        <v/>
      </c>
      <c r="AP288" s="122">
        <f>SUM(AM288,AB288)</f>
        <v/>
      </c>
      <c r="AQ288" s="122">
        <f>SUM(AA288)</f>
        <v/>
      </c>
      <c r="AR288" s="121">
        <f>(AP288+AQ288)-3%</f>
        <v/>
      </c>
      <c r="AS288" s="122">
        <f>SUM(AO288+AM288)</f>
        <v/>
      </c>
      <c r="AT288" s="122">
        <f>SUM(AH288+AN288)</f>
        <v/>
      </c>
      <c r="AU288" s="122">
        <f>SUM(AN288+AO288)</f>
        <v/>
      </c>
      <c r="AV288" s="122">
        <f>SUM(AN288+AD288+AE288+AF288+AG288+AH288+AJ288+AK288+AL288)</f>
        <v/>
      </c>
      <c r="AW288" s="122">
        <f>SUM(AD288+AE288+AF288+AG288+AI288+AJ288+AK288+AL288)</f>
        <v/>
      </c>
    </row>
    <row r="289" ht="14.1" customHeight="1" s="259">
      <c r="A289" s="183">
        <f>A288+1</f>
        <v/>
      </c>
      <c r="B289" s="204" t="n"/>
      <c r="C289" s="205" t="n"/>
      <c r="D289" s="204" t="n"/>
      <c r="E289" s="206" t="n"/>
      <c r="F289" s="206" t="n"/>
      <c r="G289" s="206" t="n"/>
      <c r="H289" s="206" t="n"/>
      <c r="I289" s="206" t="n"/>
      <c r="J289" s="206" t="n"/>
      <c r="K289" s="206" t="n"/>
      <c r="L289" s="206" t="n"/>
      <c r="M289" s="206" t="n"/>
      <c r="N289" s="206" t="n"/>
      <c r="O289" s="206" t="n"/>
      <c r="P289" s="206" t="n"/>
      <c r="Q289" s="206" t="n"/>
      <c r="R289" s="206" t="n"/>
      <c r="S289" s="206" t="n"/>
      <c r="T289" s="204">
        <f>SUM(F289:S289)</f>
        <v/>
      </c>
      <c r="U289" s="207">
        <f>(HLOOKUP(B289,F:T,A289,FALSE)/T289)</f>
        <v/>
      </c>
      <c r="V289" s="159" t="n"/>
      <c r="W289" s="163">
        <f>YEAR(C289)</f>
        <v/>
      </c>
      <c r="X289" s="116">
        <f>MONTH(C289)</f>
        <v/>
      </c>
      <c r="Y289" s="116">
        <f>WEEKNUM(C289,21)</f>
        <v/>
      </c>
      <c r="Z289" s="122" t="n"/>
      <c r="AA289" s="122" t="n"/>
      <c r="AB289" s="122" t="n"/>
      <c r="AC289" s="122" t="n"/>
      <c r="AD289" s="122" t="n"/>
      <c r="AE289" s="122">
        <f>IFERROR(K289/$T289,0)</f>
        <v/>
      </c>
      <c r="AF289" s="122">
        <f>IFERROR(L289/$T289,0)</f>
        <v/>
      </c>
      <c r="AG289" s="122" t="n"/>
      <c r="AH289" s="122" t="n"/>
      <c r="AI289" s="122" t="n"/>
      <c r="AJ289" s="122" t="n"/>
      <c r="AK289" s="122" t="n"/>
      <c r="AL289" s="122" t="n"/>
      <c r="AM289" s="122" t="n"/>
      <c r="AN289" s="122">
        <f>SUM(Z289:AC289)</f>
        <v/>
      </c>
      <c r="AO289" s="122">
        <f>SUM(AD289:AL289)</f>
        <v/>
      </c>
      <c r="AP289" s="122">
        <f>SUM(AM289,AB289)</f>
        <v/>
      </c>
      <c r="AQ289" s="122">
        <f>SUM(AA289)</f>
        <v/>
      </c>
      <c r="AR289" s="121">
        <f>(AP289+AQ289)-3%</f>
        <v/>
      </c>
      <c r="AS289" s="122">
        <f>SUM(AO289+AM289)</f>
        <v/>
      </c>
      <c r="AT289" s="122">
        <f>SUM(AH289+AN289)</f>
        <v/>
      </c>
      <c r="AU289" s="122">
        <f>SUM(AN289+AO289)</f>
        <v/>
      </c>
      <c r="AV289" s="122">
        <f>SUM(AN289+AD289+AE289+AF289+AG289+AH289+AJ289+AK289+AL289)</f>
        <v/>
      </c>
      <c r="AW289" s="122">
        <f>SUM(AD289+AE289+AF289+AG289+AI289+AJ289+AK289+AL289)</f>
        <v/>
      </c>
    </row>
    <row r="290" ht="14.1" customHeight="1" s="259">
      <c r="A290" s="183">
        <f>A289+1</f>
        <v/>
      </c>
      <c r="B290" s="204" t="n"/>
      <c r="C290" s="205" t="n"/>
      <c r="D290" s="204" t="n"/>
      <c r="E290" s="206" t="n"/>
      <c r="F290" s="206" t="n"/>
      <c r="G290" s="206" t="n"/>
      <c r="H290" s="206" t="n"/>
      <c r="I290" s="206" t="n"/>
      <c r="J290" s="206" t="n"/>
      <c r="K290" s="206" t="n"/>
      <c r="L290" s="206" t="n"/>
      <c r="M290" s="206" t="n"/>
      <c r="N290" s="206" t="n"/>
      <c r="O290" s="206" t="n"/>
      <c r="P290" s="206" t="n"/>
      <c r="Q290" s="206" t="n"/>
      <c r="R290" s="206" t="n"/>
      <c r="S290" s="206" t="n"/>
      <c r="T290" s="204">
        <f>SUM(F290:S290)</f>
        <v/>
      </c>
      <c r="U290" s="207">
        <f>(HLOOKUP(B290,F:T,A290,FALSE)/T290)</f>
        <v/>
      </c>
      <c r="V290" s="159" t="n"/>
      <c r="W290" s="163">
        <f>YEAR(C290)</f>
        <v/>
      </c>
      <c r="X290" s="116">
        <f>MONTH(C290)</f>
        <v/>
      </c>
      <c r="Y290" s="116">
        <f>WEEKNUM(C290,21)</f>
        <v/>
      </c>
      <c r="Z290" s="122" t="n"/>
      <c r="AA290" s="122" t="n"/>
      <c r="AB290" s="122" t="n"/>
      <c r="AC290" s="122" t="n"/>
      <c r="AD290" s="122" t="n"/>
      <c r="AE290" s="122">
        <f>IFERROR(K290/$T290,0)</f>
        <v/>
      </c>
      <c r="AF290" s="122">
        <f>IFERROR(L290/$T290,0)</f>
        <v/>
      </c>
      <c r="AG290" s="122" t="n"/>
      <c r="AH290" s="122" t="n"/>
      <c r="AI290" s="122" t="n"/>
      <c r="AJ290" s="122" t="n"/>
      <c r="AK290" s="122" t="n"/>
      <c r="AL290" s="122" t="n"/>
      <c r="AM290" s="122" t="n"/>
      <c r="AN290" s="122">
        <f>SUM(Z290:AC290)</f>
        <v/>
      </c>
      <c r="AO290" s="122">
        <f>SUM(AD290:AL290)</f>
        <v/>
      </c>
      <c r="AP290" s="122">
        <f>SUM(AM290,AB290)</f>
        <v/>
      </c>
      <c r="AQ290" s="122">
        <f>SUM(AA290)</f>
        <v/>
      </c>
      <c r="AR290" s="121">
        <f>(AP290+AQ290)-3%</f>
        <v/>
      </c>
      <c r="AS290" s="122">
        <f>SUM(AO290+AM290)</f>
        <v/>
      </c>
      <c r="AT290" s="122">
        <f>SUM(AH290+AN290)</f>
        <v/>
      </c>
      <c r="AU290" s="122">
        <f>SUM(AN290+AO290)</f>
        <v/>
      </c>
      <c r="AV290" s="122">
        <f>SUM(AN290+AD290+AE290+AF290+AG290+AH290+AJ290+AK290+AL290)</f>
        <v/>
      </c>
      <c r="AW290" s="122">
        <f>SUM(AD290+AE290+AF290+AG290+AI290+AJ290+AK290+AL290)</f>
        <v/>
      </c>
    </row>
    <row r="291" ht="14.1" customHeight="1" s="259">
      <c r="A291" s="183">
        <f>A290+1</f>
        <v/>
      </c>
      <c r="B291" s="204" t="n"/>
      <c r="C291" s="205" t="n"/>
      <c r="D291" s="204" t="n"/>
      <c r="E291" s="206" t="n"/>
      <c r="F291" s="206" t="n"/>
      <c r="G291" s="206" t="n"/>
      <c r="H291" s="206" t="n"/>
      <c r="I291" s="206" t="n"/>
      <c r="J291" s="206" t="n"/>
      <c r="K291" s="206" t="n"/>
      <c r="L291" s="206" t="n"/>
      <c r="M291" s="206" t="n"/>
      <c r="N291" s="206" t="n"/>
      <c r="O291" s="206" t="n"/>
      <c r="P291" s="206" t="n"/>
      <c r="Q291" s="206" t="n"/>
      <c r="R291" s="206" t="n"/>
      <c r="S291" s="206" t="n"/>
      <c r="T291" s="204">
        <f>SUM(F291:S291)</f>
        <v/>
      </c>
      <c r="U291" s="207">
        <f>(HLOOKUP(B291,F:T,A291,FALSE)/T291)</f>
        <v/>
      </c>
      <c r="V291" s="159" t="n"/>
      <c r="W291" s="163">
        <f>YEAR(C291)</f>
        <v/>
      </c>
      <c r="X291" s="116">
        <f>MONTH(C291)</f>
        <v/>
      </c>
      <c r="Y291" s="116">
        <f>WEEKNUM(C291,21)</f>
        <v/>
      </c>
      <c r="Z291" s="122" t="n"/>
      <c r="AA291" s="122" t="n"/>
      <c r="AB291" s="122" t="n"/>
      <c r="AC291" s="122" t="n"/>
      <c r="AD291" s="122" t="n"/>
      <c r="AE291" s="122">
        <f>IFERROR(K291/$T291,0)</f>
        <v/>
      </c>
      <c r="AF291" s="122">
        <f>IFERROR(L291/$T291,0)</f>
        <v/>
      </c>
      <c r="AG291" s="122" t="n"/>
      <c r="AH291" s="122" t="n"/>
      <c r="AI291" s="122" t="n"/>
      <c r="AJ291" s="122" t="n"/>
      <c r="AK291" s="122" t="n"/>
      <c r="AL291" s="122" t="n"/>
      <c r="AM291" s="122" t="n"/>
      <c r="AN291" s="122">
        <f>SUM(Z291:AC291)</f>
        <v/>
      </c>
      <c r="AO291" s="122">
        <f>SUM(AD291:AL291)</f>
        <v/>
      </c>
      <c r="AP291" s="122">
        <f>SUM(AM291,AB291)</f>
        <v/>
      </c>
      <c r="AQ291" s="122">
        <f>SUM(AA291)</f>
        <v/>
      </c>
      <c r="AR291" s="121">
        <f>(AP291+AQ291)-3%</f>
        <v/>
      </c>
      <c r="AS291" s="122">
        <f>SUM(AO291+AM291)</f>
        <v/>
      </c>
      <c r="AT291" s="122">
        <f>SUM(AH291+AN291)</f>
        <v/>
      </c>
      <c r="AU291" s="122">
        <f>SUM(AN291+AO291)</f>
        <v/>
      </c>
      <c r="AV291" s="122">
        <f>SUM(AN291+AD291+AE291+AF291+AG291+AH291+AJ291+AK291+AL291)</f>
        <v/>
      </c>
      <c r="AW291" s="122">
        <f>SUM(AD291+AE291+AF291+AG291+AI291+AJ291+AK291+AL291)</f>
        <v/>
      </c>
    </row>
    <row r="292" ht="14.1" customHeight="1" s="259">
      <c r="A292" s="183">
        <f>A291+1</f>
        <v/>
      </c>
      <c r="B292" s="199" t="n"/>
      <c r="C292" s="200" t="n"/>
      <c r="D292" s="199" t="n"/>
      <c r="E292" s="201" t="n"/>
      <c r="F292" s="201" t="n"/>
      <c r="G292" s="201" t="n"/>
      <c r="H292" s="201" t="n"/>
      <c r="I292" s="201" t="n"/>
      <c r="J292" s="201" t="n"/>
      <c r="K292" s="201" t="n"/>
      <c r="L292" s="201" t="n"/>
      <c r="M292" s="201" t="n"/>
      <c r="N292" s="201" t="n"/>
      <c r="O292" s="201" t="n"/>
      <c r="P292" s="201" t="n"/>
      <c r="Q292" s="201" t="n"/>
      <c r="R292" s="201" t="n"/>
      <c r="S292" s="201" t="n"/>
      <c r="T292" s="199">
        <f>SUM(F292:S292)</f>
        <v/>
      </c>
      <c r="U292" s="202">
        <f>(HLOOKUP(B292,F:T,A292,FALSE)/T292)</f>
        <v/>
      </c>
      <c r="V292" s="159" t="n"/>
      <c r="W292" s="163">
        <f>YEAR(C292)</f>
        <v/>
      </c>
      <c r="X292" s="116">
        <f>MONTH(C292)</f>
        <v/>
      </c>
      <c r="Y292" s="116">
        <f>WEEKNUM(C292,21)</f>
        <v/>
      </c>
      <c r="Z292" s="122" t="n"/>
      <c r="AA292" s="122" t="n"/>
      <c r="AB292" s="122" t="n"/>
      <c r="AC292" s="122" t="n"/>
      <c r="AD292" s="122" t="n"/>
      <c r="AE292" s="122">
        <f>IFERROR(K292/$T292,0)</f>
        <v/>
      </c>
      <c r="AF292" s="122">
        <f>IFERROR(L292/$T292,0)</f>
        <v/>
      </c>
      <c r="AG292" s="122" t="n"/>
      <c r="AH292" s="122" t="n"/>
      <c r="AI292" s="122" t="n"/>
      <c r="AJ292" s="122" t="n"/>
      <c r="AK292" s="122" t="n"/>
      <c r="AL292" s="122" t="n"/>
      <c r="AM292" s="122" t="n"/>
      <c r="AN292" s="122">
        <f>SUM(Z292:AC292)</f>
        <v/>
      </c>
      <c r="AO292" s="122">
        <f>SUM(AD292:AL292)</f>
        <v/>
      </c>
      <c r="AP292" s="122">
        <f>SUM(AM292,AB292)</f>
        <v/>
      </c>
      <c r="AQ292" s="122">
        <f>SUM(AA292)</f>
        <v/>
      </c>
      <c r="AR292" s="121">
        <f>(AP292+AQ292)-3%</f>
        <v/>
      </c>
      <c r="AS292" s="122">
        <f>SUM(AO292+AM292)</f>
        <v/>
      </c>
      <c r="AT292" s="122">
        <f>SUM(AH292+AN292)</f>
        <v/>
      </c>
      <c r="AU292" s="122">
        <f>SUM(AN292+AO292)</f>
        <v/>
      </c>
      <c r="AV292" s="122">
        <f>SUM(AN292+AD292+AE292+AF292+AG292+AH292+AJ292+AK292+AL292)</f>
        <v/>
      </c>
      <c r="AW292" s="122">
        <f>SUM(AD292+AE292+AF292+AG292+AI292+AJ292+AK292+AL292)</f>
        <v/>
      </c>
    </row>
    <row r="293" ht="14.1" customHeight="1" s="259">
      <c r="A293" s="183">
        <f>A292+1</f>
        <v/>
      </c>
      <c r="B293" s="199" t="n"/>
      <c r="C293" s="200" t="n"/>
      <c r="D293" s="199" t="n"/>
      <c r="E293" s="201" t="n"/>
      <c r="F293" s="201" t="n"/>
      <c r="G293" s="201" t="n"/>
      <c r="H293" s="201" t="n"/>
      <c r="I293" s="201" t="n"/>
      <c r="J293" s="201" t="n"/>
      <c r="K293" s="201" t="n"/>
      <c r="L293" s="201" t="n"/>
      <c r="M293" s="201" t="n"/>
      <c r="N293" s="201" t="n"/>
      <c r="O293" s="201" t="n"/>
      <c r="P293" s="201" t="n"/>
      <c r="Q293" s="201" t="n"/>
      <c r="R293" s="201" t="n"/>
      <c r="S293" s="201" t="n"/>
      <c r="T293" s="199">
        <f>SUM(F293:S293)</f>
        <v/>
      </c>
      <c r="U293" s="202">
        <f>(HLOOKUP(B293,F:T,A293,FALSE)/T293)</f>
        <v/>
      </c>
      <c r="V293" s="159" t="n"/>
      <c r="W293" s="163">
        <f>YEAR(C293)</f>
        <v/>
      </c>
      <c r="X293" s="116">
        <f>MONTH(C293)</f>
        <v/>
      </c>
      <c r="Y293" s="116">
        <f>WEEKNUM(C293,21)</f>
        <v/>
      </c>
      <c r="Z293" s="122" t="n"/>
      <c r="AA293" s="122" t="n"/>
      <c r="AB293" s="122" t="n"/>
      <c r="AC293" s="122" t="n"/>
      <c r="AD293" s="122" t="n"/>
      <c r="AE293" s="122">
        <f>IFERROR(K293/$T293,0)</f>
        <v/>
      </c>
      <c r="AF293" s="122">
        <f>IFERROR(L293/$T293,0)</f>
        <v/>
      </c>
      <c r="AG293" s="122" t="n"/>
      <c r="AH293" s="122" t="n"/>
      <c r="AI293" s="122" t="n"/>
      <c r="AJ293" s="122" t="n"/>
      <c r="AK293" s="122" t="n"/>
      <c r="AL293" s="122" t="n"/>
      <c r="AM293" s="122" t="n"/>
      <c r="AN293" s="122">
        <f>SUM(Z293:AC293)</f>
        <v/>
      </c>
      <c r="AO293" s="122">
        <f>SUM(AD293:AL293)</f>
        <v/>
      </c>
      <c r="AP293" s="122">
        <f>SUM(AM293,AB293)</f>
        <v/>
      </c>
      <c r="AQ293" s="122">
        <f>SUM(AA293)</f>
        <v/>
      </c>
      <c r="AR293" s="121">
        <f>(AP293+AQ293)-3%</f>
        <v/>
      </c>
      <c r="AS293" s="122">
        <f>SUM(AO293+AM293)</f>
        <v/>
      </c>
      <c r="AT293" s="122">
        <f>SUM(AH293+AN293)</f>
        <v/>
      </c>
      <c r="AU293" s="122">
        <f>SUM(AN293+AO293)</f>
        <v/>
      </c>
      <c r="AV293" s="122">
        <f>SUM(AN293+AD293+AE293+AF293+AG293+AH293+AJ293+AK293+AL293)</f>
        <v/>
      </c>
      <c r="AW293" s="122">
        <f>SUM(AD293+AE293+AF293+AG293+AI293+AJ293+AK293+AL293)</f>
        <v/>
      </c>
    </row>
    <row r="294" ht="14.1" customHeight="1" s="259">
      <c r="A294" s="183">
        <f>A293+1</f>
        <v/>
      </c>
      <c r="B294" s="204" t="n"/>
      <c r="C294" s="205" t="n"/>
      <c r="D294" s="204" t="n"/>
      <c r="E294" s="206" t="n"/>
      <c r="F294" s="206" t="n"/>
      <c r="G294" s="206" t="n"/>
      <c r="H294" s="206" t="n"/>
      <c r="I294" s="206" t="n"/>
      <c r="J294" s="206" t="n"/>
      <c r="K294" s="206" t="n"/>
      <c r="L294" s="206" t="n"/>
      <c r="M294" s="206" t="n"/>
      <c r="N294" s="206" t="n"/>
      <c r="O294" s="206" t="n"/>
      <c r="P294" s="206" t="n"/>
      <c r="Q294" s="206" t="n"/>
      <c r="R294" s="206" t="n"/>
      <c r="S294" s="206" t="n"/>
      <c r="T294" s="204">
        <f>SUM(F294:S294)</f>
        <v/>
      </c>
      <c r="U294" s="207">
        <f>(HLOOKUP(B294,F:T,A294,FALSE)/T294)</f>
        <v/>
      </c>
      <c r="V294" s="159" t="n"/>
      <c r="W294" s="163">
        <f>YEAR(C294)</f>
        <v/>
      </c>
      <c r="X294" s="116">
        <f>MONTH(C294)</f>
        <v/>
      </c>
      <c r="Y294" s="116">
        <f>WEEKNUM(C294,21)</f>
        <v/>
      </c>
      <c r="Z294" s="122" t="n"/>
      <c r="AA294" s="122" t="n"/>
      <c r="AB294" s="122" t="n"/>
      <c r="AC294" s="122" t="n"/>
      <c r="AD294" s="122" t="n"/>
      <c r="AE294" s="122">
        <f>IFERROR(K294/$T294,0)</f>
        <v/>
      </c>
      <c r="AF294" s="122">
        <f>IFERROR(L294/$T294,0)</f>
        <v/>
      </c>
      <c r="AG294" s="122" t="n"/>
      <c r="AH294" s="122" t="n"/>
      <c r="AI294" s="122" t="n"/>
      <c r="AJ294" s="122" t="n"/>
      <c r="AK294" s="122" t="n"/>
      <c r="AL294" s="122" t="n"/>
      <c r="AM294" s="122" t="n"/>
      <c r="AN294" s="122">
        <f>SUM(Z294:AC294)</f>
        <v/>
      </c>
      <c r="AO294" s="122">
        <f>SUM(AD294:AL294)</f>
        <v/>
      </c>
      <c r="AP294" s="122">
        <f>SUM(AM294,AB294)</f>
        <v/>
      </c>
      <c r="AQ294" s="122">
        <f>SUM(AA294)</f>
        <v/>
      </c>
      <c r="AR294" s="121">
        <f>(AP294+AQ294)-3%</f>
        <v/>
      </c>
      <c r="AS294" s="122">
        <f>SUM(AO294+AM294)</f>
        <v/>
      </c>
      <c r="AT294" s="122">
        <f>SUM(AH294+AN294)</f>
        <v/>
      </c>
      <c r="AU294" s="122">
        <f>SUM(AN294+AO294)</f>
        <v/>
      </c>
      <c r="AV294" s="122">
        <f>SUM(AN294+AD294+AE294+AF294+AG294+AH294+AJ294+AK294+AL294)</f>
        <v/>
      </c>
      <c r="AW294" s="122">
        <f>SUM(AD294+AE294+AF294+AG294+AI294+AJ294+AK294+AL294)</f>
        <v/>
      </c>
    </row>
    <row r="295" ht="14.1" customHeight="1" s="259">
      <c r="A295" s="183">
        <f>A294+1</f>
        <v/>
      </c>
      <c r="B295" s="204" t="n"/>
      <c r="C295" s="205" t="n"/>
      <c r="D295" s="204" t="n"/>
      <c r="E295" s="206" t="n"/>
      <c r="F295" s="206" t="n"/>
      <c r="G295" s="206" t="n"/>
      <c r="H295" s="206" t="n"/>
      <c r="I295" s="206" t="n"/>
      <c r="J295" s="206" t="n"/>
      <c r="K295" s="206" t="n"/>
      <c r="L295" s="206" t="n"/>
      <c r="M295" s="206" t="n"/>
      <c r="N295" s="206" t="n"/>
      <c r="O295" s="206" t="n"/>
      <c r="P295" s="206" t="n"/>
      <c r="Q295" s="206" t="n"/>
      <c r="R295" s="206" t="n"/>
      <c r="S295" s="206" t="n"/>
      <c r="T295" s="204">
        <f>SUM(F295:S295)</f>
        <v/>
      </c>
      <c r="U295" s="207">
        <f>(HLOOKUP(B295,F:T,A295,FALSE)/T295)</f>
        <v/>
      </c>
      <c r="V295" s="159" t="n"/>
      <c r="W295" s="163">
        <f>YEAR(C295)</f>
        <v/>
      </c>
      <c r="X295" s="116">
        <f>MONTH(C295)</f>
        <v/>
      </c>
      <c r="Y295" s="116">
        <f>WEEKNUM(C295,21)</f>
        <v/>
      </c>
      <c r="Z295" s="122" t="n"/>
      <c r="AA295" s="122" t="n"/>
      <c r="AB295" s="122" t="n"/>
      <c r="AC295" s="122" t="n"/>
      <c r="AD295" s="122" t="n"/>
      <c r="AE295" s="122">
        <f>IFERROR(K295/$T295,0)</f>
        <v/>
      </c>
      <c r="AF295" s="122">
        <f>IFERROR(L295/$T295,0)</f>
        <v/>
      </c>
      <c r="AG295" s="122" t="n"/>
      <c r="AH295" s="122" t="n"/>
      <c r="AI295" s="122" t="n"/>
      <c r="AJ295" s="122" t="n"/>
      <c r="AK295" s="122" t="n"/>
      <c r="AL295" s="122" t="n"/>
      <c r="AM295" s="122" t="n"/>
      <c r="AN295" s="122">
        <f>SUM(Z295:AC295)</f>
        <v/>
      </c>
      <c r="AO295" s="122">
        <f>SUM(AD295:AL295)</f>
        <v/>
      </c>
      <c r="AP295" s="122">
        <f>SUM(AM295,AB295)</f>
        <v/>
      </c>
      <c r="AQ295" s="122">
        <f>SUM(AA295)</f>
        <v/>
      </c>
      <c r="AR295" s="121">
        <f>(AP295+AQ295)-3%</f>
        <v/>
      </c>
      <c r="AS295" s="122">
        <f>SUM(AO295+AM295)</f>
        <v/>
      </c>
      <c r="AT295" s="122">
        <f>SUM(AH295+AN295)</f>
        <v/>
      </c>
      <c r="AU295" s="122">
        <f>SUM(AN295+AO295)</f>
        <v/>
      </c>
      <c r="AV295" s="122">
        <f>SUM(AN295+AD295+AE295+AF295+AG295+AH295+AJ295+AK295+AL295)</f>
        <v/>
      </c>
      <c r="AW295" s="122">
        <f>SUM(AD295+AE295+AF295+AG295+AI295+AJ295+AK295+AL295)</f>
        <v/>
      </c>
    </row>
    <row r="296" ht="14.1" customHeight="1" s="259">
      <c r="A296" s="183">
        <f>A295+1</f>
        <v/>
      </c>
      <c r="B296" s="204" t="n"/>
      <c r="C296" s="205" t="n"/>
      <c r="D296" s="204" t="n"/>
      <c r="E296" s="206" t="n"/>
      <c r="F296" s="206" t="n"/>
      <c r="G296" s="206" t="n"/>
      <c r="H296" s="206" t="n"/>
      <c r="I296" s="206" t="n"/>
      <c r="J296" s="206" t="n"/>
      <c r="K296" s="206" t="n"/>
      <c r="L296" s="206" t="n"/>
      <c r="M296" s="206" t="n"/>
      <c r="N296" s="206" t="n"/>
      <c r="O296" s="206" t="n"/>
      <c r="P296" s="206" t="n"/>
      <c r="Q296" s="206" t="n"/>
      <c r="R296" s="206" t="n"/>
      <c r="S296" s="206" t="n"/>
      <c r="T296" s="204">
        <f>SUM(F296:S296)</f>
        <v/>
      </c>
      <c r="U296" s="207">
        <f>(HLOOKUP(B296,F:T,A296,FALSE)/T296)</f>
        <v/>
      </c>
      <c r="V296" s="159" t="n"/>
      <c r="W296" s="163">
        <f>YEAR(C296)</f>
        <v/>
      </c>
      <c r="X296" s="116">
        <f>MONTH(C296)</f>
        <v/>
      </c>
      <c r="Y296" s="116">
        <f>WEEKNUM(C296,21)</f>
        <v/>
      </c>
      <c r="Z296" s="122" t="n"/>
      <c r="AA296" s="122" t="n"/>
      <c r="AB296" s="122" t="n"/>
      <c r="AC296" s="122" t="n"/>
      <c r="AD296" s="122" t="n"/>
      <c r="AE296" s="122">
        <f>IFERROR(K296/$T296,0)</f>
        <v/>
      </c>
      <c r="AF296" s="122">
        <f>IFERROR(L296/$T296,0)</f>
        <v/>
      </c>
      <c r="AG296" s="122" t="n"/>
      <c r="AH296" s="122" t="n"/>
      <c r="AI296" s="122" t="n"/>
      <c r="AJ296" s="122" t="n"/>
      <c r="AK296" s="122" t="n"/>
      <c r="AL296" s="122" t="n"/>
      <c r="AM296" s="122" t="n"/>
      <c r="AN296" s="122">
        <f>SUM(Z296:AC296)</f>
        <v/>
      </c>
      <c r="AO296" s="122">
        <f>SUM(AD296:AL296)</f>
        <v/>
      </c>
      <c r="AP296" s="122">
        <f>SUM(AM296,AB296)</f>
        <v/>
      </c>
      <c r="AQ296" s="122">
        <f>SUM(AA296)</f>
        <v/>
      </c>
      <c r="AR296" s="121">
        <f>(AP296+AQ296)-3%</f>
        <v/>
      </c>
      <c r="AS296" s="122">
        <f>SUM(AO296+AM296)</f>
        <v/>
      </c>
      <c r="AT296" s="122">
        <f>SUM(AH296+AN296)</f>
        <v/>
      </c>
      <c r="AU296" s="122">
        <f>SUM(AN296+AO296)</f>
        <v/>
      </c>
      <c r="AV296" s="122">
        <f>SUM(AN296+AD296+AE296+AF296+AG296+AH296+AJ296+AK296+AL296)</f>
        <v/>
      </c>
      <c r="AW296" s="122">
        <f>SUM(AD296+AE296+AF296+AG296+AI296+AJ296+AK296+AL296)</f>
        <v/>
      </c>
    </row>
    <row r="297" ht="14.1" customHeight="1" s="259">
      <c r="A297" s="183">
        <f>A296+1</f>
        <v/>
      </c>
      <c r="B297" s="117" t="n"/>
      <c r="C297" s="119" t="n"/>
      <c r="D297" s="117" t="n"/>
      <c r="E297" s="118" t="n"/>
      <c r="F297" s="120" t="n"/>
      <c r="G297" s="118" t="n"/>
      <c r="H297" s="118" t="n"/>
      <c r="I297" s="118" t="n"/>
      <c r="J297" s="118" t="n"/>
      <c r="K297" s="118" t="n"/>
      <c r="L297" s="118" t="n"/>
      <c r="M297" s="118" t="n"/>
      <c r="N297" s="118" t="n"/>
      <c r="O297" s="118" t="n"/>
      <c r="P297" s="118" t="n"/>
      <c r="Q297" s="118" t="n"/>
      <c r="R297" s="118" t="n"/>
      <c r="S297" s="118" t="n"/>
      <c r="T297" s="117">
        <f>SUM(F297:S297)</f>
        <v/>
      </c>
      <c r="U297" s="190">
        <f>(HLOOKUP(B297,F:T,A297,FALSE)/T297)</f>
        <v/>
      </c>
      <c r="V297" s="159" t="n"/>
      <c r="W297" s="163">
        <f>YEAR(C297)</f>
        <v/>
      </c>
      <c r="X297" s="116">
        <f>MONTH(C297)</f>
        <v/>
      </c>
      <c r="Y297" s="116">
        <f>WEEKNUM(C297,21)</f>
        <v/>
      </c>
      <c r="Z297" s="122" t="n"/>
      <c r="AA297" s="122" t="n"/>
      <c r="AB297" s="122" t="n"/>
      <c r="AC297" s="122" t="n"/>
      <c r="AD297" s="122" t="n"/>
      <c r="AE297" s="122">
        <f>IFERROR(K297/$T297,0)</f>
        <v/>
      </c>
      <c r="AF297" s="122">
        <f>IFERROR(L297/$T297,0)</f>
        <v/>
      </c>
      <c r="AG297" s="122" t="n"/>
      <c r="AH297" s="122" t="n"/>
      <c r="AI297" s="122" t="n"/>
      <c r="AJ297" s="122" t="n"/>
      <c r="AK297" s="122" t="n"/>
      <c r="AL297" s="122" t="n"/>
      <c r="AM297" s="122" t="n"/>
      <c r="AN297" s="122">
        <f>SUM(Z297:AC297)</f>
        <v/>
      </c>
      <c r="AO297" s="122">
        <f>SUM(AD297:AL297)</f>
        <v/>
      </c>
      <c r="AP297" s="122">
        <f>SUM(AM297,AB297)</f>
        <v/>
      </c>
      <c r="AQ297" s="122">
        <f>SUM(AA297)</f>
        <v/>
      </c>
      <c r="AR297" s="121">
        <f>(AP297+AQ297)-3%</f>
        <v/>
      </c>
      <c r="AS297" s="122">
        <f>SUM(AO297+AM297)</f>
        <v/>
      </c>
      <c r="AT297" s="122">
        <f>SUM(AH297+AN297)</f>
        <v/>
      </c>
      <c r="AU297" s="122">
        <f>SUM(AN297+AO297)</f>
        <v/>
      </c>
      <c r="AV297" s="122">
        <f>SUM(AN297+AD297+AE297+AF297+AG297+AH297+AJ297+AK297+AL297)</f>
        <v/>
      </c>
      <c r="AW297" s="122">
        <f>SUM(AD297+AE297+AF297+AG297+AI297+AJ297+AK297+AL297)</f>
        <v/>
      </c>
    </row>
    <row r="298" ht="14.1" customHeight="1" s="259">
      <c r="A298" s="183">
        <f>A297+1</f>
        <v/>
      </c>
      <c r="B298" s="117" t="n"/>
      <c r="C298" s="119" t="n"/>
      <c r="D298" s="117" t="n"/>
      <c r="E298" s="118" t="n"/>
      <c r="F298" s="120" t="n"/>
      <c r="G298" s="118" t="n"/>
      <c r="H298" s="118" t="n"/>
      <c r="I298" s="118" t="n"/>
      <c r="J298" s="118" t="n"/>
      <c r="K298" s="118" t="n"/>
      <c r="L298" s="118" t="n"/>
      <c r="M298" s="118" t="n"/>
      <c r="N298" s="118" t="n"/>
      <c r="O298" s="118" t="n"/>
      <c r="P298" s="118" t="n"/>
      <c r="Q298" s="118" t="n"/>
      <c r="R298" s="118" t="n"/>
      <c r="S298" s="118" t="n"/>
      <c r="T298" s="117">
        <f>SUM(F298:S298)</f>
        <v/>
      </c>
      <c r="U298" s="190">
        <f>(HLOOKUP(B298,F:T,A298,FALSE)/T298)</f>
        <v/>
      </c>
      <c r="V298" s="159" t="n"/>
      <c r="W298" s="163">
        <f>YEAR(C298)</f>
        <v/>
      </c>
      <c r="X298" s="116">
        <f>MONTH(C298)</f>
        <v/>
      </c>
      <c r="Y298" s="116">
        <f>WEEKNUM(C298,21)</f>
        <v/>
      </c>
      <c r="Z298" s="122" t="n"/>
      <c r="AA298" s="122" t="n"/>
      <c r="AB298" s="122" t="n"/>
      <c r="AC298" s="122" t="n"/>
      <c r="AD298" s="122" t="n"/>
      <c r="AE298" s="122">
        <f>IFERROR(K298/$T298,0)</f>
        <v/>
      </c>
      <c r="AF298" s="122">
        <f>IFERROR(L298/$T298,0)</f>
        <v/>
      </c>
      <c r="AG298" s="122" t="n"/>
      <c r="AH298" s="122" t="n"/>
      <c r="AI298" s="122" t="n"/>
      <c r="AJ298" s="122" t="n"/>
      <c r="AK298" s="122" t="n"/>
      <c r="AL298" s="122" t="n"/>
      <c r="AM298" s="122" t="n"/>
      <c r="AN298" s="122">
        <f>SUM(Z298:AC298)</f>
        <v/>
      </c>
      <c r="AO298" s="122">
        <f>SUM(AD298:AL298)</f>
        <v/>
      </c>
      <c r="AP298" s="122">
        <f>SUM(AM298,AB298)</f>
        <v/>
      </c>
      <c r="AQ298" s="122">
        <f>SUM(AA298)</f>
        <v/>
      </c>
      <c r="AR298" s="121">
        <f>(AP298+AQ298)-3%</f>
        <v/>
      </c>
      <c r="AS298" s="122">
        <f>SUM(AO298+AM298)</f>
        <v/>
      </c>
      <c r="AT298" s="122">
        <f>SUM(AH298+AN298)</f>
        <v/>
      </c>
      <c r="AU298" s="122">
        <f>SUM(AN298+AO298)</f>
        <v/>
      </c>
      <c r="AV298" s="122">
        <f>SUM(AN298+AD298+AE298+AF298+AG298+AH298+AJ298+AK298+AL298)</f>
        <v/>
      </c>
      <c r="AW298" s="122">
        <f>SUM(AD298+AE298+AF298+AG298+AI298+AJ298+AK298+AL298)</f>
        <v/>
      </c>
    </row>
    <row r="299" ht="14.1" customHeight="1" s="259">
      <c r="A299" s="183">
        <f>A298+1</f>
        <v/>
      </c>
      <c r="B299" s="117" t="n"/>
      <c r="C299" s="119" t="n"/>
      <c r="D299" s="117" t="n"/>
      <c r="E299" s="118" t="n"/>
      <c r="F299" s="120" t="n"/>
      <c r="G299" s="118" t="n"/>
      <c r="H299" s="118" t="n"/>
      <c r="I299" s="118" t="n"/>
      <c r="J299" s="118" t="n"/>
      <c r="K299" s="118" t="n"/>
      <c r="L299" s="118" t="n"/>
      <c r="M299" s="118" t="n"/>
      <c r="N299" s="118" t="n"/>
      <c r="O299" s="118" t="n"/>
      <c r="P299" s="118" t="n"/>
      <c r="Q299" s="118" t="n"/>
      <c r="R299" s="118" t="n"/>
      <c r="S299" s="118" t="n"/>
      <c r="T299" s="117">
        <f>SUM(F299:S299)</f>
        <v/>
      </c>
      <c r="U299" s="190">
        <f>(HLOOKUP(B299,F:T,A299,FALSE)/T299)</f>
        <v/>
      </c>
      <c r="V299" s="159" t="n"/>
      <c r="W299" s="163">
        <f>YEAR(C299)</f>
        <v/>
      </c>
      <c r="X299" s="116">
        <f>MONTH(C299)</f>
        <v/>
      </c>
      <c r="Y299" s="116">
        <f>WEEKNUM(C299,21)</f>
        <v/>
      </c>
      <c r="Z299" s="122" t="n"/>
      <c r="AA299" s="122" t="n"/>
      <c r="AB299" s="122" t="n"/>
      <c r="AC299" s="122" t="n"/>
      <c r="AD299" s="122" t="n"/>
      <c r="AE299" s="122">
        <f>IFERROR(K299/$T299,0)</f>
        <v/>
      </c>
      <c r="AF299" s="122">
        <f>IFERROR(L299/$T299,0)</f>
        <v/>
      </c>
      <c r="AG299" s="122" t="n"/>
      <c r="AH299" s="122" t="n"/>
      <c r="AI299" s="122" t="n"/>
      <c r="AJ299" s="122" t="n"/>
      <c r="AK299" s="122" t="n"/>
      <c r="AL299" s="122" t="n"/>
      <c r="AM299" s="122" t="n"/>
      <c r="AN299" s="122">
        <f>SUM(Z299:AC299)</f>
        <v/>
      </c>
      <c r="AO299" s="122">
        <f>SUM(AD299:AL299)</f>
        <v/>
      </c>
      <c r="AP299" s="122">
        <f>SUM(AM299,AB299)</f>
        <v/>
      </c>
      <c r="AQ299" s="122">
        <f>SUM(AA299)</f>
        <v/>
      </c>
      <c r="AR299" s="121">
        <f>(AP299+AQ299)-3%</f>
        <v/>
      </c>
      <c r="AS299" s="122">
        <f>SUM(AO299+AM299)</f>
        <v/>
      </c>
      <c r="AT299" s="122">
        <f>SUM(AH299+AN299)</f>
        <v/>
      </c>
      <c r="AU299" s="122">
        <f>SUM(AN299+AO299)</f>
        <v/>
      </c>
      <c r="AV299" s="122">
        <f>SUM(AN299+AD299+AE299+AF299+AG299+AH299+AJ299+AK299+AL299)</f>
        <v/>
      </c>
      <c r="AW299" s="122">
        <f>SUM(AD299+AE299+AF299+AG299+AI299+AJ299+AK299+AL299)</f>
        <v/>
      </c>
    </row>
    <row r="300" ht="14.1" customHeight="1" s="259">
      <c r="A300" s="183">
        <f>A299+1</f>
        <v/>
      </c>
      <c r="B300" s="117" t="n"/>
      <c r="C300" s="119" t="n"/>
      <c r="D300" s="117" t="n"/>
      <c r="E300" s="118" t="n"/>
      <c r="F300" s="120" t="n"/>
      <c r="G300" s="118" t="n"/>
      <c r="H300" s="118" t="n"/>
      <c r="I300" s="118" t="n"/>
      <c r="J300" s="118" t="n"/>
      <c r="K300" s="118" t="n"/>
      <c r="L300" s="118" t="n"/>
      <c r="M300" s="118" t="n"/>
      <c r="N300" s="118" t="n"/>
      <c r="O300" s="118" t="n"/>
      <c r="P300" s="118" t="n"/>
      <c r="Q300" s="118" t="n"/>
      <c r="R300" s="118" t="n"/>
      <c r="S300" s="118" t="n"/>
      <c r="T300" s="117">
        <f>SUM(F300:S300)</f>
        <v/>
      </c>
      <c r="U300" s="190">
        <f>(HLOOKUP(B300,F:T,A300,FALSE)/T300)</f>
        <v/>
      </c>
      <c r="V300" s="159" t="n"/>
      <c r="W300" s="163">
        <f>YEAR(C300)</f>
        <v/>
      </c>
      <c r="X300" s="116">
        <f>MONTH(C300)</f>
        <v/>
      </c>
      <c r="Y300" s="116">
        <f>WEEKNUM(C300,21)</f>
        <v/>
      </c>
      <c r="Z300" s="122" t="n"/>
      <c r="AA300" s="122" t="n"/>
      <c r="AB300" s="122" t="n"/>
      <c r="AC300" s="122" t="n"/>
      <c r="AD300" s="122" t="n"/>
      <c r="AE300" s="122">
        <f>IFERROR(K300/$T300,0)</f>
        <v/>
      </c>
      <c r="AF300" s="122">
        <f>IFERROR(L300/$T300,0)</f>
        <v/>
      </c>
      <c r="AG300" s="122" t="n"/>
      <c r="AH300" s="122" t="n"/>
      <c r="AI300" s="122" t="n"/>
      <c r="AJ300" s="122" t="n"/>
      <c r="AK300" s="122" t="n"/>
      <c r="AL300" s="122" t="n"/>
      <c r="AM300" s="122" t="n"/>
      <c r="AN300" s="122">
        <f>SUM(Z300:AC300)</f>
        <v/>
      </c>
      <c r="AO300" s="122">
        <f>SUM(AD300:AL300)</f>
        <v/>
      </c>
      <c r="AP300" s="122">
        <f>SUM(AM300,AB300)</f>
        <v/>
      </c>
      <c r="AQ300" s="122">
        <f>SUM(AA300)</f>
        <v/>
      </c>
      <c r="AR300" s="121">
        <f>(AP300+AQ300)-3%</f>
        <v/>
      </c>
      <c r="AS300" s="122">
        <f>SUM(AO300+AM300)</f>
        <v/>
      </c>
      <c r="AT300" s="122">
        <f>SUM(AH300+AN300)</f>
        <v/>
      </c>
      <c r="AU300" s="122">
        <f>SUM(AN300+AO300)</f>
        <v/>
      </c>
      <c r="AV300" s="122">
        <f>SUM(AN300+AD300+AE300+AF300+AG300+AH300+AJ300+AK300+AL300)</f>
        <v/>
      </c>
      <c r="AW300" s="122">
        <f>SUM(AD300+AE300+AF300+AG300+AI300+AJ300+AK300+AL300)</f>
        <v/>
      </c>
    </row>
    <row r="301" ht="14.1" customHeight="1" s="259">
      <c r="A301" s="183">
        <f>A300+1</f>
        <v/>
      </c>
      <c r="B301" s="117" t="n"/>
      <c r="C301" s="119" t="n"/>
      <c r="D301" s="117" t="n"/>
      <c r="E301" s="118" t="n"/>
      <c r="F301" s="120" t="n"/>
      <c r="G301" s="118" t="n"/>
      <c r="H301" s="118" t="n"/>
      <c r="I301" s="118" t="n"/>
      <c r="J301" s="118" t="n"/>
      <c r="K301" s="118" t="n"/>
      <c r="L301" s="118" t="n"/>
      <c r="M301" s="118" t="n"/>
      <c r="N301" s="118" t="n"/>
      <c r="O301" s="118" t="n"/>
      <c r="P301" s="118" t="n"/>
      <c r="Q301" s="118" t="n"/>
      <c r="R301" s="118" t="n"/>
      <c r="S301" s="118" t="n"/>
      <c r="T301" s="117">
        <f>SUM(F301:S301)</f>
        <v/>
      </c>
      <c r="U301" s="190">
        <f>(HLOOKUP(B301,F:T,A301,FALSE)/T301)</f>
        <v/>
      </c>
      <c r="V301" s="159" t="n"/>
      <c r="W301" s="163">
        <f>YEAR(C301)</f>
        <v/>
      </c>
      <c r="X301" s="116">
        <f>MONTH(C301)</f>
        <v/>
      </c>
      <c r="Y301" s="116">
        <f>WEEKNUM(C301,21)</f>
        <v/>
      </c>
      <c r="Z301" s="122" t="n"/>
      <c r="AA301" s="122" t="n"/>
      <c r="AB301" s="122" t="n"/>
      <c r="AC301" s="122" t="n"/>
      <c r="AD301" s="122" t="n"/>
      <c r="AE301" s="122">
        <f>IFERROR(K301/$T301,0)</f>
        <v/>
      </c>
      <c r="AF301" s="122">
        <f>IFERROR(L301/$T301,0)</f>
        <v/>
      </c>
      <c r="AG301" s="122" t="n"/>
      <c r="AH301" s="122" t="n"/>
      <c r="AI301" s="122" t="n"/>
      <c r="AJ301" s="122" t="n"/>
      <c r="AK301" s="122" t="n"/>
      <c r="AL301" s="122" t="n"/>
      <c r="AM301" s="122" t="n"/>
      <c r="AN301" s="122">
        <f>SUM(Z301:AC301)</f>
        <v/>
      </c>
      <c r="AO301" s="122">
        <f>SUM(AD301:AL301)</f>
        <v/>
      </c>
      <c r="AP301" s="122">
        <f>SUM(AM301,AB301)</f>
        <v/>
      </c>
      <c r="AQ301" s="122">
        <f>SUM(AA301)</f>
        <v/>
      </c>
      <c r="AR301" s="121">
        <f>(AP301+AQ301)-3%</f>
        <v/>
      </c>
      <c r="AS301" s="122">
        <f>SUM(AO301+AM301)</f>
        <v/>
      </c>
      <c r="AT301" s="122">
        <f>SUM(AH301+AN301)</f>
        <v/>
      </c>
      <c r="AU301" s="122">
        <f>SUM(AN301+AO301)</f>
        <v/>
      </c>
      <c r="AV301" s="122">
        <f>SUM(AN301+AD301+AE301+AF301+AG301+AH301+AJ301+AK301+AL301)</f>
        <v/>
      </c>
      <c r="AW301" s="122">
        <f>SUM(AD301+AE301+AF301+AG301+AI301+AJ301+AK301+AL301)</f>
        <v/>
      </c>
    </row>
    <row r="302" ht="14.1" customHeight="1" s="259">
      <c r="A302" s="183">
        <f>A301+1</f>
        <v/>
      </c>
      <c r="B302" s="117" t="n"/>
      <c r="C302" s="119" t="n"/>
      <c r="D302" s="117" t="n"/>
      <c r="E302" s="118" t="n"/>
      <c r="F302" s="120" t="n"/>
      <c r="G302" s="118" t="n"/>
      <c r="H302" s="118" t="n"/>
      <c r="I302" s="118" t="n"/>
      <c r="J302" s="118" t="n"/>
      <c r="K302" s="118" t="n"/>
      <c r="L302" s="118" t="n"/>
      <c r="M302" s="118" t="n"/>
      <c r="N302" s="118" t="n"/>
      <c r="O302" s="118" t="n"/>
      <c r="P302" s="118" t="n"/>
      <c r="Q302" s="118" t="n"/>
      <c r="R302" s="118" t="n"/>
      <c r="S302" s="118" t="n"/>
      <c r="T302" s="117">
        <f>SUM(F302:S302)</f>
        <v/>
      </c>
      <c r="U302" s="190">
        <f>(HLOOKUP(B302,F:T,A302,FALSE)/T302)</f>
        <v/>
      </c>
      <c r="V302" s="159" t="n"/>
      <c r="W302" s="163">
        <f>YEAR(C302)</f>
        <v/>
      </c>
      <c r="X302" s="116">
        <f>MONTH(C302)</f>
        <v/>
      </c>
      <c r="Y302" s="116">
        <f>WEEKNUM(C302,21)</f>
        <v/>
      </c>
      <c r="Z302" s="122" t="n"/>
      <c r="AA302" s="122" t="n"/>
      <c r="AB302" s="122" t="n"/>
      <c r="AC302" s="122" t="n"/>
      <c r="AD302" s="122" t="n"/>
      <c r="AE302" s="122">
        <f>IFERROR(K302/$T302,0)</f>
        <v/>
      </c>
      <c r="AF302" s="122">
        <f>IFERROR(L302/$T302,0)</f>
        <v/>
      </c>
      <c r="AG302" s="122" t="n"/>
      <c r="AH302" s="122" t="n"/>
      <c r="AI302" s="122" t="n"/>
      <c r="AJ302" s="122" t="n"/>
      <c r="AK302" s="122" t="n"/>
      <c r="AL302" s="122" t="n"/>
      <c r="AM302" s="122" t="n"/>
      <c r="AN302" s="122">
        <f>SUM(Z302:AC302)</f>
        <v/>
      </c>
      <c r="AO302" s="122">
        <f>SUM(AD302:AL302)</f>
        <v/>
      </c>
      <c r="AP302" s="122">
        <f>SUM(AM302,AB302)</f>
        <v/>
      </c>
      <c r="AQ302" s="122">
        <f>SUM(AA302)</f>
        <v/>
      </c>
      <c r="AR302" s="121">
        <f>(AP302+AQ302)-3%</f>
        <v/>
      </c>
      <c r="AS302" s="122">
        <f>SUM(AO302+AM302)</f>
        <v/>
      </c>
      <c r="AT302" s="122">
        <f>SUM(AH302+AN302)</f>
        <v/>
      </c>
      <c r="AU302" s="122">
        <f>SUM(AN302+AO302)</f>
        <v/>
      </c>
      <c r="AV302" s="122">
        <f>SUM(AN302+AD302+AE302+AF302+AG302+AH302+AJ302+AK302+AL302)</f>
        <v/>
      </c>
      <c r="AW302" s="122">
        <f>SUM(AD302+AE302+AF302+AG302+AI302+AJ302+AK302+AL302)</f>
        <v/>
      </c>
    </row>
    <row r="303" ht="14.1" customHeight="1" s="259">
      <c r="A303" s="183">
        <f>A302+1</f>
        <v/>
      </c>
      <c r="B303" s="117" t="n"/>
      <c r="C303" s="119" t="n"/>
      <c r="D303" s="117" t="n"/>
      <c r="E303" s="118" t="n"/>
      <c r="F303" s="120" t="n"/>
      <c r="G303" s="118" t="n"/>
      <c r="H303" s="118" t="n"/>
      <c r="I303" s="118" t="n"/>
      <c r="J303" s="118" t="n"/>
      <c r="K303" s="118" t="n"/>
      <c r="L303" s="118" t="n"/>
      <c r="M303" s="118" t="n"/>
      <c r="N303" s="118" t="n"/>
      <c r="O303" s="118" t="n"/>
      <c r="P303" s="118" t="n"/>
      <c r="Q303" s="118" t="n"/>
      <c r="R303" s="118" t="n"/>
      <c r="S303" s="118" t="n"/>
      <c r="T303" s="117">
        <f>SUM(F303:S303)</f>
        <v/>
      </c>
      <c r="U303" s="190">
        <f>(HLOOKUP(B303,F:T,A303,FALSE)/T303)</f>
        <v/>
      </c>
      <c r="V303" s="159" t="n"/>
      <c r="W303" s="163">
        <f>YEAR(C303)</f>
        <v/>
      </c>
      <c r="X303" s="116">
        <f>MONTH(C303)</f>
        <v/>
      </c>
      <c r="Y303" s="116">
        <f>WEEKNUM(C303,21)</f>
        <v/>
      </c>
      <c r="Z303" s="122" t="n"/>
      <c r="AA303" s="122" t="n"/>
      <c r="AB303" s="122" t="n"/>
      <c r="AC303" s="122" t="n"/>
      <c r="AD303" s="122" t="n"/>
      <c r="AE303" s="122">
        <f>IFERROR(K303/$T303,0)</f>
        <v/>
      </c>
      <c r="AF303" s="122">
        <f>IFERROR(L303/$T303,0)</f>
        <v/>
      </c>
      <c r="AG303" s="122" t="n"/>
      <c r="AH303" s="122" t="n"/>
      <c r="AI303" s="122" t="n"/>
      <c r="AJ303" s="122" t="n"/>
      <c r="AK303" s="122" t="n"/>
      <c r="AL303" s="122" t="n"/>
      <c r="AM303" s="122" t="n"/>
      <c r="AN303" s="122">
        <f>SUM(Z303:AC303)</f>
        <v/>
      </c>
      <c r="AO303" s="122">
        <f>SUM(AD303:AL303)</f>
        <v/>
      </c>
      <c r="AP303" s="122">
        <f>SUM(AM303,AB303)</f>
        <v/>
      </c>
      <c r="AQ303" s="122">
        <f>SUM(AA303)</f>
        <v/>
      </c>
      <c r="AR303" s="121">
        <f>(AP303+AQ303)-3%</f>
        <v/>
      </c>
      <c r="AS303" s="122">
        <f>SUM(AO303+AM303)</f>
        <v/>
      </c>
      <c r="AT303" s="122">
        <f>SUM(AH303+AN303)</f>
        <v/>
      </c>
      <c r="AU303" s="122">
        <f>SUM(AN303+AO303)</f>
        <v/>
      </c>
      <c r="AV303" s="122">
        <f>SUM(AN303+AD303+AE303+AF303+AG303+AH303+AJ303+AK303+AL303)</f>
        <v/>
      </c>
      <c r="AW303" s="122">
        <f>SUM(AD303+AE303+AF303+AG303+AI303+AJ303+AK303+AL303)</f>
        <v/>
      </c>
    </row>
    <row r="304" ht="14.1" customHeight="1" s="259">
      <c r="A304" s="183">
        <f>A303+1</f>
        <v/>
      </c>
      <c r="B304" s="117" t="n"/>
      <c r="C304" s="119" t="n"/>
      <c r="D304" s="117" t="n"/>
      <c r="E304" s="118" t="n"/>
      <c r="F304" s="120" t="n"/>
      <c r="G304" s="118" t="n"/>
      <c r="H304" s="118" t="n"/>
      <c r="I304" s="118" t="n"/>
      <c r="J304" s="118" t="n"/>
      <c r="K304" s="118" t="n"/>
      <c r="L304" s="118" t="n"/>
      <c r="M304" s="118" t="n"/>
      <c r="N304" s="118" t="n"/>
      <c r="O304" s="118" t="n"/>
      <c r="P304" s="118" t="n"/>
      <c r="Q304" s="118" t="n"/>
      <c r="R304" s="118" t="n"/>
      <c r="S304" s="118" t="n"/>
      <c r="T304" s="117">
        <f>SUM(F304:S304)</f>
        <v/>
      </c>
      <c r="U304" s="190">
        <f>(HLOOKUP(B304,F:T,A304,FALSE)/T304)</f>
        <v/>
      </c>
      <c r="V304" s="159" t="n"/>
      <c r="W304" s="163">
        <f>YEAR(C304)</f>
        <v/>
      </c>
      <c r="X304" s="116">
        <f>MONTH(C304)</f>
        <v/>
      </c>
      <c r="Y304" s="116">
        <f>WEEKNUM(C304,21)</f>
        <v/>
      </c>
      <c r="Z304" s="122" t="n"/>
      <c r="AA304" s="122" t="n"/>
      <c r="AB304" s="122" t="n"/>
      <c r="AC304" s="122" t="n"/>
      <c r="AD304" s="122" t="n"/>
      <c r="AE304" s="122">
        <f>IFERROR(K304/$T304,0)</f>
        <v/>
      </c>
      <c r="AF304" s="122">
        <f>IFERROR(L304/$T304,0)</f>
        <v/>
      </c>
      <c r="AG304" s="122" t="n"/>
      <c r="AH304" s="122" t="n"/>
      <c r="AI304" s="122" t="n"/>
      <c r="AJ304" s="122" t="n"/>
      <c r="AK304" s="122" t="n"/>
      <c r="AL304" s="122" t="n"/>
      <c r="AM304" s="122" t="n"/>
      <c r="AN304" s="122">
        <f>SUM(Z304:AC304)</f>
        <v/>
      </c>
      <c r="AO304" s="122">
        <f>SUM(AD304:AL304)</f>
        <v/>
      </c>
      <c r="AP304" s="122">
        <f>SUM(AM304,AB304)</f>
        <v/>
      </c>
      <c r="AQ304" s="122">
        <f>SUM(AA304)</f>
        <v/>
      </c>
      <c r="AR304" s="121">
        <f>(AP304+AQ304)-3%</f>
        <v/>
      </c>
      <c r="AS304" s="122">
        <f>SUM(AO304+AM304)</f>
        <v/>
      </c>
      <c r="AT304" s="122">
        <f>SUM(AH304+AN304)</f>
        <v/>
      </c>
      <c r="AU304" s="122">
        <f>SUM(AN304+AO304)</f>
        <v/>
      </c>
      <c r="AV304" s="122">
        <f>SUM(AN304+AD304+AE304+AF304+AG304+AH304+AJ304+AK304+AL304)</f>
        <v/>
      </c>
      <c r="AW304" s="122">
        <f>SUM(AD304+AE304+AF304+AG304+AI304+AJ304+AK304+AL304)</f>
        <v/>
      </c>
    </row>
    <row r="305" ht="14.1" customHeight="1" s="259">
      <c r="A305" s="183">
        <f>A304+1</f>
        <v/>
      </c>
      <c r="B305" s="117" t="n"/>
      <c r="C305" s="119" t="n"/>
      <c r="D305" s="117" t="n"/>
      <c r="E305" s="118" t="n"/>
      <c r="F305" s="120" t="n"/>
      <c r="G305" s="118" t="n"/>
      <c r="H305" s="118" t="n"/>
      <c r="I305" s="118" t="n"/>
      <c r="J305" s="118" t="n"/>
      <c r="K305" s="118" t="n"/>
      <c r="L305" s="118" t="n"/>
      <c r="M305" s="118" t="n"/>
      <c r="N305" s="118" t="n"/>
      <c r="O305" s="118" t="n"/>
      <c r="P305" s="118" t="n"/>
      <c r="Q305" s="118" t="n"/>
      <c r="R305" s="118" t="n"/>
      <c r="S305" s="118" t="n"/>
      <c r="T305" s="117">
        <f>SUM(F305:S305)</f>
        <v/>
      </c>
      <c r="U305" s="190">
        <f>(HLOOKUP(B305,F:T,A305,FALSE)/T305)</f>
        <v/>
      </c>
      <c r="V305" s="159" t="n"/>
      <c r="W305" s="163">
        <f>YEAR(C305)</f>
        <v/>
      </c>
      <c r="X305" s="116">
        <f>MONTH(C305)</f>
        <v/>
      </c>
      <c r="Y305" s="116">
        <f>WEEKNUM(C305,21)</f>
        <v/>
      </c>
      <c r="Z305" s="122" t="n"/>
      <c r="AA305" s="122" t="n"/>
      <c r="AB305" s="122" t="n"/>
      <c r="AC305" s="122" t="n"/>
      <c r="AD305" s="122" t="n"/>
      <c r="AE305" s="122">
        <f>IFERROR(K305/$T305,0)</f>
        <v/>
      </c>
      <c r="AF305" s="122">
        <f>IFERROR(L305/$T305,0)</f>
        <v/>
      </c>
      <c r="AG305" s="122" t="n"/>
      <c r="AH305" s="122" t="n"/>
      <c r="AI305" s="122" t="n"/>
      <c r="AJ305" s="122" t="n"/>
      <c r="AK305" s="122" t="n"/>
      <c r="AL305" s="122" t="n"/>
      <c r="AM305" s="122" t="n"/>
      <c r="AN305" s="122">
        <f>SUM(Z305:AC305)</f>
        <v/>
      </c>
      <c r="AO305" s="122">
        <f>SUM(AD305:AL305)</f>
        <v/>
      </c>
      <c r="AP305" s="122">
        <f>SUM(AM305,AB305)</f>
        <v/>
      </c>
      <c r="AQ305" s="122">
        <f>SUM(AA305)</f>
        <v/>
      </c>
      <c r="AR305" s="121">
        <f>(AP305+AQ305)-3%</f>
        <v/>
      </c>
      <c r="AS305" s="122">
        <f>SUM(AO305+AM305)</f>
        <v/>
      </c>
      <c r="AT305" s="122">
        <f>SUM(AH305+AN305)</f>
        <v/>
      </c>
      <c r="AU305" s="122">
        <f>SUM(AN305+AO305)</f>
        <v/>
      </c>
      <c r="AV305" s="122">
        <f>SUM(AN305+AD305+AE305+AF305+AG305+AH305+AJ305+AK305+AL305)</f>
        <v/>
      </c>
      <c r="AW305" s="122">
        <f>SUM(AD305+AE305+AF305+AG305+AI305+AJ305+AK305+AL305)</f>
        <v/>
      </c>
    </row>
    <row r="306" ht="14.1" customHeight="1" s="259">
      <c r="A306" s="183">
        <f>A305+1</f>
        <v/>
      </c>
      <c r="B306" s="117" t="n"/>
      <c r="C306" s="119" t="n"/>
      <c r="D306" s="117" t="n"/>
      <c r="E306" s="118" t="n"/>
      <c r="F306" s="120" t="n"/>
      <c r="G306" s="118" t="n"/>
      <c r="H306" s="118" t="n"/>
      <c r="I306" s="118" t="n"/>
      <c r="J306" s="118" t="n"/>
      <c r="K306" s="118" t="n"/>
      <c r="L306" s="118" t="n"/>
      <c r="M306" s="118" t="n"/>
      <c r="N306" s="118" t="n"/>
      <c r="O306" s="118" t="n"/>
      <c r="P306" s="118" t="n"/>
      <c r="Q306" s="118" t="n"/>
      <c r="R306" s="118" t="n"/>
      <c r="S306" s="118" t="n"/>
      <c r="T306" s="117">
        <f>SUM(F306:S306)</f>
        <v/>
      </c>
      <c r="U306" s="190">
        <f>(HLOOKUP(B306,F:T,A306,FALSE)/T306)</f>
        <v/>
      </c>
      <c r="V306" s="159" t="n"/>
      <c r="W306" s="163">
        <f>YEAR(C306)</f>
        <v/>
      </c>
      <c r="X306" s="116">
        <f>MONTH(C306)</f>
        <v/>
      </c>
      <c r="Y306" s="116">
        <f>WEEKNUM(C306,21)</f>
        <v/>
      </c>
      <c r="Z306" s="122" t="n"/>
      <c r="AA306" s="122" t="n"/>
      <c r="AB306" s="122" t="n"/>
      <c r="AC306" s="122" t="n"/>
      <c r="AD306" s="122" t="n"/>
      <c r="AE306" s="122">
        <f>IFERROR(K306/$T306,0)</f>
        <v/>
      </c>
      <c r="AF306" s="122">
        <f>IFERROR(L306/$T306,0)</f>
        <v/>
      </c>
      <c r="AG306" s="122" t="n"/>
      <c r="AH306" s="122" t="n"/>
      <c r="AI306" s="122" t="n"/>
      <c r="AJ306" s="122" t="n"/>
      <c r="AK306" s="122" t="n"/>
      <c r="AL306" s="122" t="n"/>
      <c r="AM306" s="122" t="n"/>
      <c r="AN306" s="122">
        <f>SUM(Z306:AC306)</f>
        <v/>
      </c>
      <c r="AO306" s="122">
        <f>SUM(AD306:AL306)</f>
        <v/>
      </c>
      <c r="AP306" s="122">
        <f>SUM(AM306,AB306)</f>
        <v/>
      </c>
      <c r="AQ306" s="122">
        <f>SUM(AA306)</f>
        <v/>
      </c>
      <c r="AR306" s="121">
        <f>(AP306+AQ306)-3%</f>
        <v/>
      </c>
      <c r="AS306" s="122">
        <f>SUM(AO306+AM306)</f>
        <v/>
      </c>
      <c r="AT306" s="122">
        <f>SUM(AH306+AN306)</f>
        <v/>
      </c>
      <c r="AU306" s="122">
        <f>SUM(AN306+AO306)</f>
        <v/>
      </c>
      <c r="AV306" s="122">
        <f>SUM(AN306+AD306+AE306+AF306+AG306+AH306+AJ306+AK306+AL306)</f>
        <v/>
      </c>
      <c r="AW306" s="122">
        <f>SUM(AD306+AE306+AF306+AG306+AI306+AJ306+AK306+AL306)</f>
        <v/>
      </c>
    </row>
    <row r="307" ht="14.1" customHeight="1" s="259">
      <c r="A307" s="183">
        <f>A306+1</f>
        <v/>
      </c>
      <c r="B307" s="117" t="n"/>
      <c r="C307" s="119" t="n"/>
      <c r="D307" s="117" t="n"/>
      <c r="E307" s="118" t="n"/>
      <c r="F307" s="120" t="n"/>
      <c r="G307" s="118" t="n"/>
      <c r="H307" s="118" t="n"/>
      <c r="I307" s="118" t="n"/>
      <c r="J307" s="118" t="n"/>
      <c r="K307" s="118" t="n"/>
      <c r="L307" s="118" t="n"/>
      <c r="M307" s="118" t="n"/>
      <c r="N307" s="118" t="n"/>
      <c r="O307" s="118" t="n"/>
      <c r="P307" s="118" t="n"/>
      <c r="Q307" s="118" t="n"/>
      <c r="R307" s="118" t="n"/>
      <c r="S307" s="118" t="n"/>
      <c r="T307" s="117">
        <f>SUM(F307:S307)</f>
        <v/>
      </c>
      <c r="U307" s="190">
        <f>(HLOOKUP(B307,F:T,A307,FALSE)/T307)</f>
        <v/>
      </c>
      <c r="V307" s="159" t="n"/>
      <c r="W307" s="163">
        <f>YEAR(C307)</f>
        <v/>
      </c>
      <c r="X307" s="116">
        <f>MONTH(C307)</f>
        <v/>
      </c>
      <c r="Y307" s="116">
        <f>WEEKNUM(C307,21)</f>
        <v/>
      </c>
      <c r="Z307" s="122" t="n"/>
      <c r="AA307" s="122" t="n"/>
      <c r="AB307" s="122" t="n"/>
      <c r="AC307" s="122" t="n"/>
      <c r="AD307" s="122" t="n"/>
      <c r="AE307" s="122">
        <f>IFERROR(K307/$T307,0)</f>
        <v/>
      </c>
      <c r="AF307" s="122">
        <f>IFERROR(L307/$T307,0)</f>
        <v/>
      </c>
      <c r="AG307" s="122" t="n"/>
      <c r="AH307" s="122" t="n"/>
      <c r="AI307" s="122" t="n"/>
      <c r="AJ307" s="122" t="n"/>
      <c r="AK307" s="122" t="n"/>
      <c r="AL307" s="122" t="n"/>
      <c r="AM307" s="122" t="n"/>
      <c r="AN307" s="122">
        <f>SUM(Z307:AC307)</f>
        <v/>
      </c>
      <c r="AO307" s="122">
        <f>SUM(AD307:AL307)</f>
        <v/>
      </c>
      <c r="AP307" s="122">
        <f>SUM(AM307,AB307)</f>
        <v/>
      </c>
      <c r="AQ307" s="122">
        <f>SUM(AA307)</f>
        <v/>
      </c>
      <c r="AR307" s="121">
        <f>(AP307+AQ307)-3%</f>
        <v/>
      </c>
      <c r="AS307" s="122">
        <f>SUM(AO307+AM307)</f>
        <v/>
      </c>
      <c r="AT307" s="122">
        <f>SUM(AH307+AN307)</f>
        <v/>
      </c>
      <c r="AU307" s="122">
        <f>SUM(AN307+AO307)</f>
        <v/>
      </c>
      <c r="AV307" s="122">
        <f>SUM(AN307+AD307+AE307+AF307+AG307+AH307+AJ307+AK307+AL307)</f>
        <v/>
      </c>
      <c r="AW307" s="122">
        <f>SUM(AD307+AE307+AF307+AG307+AI307+AJ307+AK307+AL307)</f>
        <v/>
      </c>
    </row>
    <row r="308" ht="14.1" customHeight="1" s="259">
      <c r="A308" s="183">
        <f>A307+1</f>
        <v/>
      </c>
      <c r="B308" s="117" t="n"/>
      <c r="C308" s="119" t="n"/>
      <c r="D308" s="117" t="n"/>
      <c r="E308" s="118" t="n"/>
      <c r="F308" s="120" t="n"/>
      <c r="G308" s="118" t="n"/>
      <c r="H308" s="118" t="n"/>
      <c r="I308" s="118" t="n"/>
      <c r="J308" s="118" t="n"/>
      <c r="K308" s="118" t="n"/>
      <c r="L308" s="118" t="n"/>
      <c r="M308" s="118" t="n"/>
      <c r="N308" s="118" t="n"/>
      <c r="O308" s="118" t="n"/>
      <c r="P308" s="118" t="n"/>
      <c r="Q308" s="118" t="n"/>
      <c r="R308" s="118" t="n"/>
      <c r="S308" s="118" t="n"/>
      <c r="T308" s="117">
        <f>SUM(F308:S308)</f>
        <v/>
      </c>
      <c r="U308" s="190">
        <f>(HLOOKUP(B308,F:T,A308,FALSE)/T308)</f>
        <v/>
      </c>
      <c r="V308" s="159" t="n"/>
      <c r="W308" s="163">
        <f>YEAR(C308)</f>
        <v/>
      </c>
      <c r="X308" s="116">
        <f>MONTH(C308)</f>
        <v/>
      </c>
      <c r="Y308" s="116">
        <f>WEEKNUM(C308,21)</f>
        <v/>
      </c>
      <c r="Z308" s="122" t="n"/>
      <c r="AA308" s="122" t="n"/>
      <c r="AB308" s="122" t="n"/>
      <c r="AC308" s="122" t="n"/>
      <c r="AD308" s="122" t="n"/>
      <c r="AE308" s="122">
        <f>IFERROR(K308/$T308,0)</f>
        <v/>
      </c>
      <c r="AF308" s="122">
        <f>IFERROR(L308/$T308,0)</f>
        <v/>
      </c>
      <c r="AG308" s="122" t="n"/>
      <c r="AH308" s="122" t="n"/>
      <c r="AI308" s="122" t="n"/>
      <c r="AJ308" s="122" t="n"/>
      <c r="AK308" s="122" t="n"/>
      <c r="AL308" s="122" t="n"/>
      <c r="AM308" s="122" t="n"/>
      <c r="AN308" s="122">
        <f>SUM(Z308:AC308)</f>
        <v/>
      </c>
      <c r="AO308" s="122">
        <f>SUM(AD308:AL308)</f>
        <v/>
      </c>
      <c r="AP308" s="122">
        <f>SUM(AM308,AB308)</f>
        <v/>
      </c>
      <c r="AQ308" s="122">
        <f>SUM(AA308)</f>
        <v/>
      </c>
      <c r="AR308" s="121">
        <f>(AP308+AQ308)-3%</f>
        <v/>
      </c>
      <c r="AS308" s="122">
        <f>SUM(AO308+AM308)</f>
        <v/>
      </c>
      <c r="AT308" s="122">
        <f>SUM(AH308+AN308)</f>
        <v/>
      </c>
      <c r="AU308" s="122">
        <f>SUM(AN308+AO308)</f>
        <v/>
      </c>
      <c r="AV308" s="122">
        <f>SUM(AN308+AD308+AE308+AF308+AG308+AH308+AJ308+AK308+AL308)</f>
        <v/>
      </c>
      <c r="AW308" s="122">
        <f>SUM(AD308+AE308+AF308+AG308+AI308+AJ308+AK308+AL308)</f>
        <v/>
      </c>
    </row>
    <row r="309" ht="14.1" customHeight="1" s="259">
      <c r="A309" s="183">
        <f>A308+1</f>
        <v/>
      </c>
      <c r="B309" s="117" t="n"/>
      <c r="C309" s="119" t="n"/>
      <c r="D309" s="117" t="n"/>
      <c r="E309" s="118" t="n"/>
      <c r="F309" s="120" t="n"/>
      <c r="G309" s="118" t="n"/>
      <c r="H309" s="118" t="n"/>
      <c r="I309" s="118" t="n"/>
      <c r="J309" s="118" t="n"/>
      <c r="K309" s="118" t="n"/>
      <c r="L309" s="118" t="n"/>
      <c r="M309" s="118" t="n"/>
      <c r="N309" s="118" t="n"/>
      <c r="O309" s="118" t="n"/>
      <c r="P309" s="118" t="n"/>
      <c r="Q309" s="118" t="n"/>
      <c r="R309" s="118" t="n"/>
      <c r="S309" s="118" t="n"/>
      <c r="T309" s="117">
        <f>SUM(F309:S309)</f>
        <v/>
      </c>
      <c r="U309" s="190">
        <f>(HLOOKUP(B309,F:T,A309,FALSE)/T309)</f>
        <v/>
      </c>
      <c r="V309" s="159" t="n"/>
      <c r="W309" s="163">
        <f>YEAR(C309)</f>
        <v/>
      </c>
      <c r="X309" s="116">
        <f>MONTH(C309)</f>
        <v/>
      </c>
      <c r="Y309" s="116">
        <f>WEEKNUM(C309,21)</f>
        <v/>
      </c>
      <c r="Z309" s="122" t="n"/>
      <c r="AA309" s="122" t="n"/>
      <c r="AB309" s="122" t="n"/>
      <c r="AC309" s="122" t="n"/>
      <c r="AD309" s="122" t="n"/>
      <c r="AE309" s="122">
        <f>IFERROR(K309/$T309,0)</f>
        <v/>
      </c>
      <c r="AF309" s="122">
        <f>IFERROR(L309/$T309,0)</f>
        <v/>
      </c>
      <c r="AG309" s="122" t="n"/>
      <c r="AH309" s="122" t="n"/>
      <c r="AI309" s="122" t="n"/>
      <c r="AJ309" s="122" t="n"/>
      <c r="AK309" s="122" t="n"/>
      <c r="AL309" s="122" t="n"/>
      <c r="AM309" s="122" t="n"/>
      <c r="AN309" s="122">
        <f>SUM(Z309:AC309)</f>
        <v/>
      </c>
      <c r="AO309" s="122">
        <f>SUM(AD309:AL309)</f>
        <v/>
      </c>
      <c r="AP309" s="122">
        <f>SUM(AM309,AB309)</f>
        <v/>
      </c>
      <c r="AQ309" s="122">
        <f>SUM(AA309)</f>
        <v/>
      </c>
      <c r="AR309" s="121">
        <f>(AP309+AQ309)-3%</f>
        <v/>
      </c>
      <c r="AS309" s="122">
        <f>SUM(AO309+AM309)</f>
        <v/>
      </c>
      <c r="AT309" s="122">
        <f>SUM(AH309+AN309)</f>
        <v/>
      </c>
      <c r="AU309" s="122">
        <f>SUM(AN309+AO309)</f>
        <v/>
      </c>
      <c r="AV309" s="122">
        <f>SUM(AN309+AD309+AE309+AF309+AG309+AH309+AJ309+AK309+AL309)</f>
        <v/>
      </c>
      <c r="AW309" s="122">
        <f>SUM(AD309+AE309+AF309+AG309+AI309+AJ309+AK309+AL309)</f>
        <v/>
      </c>
    </row>
    <row r="310" ht="14.1" customHeight="1" s="259">
      <c r="A310" s="183">
        <f>A309+1</f>
        <v/>
      </c>
      <c r="B310" s="117" t="n"/>
      <c r="C310" s="119" t="n"/>
      <c r="D310" s="117" t="n"/>
      <c r="E310" s="118" t="n"/>
      <c r="F310" s="120" t="n"/>
      <c r="G310" s="118" t="n"/>
      <c r="H310" s="118" t="n"/>
      <c r="I310" s="118" t="n"/>
      <c r="J310" s="118" t="n"/>
      <c r="K310" s="118" t="n"/>
      <c r="L310" s="118" t="n"/>
      <c r="M310" s="118" t="n"/>
      <c r="N310" s="118" t="n"/>
      <c r="O310" s="118" t="n"/>
      <c r="P310" s="118" t="n"/>
      <c r="Q310" s="118" t="n"/>
      <c r="R310" s="118" t="n"/>
      <c r="S310" s="118" t="n"/>
      <c r="T310" s="117">
        <f>SUM(F310:S310)</f>
        <v/>
      </c>
      <c r="U310" s="190">
        <f>(HLOOKUP(B310,F:T,A310,FALSE)/T310)</f>
        <v/>
      </c>
      <c r="V310" s="159" t="n"/>
      <c r="W310" s="163">
        <f>YEAR(C310)</f>
        <v/>
      </c>
      <c r="X310" s="116">
        <f>MONTH(C310)</f>
        <v/>
      </c>
      <c r="Y310" s="116">
        <f>WEEKNUM(C310,21)</f>
        <v/>
      </c>
      <c r="Z310" s="122" t="n"/>
      <c r="AA310" s="122" t="n"/>
      <c r="AB310" s="122" t="n"/>
      <c r="AC310" s="122" t="n"/>
      <c r="AD310" s="122" t="n"/>
      <c r="AE310" s="122">
        <f>IFERROR(K310/$T310,0)</f>
        <v/>
      </c>
      <c r="AF310" s="122">
        <f>IFERROR(L310/$T310,0)</f>
        <v/>
      </c>
      <c r="AG310" s="122" t="n"/>
      <c r="AH310" s="122" t="n"/>
      <c r="AI310" s="122" t="n"/>
      <c r="AJ310" s="122" t="n"/>
      <c r="AK310" s="122" t="n"/>
      <c r="AL310" s="122" t="n"/>
      <c r="AM310" s="122" t="n"/>
      <c r="AN310" s="122">
        <f>SUM(Z310:AC310)</f>
        <v/>
      </c>
      <c r="AO310" s="122">
        <f>SUM(AD310:AL310)</f>
        <v/>
      </c>
      <c r="AP310" s="122">
        <f>SUM(AM310,AB310)</f>
        <v/>
      </c>
      <c r="AQ310" s="122">
        <f>SUM(AA310)</f>
        <v/>
      </c>
      <c r="AR310" s="121">
        <f>(AP310+AQ310)-3%</f>
        <v/>
      </c>
      <c r="AS310" s="122">
        <f>SUM(AO310+AM310)</f>
        <v/>
      </c>
      <c r="AT310" s="122">
        <f>SUM(AH310+AN310)</f>
        <v/>
      </c>
      <c r="AU310" s="122">
        <f>SUM(AN310+AO310)</f>
        <v/>
      </c>
      <c r="AV310" s="122">
        <f>SUM(AN310+AD310+AE310+AF310+AG310+AH310+AJ310+AK310+AL310)</f>
        <v/>
      </c>
      <c r="AW310" s="122">
        <f>SUM(AD310+AE310+AF310+AG310+AI310+AJ310+AK310+AL310)</f>
        <v/>
      </c>
    </row>
    <row r="311" ht="14.1" customHeight="1" s="259">
      <c r="A311" s="183">
        <f>A310+1</f>
        <v/>
      </c>
      <c r="B311" s="117" t="n"/>
      <c r="C311" s="119" t="n"/>
      <c r="D311" s="117" t="n"/>
      <c r="E311" s="118" t="n"/>
      <c r="F311" s="120" t="n"/>
      <c r="G311" s="118" t="n"/>
      <c r="H311" s="118" t="n"/>
      <c r="I311" s="118" t="n"/>
      <c r="J311" s="118" t="n"/>
      <c r="K311" s="118" t="n"/>
      <c r="L311" s="118" t="n"/>
      <c r="M311" s="118" t="n"/>
      <c r="N311" s="118" t="n"/>
      <c r="O311" s="118" t="n"/>
      <c r="P311" s="118" t="n"/>
      <c r="Q311" s="118" t="n"/>
      <c r="R311" s="118" t="n"/>
      <c r="S311" s="118" t="n"/>
      <c r="T311" s="117">
        <f>SUM(F311:S311)</f>
        <v/>
      </c>
      <c r="U311" s="190">
        <f>(HLOOKUP(B311,F:T,A311,FALSE)/T311)</f>
        <v/>
      </c>
      <c r="V311" s="159" t="n"/>
      <c r="W311" s="163">
        <f>YEAR(C311)</f>
        <v/>
      </c>
      <c r="X311" s="116">
        <f>MONTH(C311)</f>
        <v/>
      </c>
      <c r="Y311" s="116">
        <f>WEEKNUM(C311,21)</f>
        <v/>
      </c>
      <c r="Z311" s="122" t="n"/>
      <c r="AA311" s="122" t="n"/>
      <c r="AB311" s="122" t="n"/>
      <c r="AC311" s="122" t="n"/>
      <c r="AD311" s="122" t="n"/>
      <c r="AE311" s="122">
        <f>IFERROR(K311/$T311,0)</f>
        <v/>
      </c>
      <c r="AF311" s="122">
        <f>IFERROR(L311/$T311,0)</f>
        <v/>
      </c>
      <c r="AG311" s="122" t="n"/>
      <c r="AH311" s="122" t="n"/>
      <c r="AI311" s="122" t="n"/>
      <c r="AJ311" s="122" t="n"/>
      <c r="AK311" s="122" t="n"/>
      <c r="AL311" s="122" t="n"/>
      <c r="AM311" s="122" t="n"/>
      <c r="AN311" s="122">
        <f>SUM(Z311:AC311)</f>
        <v/>
      </c>
      <c r="AO311" s="122">
        <f>SUM(AD311:AL311)</f>
        <v/>
      </c>
      <c r="AP311" s="122">
        <f>SUM(AM311,AB311)</f>
        <v/>
      </c>
      <c r="AQ311" s="122">
        <f>SUM(AA311)</f>
        <v/>
      </c>
      <c r="AR311" s="121">
        <f>(AP311+AQ311)-3%</f>
        <v/>
      </c>
      <c r="AS311" s="122">
        <f>SUM(AO311+AM311)</f>
        <v/>
      </c>
      <c r="AT311" s="122">
        <f>SUM(AH311+AN311)</f>
        <v/>
      </c>
      <c r="AU311" s="122">
        <f>SUM(AN311+AO311)</f>
        <v/>
      </c>
      <c r="AV311" s="122">
        <f>SUM(AN311+AD311+AE311+AF311+AG311+AH311+AJ311+AK311+AL311)</f>
        <v/>
      </c>
      <c r="AW311" s="122">
        <f>SUM(AD311+AE311+AF311+AG311+AI311+AJ311+AK311+AL311)</f>
        <v/>
      </c>
    </row>
    <row r="312" ht="14.1" customHeight="1" s="259">
      <c r="A312" s="183">
        <f>A311+1</f>
        <v/>
      </c>
      <c r="B312" s="117" t="n"/>
      <c r="C312" s="119" t="n"/>
      <c r="D312" s="117" t="n"/>
      <c r="E312" s="118" t="n"/>
      <c r="F312" s="120" t="n"/>
      <c r="G312" s="118" t="n"/>
      <c r="H312" s="118" t="n"/>
      <c r="I312" s="118" t="n"/>
      <c r="J312" s="118" t="n"/>
      <c r="K312" s="118" t="n"/>
      <c r="L312" s="118" t="n"/>
      <c r="M312" s="118" t="n"/>
      <c r="N312" s="118" t="n"/>
      <c r="O312" s="118" t="n"/>
      <c r="P312" s="118" t="n"/>
      <c r="Q312" s="118" t="n"/>
      <c r="R312" s="118" t="n"/>
      <c r="S312" s="118" t="n"/>
      <c r="T312" s="117">
        <f>SUM(F312:S312)</f>
        <v/>
      </c>
      <c r="U312" s="190">
        <f>(HLOOKUP(B312,F:T,A312,FALSE)/T312)</f>
        <v/>
      </c>
      <c r="V312" s="159" t="n"/>
      <c r="W312" s="163">
        <f>YEAR(C312)</f>
        <v/>
      </c>
      <c r="X312" s="116">
        <f>MONTH(C312)</f>
        <v/>
      </c>
      <c r="Y312" s="116">
        <f>WEEKNUM(C312,21)</f>
        <v/>
      </c>
      <c r="Z312" s="122" t="n"/>
      <c r="AA312" s="122" t="n"/>
      <c r="AB312" s="122" t="n"/>
      <c r="AC312" s="122" t="n"/>
      <c r="AD312" s="122" t="n"/>
      <c r="AE312" s="122">
        <f>IFERROR(K312/$T312,0)</f>
        <v/>
      </c>
      <c r="AF312" s="122">
        <f>IFERROR(L312/$T312,0)</f>
        <v/>
      </c>
      <c r="AG312" s="122" t="n"/>
      <c r="AH312" s="122" t="n"/>
      <c r="AI312" s="122" t="n"/>
      <c r="AJ312" s="122" t="n"/>
      <c r="AK312" s="122" t="n"/>
      <c r="AL312" s="122" t="n"/>
      <c r="AM312" s="122" t="n"/>
      <c r="AN312" s="122">
        <f>SUM(Z312:AC312)</f>
        <v/>
      </c>
      <c r="AO312" s="122">
        <f>SUM(AD312:AL312)</f>
        <v/>
      </c>
      <c r="AP312" s="122">
        <f>SUM(AM312,AB312)</f>
        <v/>
      </c>
      <c r="AQ312" s="122">
        <f>SUM(AA312)</f>
        <v/>
      </c>
      <c r="AR312" s="121">
        <f>(AP312+AQ312)-3%</f>
        <v/>
      </c>
      <c r="AS312" s="122">
        <f>SUM(AO312+AM312)</f>
        <v/>
      </c>
      <c r="AT312" s="122">
        <f>SUM(AH312+AN312)</f>
        <v/>
      </c>
      <c r="AU312" s="122">
        <f>SUM(AN312+AO312)</f>
        <v/>
      </c>
      <c r="AV312" s="122">
        <f>SUM(AN312+AD312+AE312+AF312+AG312+AH312+AJ312+AK312+AL312)</f>
        <v/>
      </c>
      <c r="AW312" s="122">
        <f>SUM(AD312+AE312+AF312+AG312+AI312+AJ312+AK312+AL312)</f>
        <v/>
      </c>
    </row>
    <row r="313" ht="14.1" customHeight="1" s="259">
      <c r="A313" s="183">
        <f>A312+1</f>
        <v/>
      </c>
      <c r="B313" s="117" t="n"/>
      <c r="C313" s="119" t="n"/>
      <c r="D313" s="117" t="n"/>
      <c r="E313" s="118" t="n"/>
      <c r="F313" s="120" t="n"/>
      <c r="G313" s="118" t="n"/>
      <c r="H313" s="118" t="n"/>
      <c r="I313" s="118" t="n"/>
      <c r="J313" s="118" t="n"/>
      <c r="K313" s="118" t="n"/>
      <c r="L313" s="118" t="n"/>
      <c r="M313" s="118" t="n"/>
      <c r="N313" s="118" t="n"/>
      <c r="O313" s="118" t="n"/>
      <c r="P313" s="118" t="n"/>
      <c r="Q313" s="118" t="n"/>
      <c r="R313" s="118" t="n"/>
      <c r="S313" s="118" t="n"/>
      <c r="T313" s="117">
        <f>SUM(F313:S313)</f>
        <v/>
      </c>
      <c r="U313" s="190">
        <f>(HLOOKUP(B313,F:T,A313,FALSE)/T313)</f>
        <v/>
      </c>
      <c r="V313" s="159" t="n"/>
      <c r="W313" s="163">
        <f>YEAR(C313)</f>
        <v/>
      </c>
      <c r="X313" s="116">
        <f>MONTH(C313)</f>
        <v/>
      </c>
      <c r="Y313" s="116">
        <f>WEEKNUM(C313,21)</f>
        <v/>
      </c>
      <c r="Z313" s="122" t="n"/>
      <c r="AA313" s="122" t="n"/>
      <c r="AB313" s="122" t="n"/>
      <c r="AC313" s="122" t="n"/>
      <c r="AD313" s="122" t="n"/>
      <c r="AE313" s="122">
        <f>IFERROR(K313/$T313,0)</f>
        <v/>
      </c>
      <c r="AF313" s="122">
        <f>IFERROR(L313/$T313,0)</f>
        <v/>
      </c>
      <c r="AG313" s="122" t="n"/>
      <c r="AH313" s="122" t="n"/>
      <c r="AI313" s="122" t="n"/>
      <c r="AJ313" s="122" t="n"/>
      <c r="AK313" s="122" t="n"/>
      <c r="AL313" s="122" t="n"/>
      <c r="AM313" s="122" t="n"/>
      <c r="AN313" s="122">
        <f>SUM(Z313:AC313)</f>
        <v/>
      </c>
      <c r="AO313" s="122">
        <f>SUM(AD313:AL313)</f>
        <v/>
      </c>
      <c r="AP313" s="122">
        <f>SUM(AM313,AB313)</f>
        <v/>
      </c>
      <c r="AQ313" s="122">
        <f>SUM(AA313)</f>
        <v/>
      </c>
      <c r="AR313" s="121">
        <f>(AP313+AQ313)-3%</f>
        <v/>
      </c>
      <c r="AS313" s="122">
        <f>SUM(AO313+AM313)</f>
        <v/>
      </c>
      <c r="AT313" s="122">
        <f>SUM(AH313+AN313)</f>
        <v/>
      </c>
      <c r="AU313" s="122">
        <f>SUM(AN313+AO313)</f>
        <v/>
      </c>
      <c r="AV313" s="122">
        <f>SUM(AN313+AD313+AE313+AF313+AG313+AH313+AJ313+AK313+AL313)</f>
        <v/>
      </c>
      <c r="AW313" s="122">
        <f>SUM(AD313+AE313+AF313+AG313+AI313+AJ313+AK313+AL313)</f>
        <v/>
      </c>
    </row>
    <row r="314" ht="14.1" customHeight="1" s="259">
      <c r="A314" s="183">
        <f>A313+1</f>
        <v/>
      </c>
      <c r="B314" s="117" t="n"/>
      <c r="C314" s="119" t="n"/>
      <c r="D314" s="117" t="n"/>
      <c r="E314" s="118" t="n"/>
      <c r="F314" s="120" t="n"/>
      <c r="G314" s="118" t="n"/>
      <c r="H314" s="118" t="n"/>
      <c r="I314" s="118" t="n"/>
      <c r="J314" s="118" t="n"/>
      <c r="K314" s="118" t="n"/>
      <c r="L314" s="118" t="n"/>
      <c r="M314" s="118" t="n"/>
      <c r="N314" s="118" t="n"/>
      <c r="O314" s="118" t="n"/>
      <c r="P314" s="118" t="n"/>
      <c r="Q314" s="118" t="n"/>
      <c r="R314" s="118" t="n"/>
      <c r="S314" s="118" t="n"/>
      <c r="T314" s="117">
        <f>SUM(F314:S314)</f>
        <v/>
      </c>
      <c r="U314" s="190">
        <f>(HLOOKUP(B314,F:T,A314,FALSE)/T314)</f>
        <v/>
      </c>
      <c r="V314" s="159" t="n"/>
      <c r="W314" s="163">
        <f>YEAR(C314)</f>
        <v/>
      </c>
      <c r="X314" s="116">
        <f>MONTH(C314)</f>
        <v/>
      </c>
      <c r="Y314" s="116">
        <f>WEEKNUM(C314,21)</f>
        <v/>
      </c>
      <c r="Z314" s="122" t="n"/>
      <c r="AA314" s="122" t="n"/>
      <c r="AB314" s="122" t="n"/>
      <c r="AC314" s="122" t="n"/>
      <c r="AD314" s="122" t="n"/>
      <c r="AE314" s="122">
        <f>IFERROR(K314/$T314,0)</f>
        <v/>
      </c>
      <c r="AF314" s="122">
        <f>IFERROR(L314/$T314,0)</f>
        <v/>
      </c>
      <c r="AG314" s="122" t="n"/>
      <c r="AH314" s="122" t="n"/>
      <c r="AI314" s="122" t="n"/>
      <c r="AJ314" s="122" t="n"/>
      <c r="AK314" s="122" t="n"/>
      <c r="AL314" s="122" t="n"/>
      <c r="AM314" s="122" t="n"/>
      <c r="AN314" s="122">
        <f>SUM(Z314:AC314)</f>
        <v/>
      </c>
      <c r="AO314" s="122">
        <f>SUM(AD314:AL314)</f>
        <v/>
      </c>
      <c r="AP314" s="122">
        <f>SUM(AM314,AB314)</f>
        <v/>
      </c>
      <c r="AQ314" s="122">
        <f>SUM(AA314)</f>
        <v/>
      </c>
      <c r="AR314" s="121">
        <f>(AP314+AQ314)-3%</f>
        <v/>
      </c>
      <c r="AS314" s="122">
        <f>SUM(AO314+AM314)</f>
        <v/>
      </c>
      <c r="AT314" s="122">
        <f>SUM(AH314+AN314)</f>
        <v/>
      </c>
      <c r="AU314" s="122">
        <f>SUM(AN314+AO314)</f>
        <v/>
      </c>
      <c r="AV314" s="122">
        <f>SUM(AN314+AD314+AE314+AF314+AG314+AH314+AJ314+AK314+AL314)</f>
        <v/>
      </c>
      <c r="AW314" s="122">
        <f>SUM(AD314+AE314+AF314+AG314+AI314+AJ314+AK314+AL314)</f>
        <v/>
      </c>
    </row>
    <row r="315" ht="14.1" customHeight="1" s="259">
      <c r="A315" s="183">
        <f>A314+1</f>
        <v/>
      </c>
      <c r="B315" s="117" t="n"/>
      <c r="C315" s="119" t="n"/>
      <c r="D315" s="117" t="n"/>
      <c r="E315" s="118" t="n"/>
      <c r="F315" s="120" t="n"/>
      <c r="G315" s="118" t="n"/>
      <c r="H315" s="118" t="n"/>
      <c r="I315" s="118" t="n"/>
      <c r="J315" s="118" t="n"/>
      <c r="K315" s="118" t="n"/>
      <c r="L315" s="118" t="n"/>
      <c r="M315" s="118" t="n"/>
      <c r="N315" s="118" t="n"/>
      <c r="O315" s="118" t="n"/>
      <c r="P315" s="118" t="n"/>
      <c r="Q315" s="118" t="n"/>
      <c r="R315" s="118" t="n"/>
      <c r="S315" s="118" t="n"/>
      <c r="T315" s="117">
        <f>SUM(F315:S315)</f>
        <v/>
      </c>
      <c r="U315" s="190">
        <f>(HLOOKUP(B315,F:T,A315,FALSE)/T315)</f>
        <v/>
      </c>
      <c r="V315" s="159" t="n"/>
      <c r="W315" s="163">
        <f>YEAR(C315)</f>
        <v/>
      </c>
      <c r="X315" s="116">
        <f>MONTH(C315)</f>
        <v/>
      </c>
      <c r="Y315" s="116">
        <f>WEEKNUM(C315,21)</f>
        <v/>
      </c>
      <c r="Z315" s="122" t="n"/>
      <c r="AA315" s="122" t="n"/>
      <c r="AB315" s="122" t="n"/>
      <c r="AC315" s="122" t="n"/>
      <c r="AD315" s="122" t="n"/>
      <c r="AE315" s="122">
        <f>IFERROR(K315/$T315,0)</f>
        <v/>
      </c>
      <c r="AF315" s="122">
        <f>IFERROR(L315/$T315,0)</f>
        <v/>
      </c>
      <c r="AG315" s="122" t="n"/>
      <c r="AH315" s="122" t="n"/>
      <c r="AI315" s="122" t="n"/>
      <c r="AJ315" s="122" t="n"/>
      <c r="AK315" s="122" t="n"/>
      <c r="AL315" s="122" t="n"/>
      <c r="AM315" s="122" t="n"/>
      <c r="AN315" s="122">
        <f>SUM(Z315:AC315)</f>
        <v/>
      </c>
      <c r="AO315" s="122">
        <f>SUM(AD315:AL315)</f>
        <v/>
      </c>
      <c r="AP315" s="122">
        <f>SUM(AM315,AB315)</f>
        <v/>
      </c>
      <c r="AQ315" s="122">
        <f>SUM(AA315)</f>
        <v/>
      </c>
      <c r="AR315" s="121">
        <f>(AP315+AQ315)-3%</f>
        <v/>
      </c>
      <c r="AS315" s="122">
        <f>SUM(AO315+AM315)</f>
        <v/>
      </c>
      <c r="AT315" s="122">
        <f>SUM(AH315+AN315)</f>
        <v/>
      </c>
      <c r="AU315" s="122">
        <f>SUM(AN315+AO315)</f>
        <v/>
      </c>
      <c r="AV315" s="122">
        <f>SUM(AN315+AD315+AE315+AF315+AG315+AH315+AJ315+AK315+AL315)</f>
        <v/>
      </c>
      <c r="AW315" s="122">
        <f>SUM(AD315+AE315+AF315+AG315+AI315+AJ315+AK315+AL315)</f>
        <v/>
      </c>
    </row>
    <row r="316" ht="14.1" customHeight="1" s="259">
      <c r="A316" s="183">
        <f>A315+1</f>
        <v/>
      </c>
      <c r="B316" s="117" t="n"/>
      <c r="C316" s="119" t="n"/>
      <c r="D316" s="117" t="n"/>
      <c r="E316" s="118" t="n"/>
      <c r="F316" s="120" t="n"/>
      <c r="G316" s="118" t="n"/>
      <c r="H316" s="118" t="n"/>
      <c r="I316" s="118" t="n"/>
      <c r="J316" s="118" t="n"/>
      <c r="K316" s="118" t="n"/>
      <c r="L316" s="118" t="n"/>
      <c r="M316" s="118" t="n"/>
      <c r="N316" s="118" t="n"/>
      <c r="O316" s="118" t="n"/>
      <c r="P316" s="118" t="n"/>
      <c r="Q316" s="118" t="n"/>
      <c r="R316" s="118" t="n"/>
      <c r="S316" s="118" t="n"/>
      <c r="T316" s="117">
        <f>SUM(F316:S316)</f>
        <v/>
      </c>
      <c r="U316" s="190">
        <f>(HLOOKUP(B316,F:T,A316,FALSE)/T316)</f>
        <v/>
      </c>
      <c r="V316" s="159" t="n"/>
      <c r="W316" s="163">
        <f>YEAR(C316)</f>
        <v/>
      </c>
      <c r="X316" s="116">
        <f>MONTH(C316)</f>
        <v/>
      </c>
      <c r="Y316" s="116">
        <f>WEEKNUM(C316,21)</f>
        <v/>
      </c>
      <c r="Z316" s="122" t="n"/>
      <c r="AA316" s="122" t="n"/>
      <c r="AB316" s="122" t="n"/>
      <c r="AC316" s="122" t="n"/>
      <c r="AD316" s="122" t="n"/>
      <c r="AE316" s="122">
        <f>IFERROR(K316/$T316,0)</f>
        <v/>
      </c>
      <c r="AF316" s="122">
        <f>IFERROR(L316/$T316,0)</f>
        <v/>
      </c>
      <c r="AG316" s="122" t="n"/>
      <c r="AH316" s="122" t="n"/>
      <c r="AI316" s="122" t="n"/>
      <c r="AJ316" s="122" t="n"/>
      <c r="AK316" s="122" t="n"/>
      <c r="AL316" s="122" t="n"/>
      <c r="AM316" s="122" t="n"/>
      <c r="AN316" s="122">
        <f>SUM(Z316:AC316)</f>
        <v/>
      </c>
      <c r="AO316" s="122">
        <f>SUM(AD316:AL316)</f>
        <v/>
      </c>
      <c r="AP316" s="122">
        <f>SUM(AM316,AB316)</f>
        <v/>
      </c>
      <c r="AQ316" s="122">
        <f>SUM(AA316)</f>
        <v/>
      </c>
      <c r="AR316" s="121">
        <f>(AP316+AQ316)-3%</f>
        <v/>
      </c>
      <c r="AS316" s="122">
        <f>SUM(AO316+AM316)</f>
        <v/>
      </c>
      <c r="AT316" s="122">
        <f>SUM(AH316+AN316)</f>
        <v/>
      </c>
      <c r="AU316" s="122">
        <f>SUM(AN316+AO316)</f>
        <v/>
      </c>
      <c r="AV316" s="122">
        <f>SUM(AN316+AD316+AE316+AF316+AG316+AH316+AJ316+AK316+AL316)</f>
        <v/>
      </c>
      <c r="AW316" s="122">
        <f>SUM(AD316+AE316+AF316+AG316+AI316+AJ316+AK316+AL316)</f>
        <v/>
      </c>
    </row>
    <row r="317" ht="14.1" customHeight="1" s="259">
      <c r="A317" s="183">
        <f>A316+1</f>
        <v/>
      </c>
      <c r="B317" s="117" t="n"/>
      <c r="C317" s="119" t="n"/>
      <c r="D317" s="117" t="n"/>
      <c r="E317" s="118" t="n"/>
      <c r="F317" s="120" t="n"/>
      <c r="G317" s="118" t="n"/>
      <c r="H317" s="118" t="n"/>
      <c r="I317" s="118" t="n"/>
      <c r="J317" s="118" t="n"/>
      <c r="K317" s="118" t="n"/>
      <c r="L317" s="118" t="n"/>
      <c r="M317" s="118" t="n"/>
      <c r="N317" s="118" t="n"/>
      <c r="O317" s="118" t="n"/>
      <c r="P317" s="118" t="n"/>
      <c r="Q317" s="118" t="n"/>
      <c r="R317" s="118" t="n"/>
      <c r="S317" s="118" t="n"/>
      <c r="T317" s="117">
        <f>SUM(F317:S317)</f>
        <v/>
      </c>
      <c r="U317" s="190">
        <f>(HLOOKUP(B317,F:T,A317,FALSE)/T317)</f>
        <v/>
      </c>
      <c r="V317" s="159" t="n"/>
      <c r="W317" s="163">
        <f>YEAR(C317)</f>
        <v/>
      </c>
      <c r="X317" s="116">
        <f>MONTH(C317)</f>
        <v/>
      </c>
      <c r="Y317" s="116">
        <f>WEEKNUM(C317,21)</f>
        <v/>
      </c>
      <c r="Z317" s="122" t="n"/>
      <c r="AA317" s="122" t="n"/>
      <c r="AB317" s="122" t="n"/>
      <c r="AC317" s="122" t="n"/>
      <c r="AD317" s="122" t="n"/>
      <c r="AE317" s="122">
        <f>IFERROR(K317/$T317,0)</f>
        <v/>
      </c>
      <c r="AF317" s="122">
        <f>IFERROR(L317/$T317,0)</f>
        <v/>
      </c>
      <c r="AG317" s="122" t="n"/>
      <c r="AH317" s="122" t="n"/>
      <c r="AI317" s="122" t="n"/>
      <c r="AJ317" s="122" t="n"/>
      <c r="AK317" s="122" t="n"/>
      <c r="AL317" s="122" t="n"/>
      <c r="AM317" s="122" t="n"/>
      <c r="AN317" s="122">
        <f>SUM(Z317:AC317)</f>
        <v/>
      </c>
      <c r="AO317" s="122">
        <f>SUM(AD317:AL317)</f>
        <v/>
      </c>
      <c r="AP317" s="122">
        <f>SUM(AM317,AB317)</f>
        <v/>
      </c>
      <c r="AQ317" s="122">
        <f>SUM(AA317)</f>
        <v/>
      </c>
      <c r="AR317" s="121">
        <f>(AP317+AQ317)-3%</f>
        <v/>
      </c>
      <c r="AS317" s="122">
        <f>SUM(AO317+AM317)</f>
        <v/>
      </c>
      <c r="AT317" s="122">
        <f>SUM(AH317+AN317)</f>
        <v/>
      </c>
      <c r="AU317" s="122">
        <f>SUM(AN317+AO317)</f>
        <v/>
      </c>
      <c r="AV317" s="122">
        <f>SUM(AN317+AD317+AE317+AF317+AG317+AH317+AJ317+AK317+AL317)</f>
        <v/>
      </c>
      <c r="AW317" s="122">
        <f>SUM(AD317+AE317+AF317+AG317+AI317+AJ317+AK317+AL317)</f>
        <v/>
      </c>
    </row>
    <row r="318" ht="14.1" customHeight="1" s="259">
      <c r="A318" s="183">
        <f>A317+1</f>
        <v/>
      </c>
      <c r="B318" s="117" t="n"/>
      <c r="C318" s="119" t="n"/>
      <c r="D318" s="117" t="n"/>
      <c r="E318" s="118" t="n"/>
      <c r="F318" s="120" t="n"/>
      <c r="G318" s="118" t="n"/>
      <c r="H318" s="118" t="n"/>
      <c r="I318" s="118" t="n"/>
      <c r="J318" s="118" t="n"/>
      <c r="K318" s="118" t="n"/>
      <c r="L318" s="118" t="n"/>
      <c r="M318" s="118" t="n"/>
      <c r="N318" s="118" t="n"/>
      <c r="O318" s="118" t="n"/>
      <c r="P318" s="118" t="n"/>
      <c r="Q318" s="118" t="n"/>
      <c r="R318" s="118" t="n"/>
      <c r="S318" s="118" t="n"/>
      <c r="T318" s="117">
        <f>SUM(F318:S318)</f>
        <v/>
      </c>
      <c r="U318" s="190">
        <f>(HLOOKUP(B318,F:T,A318,FALSE)/T318)</f>
        <v/>
      </c>
      <c r="V318" s="159" t="n"/>
      <c r="W318" s="163">
        <f>YEAR(C318)</f>
        <v/>
      </c>
      <c r="X318" s="116">
        <f>MONTH(C318)</f>
        <v/>
      </c>
      <c r="Y318" s="116">
        <f>WEEKNUM(C318,21)</f>
        <v/>
      </c>
      <c r="Z318" s="122" t="n"/>
      <c r="AA318" s="122" t="n"/>
      <c r="AB318" s="122" t="n"/>
      <c r="AC318" s="122" t="n"/>
      <c r="AD318" s="122" t="n"/>
      <c r="AE318" s="122">
        <f>IFERROR(K318/$T318,0)</f>
        <v/>
      </c>
      <c r="AF318" s="122">
        <f>IFERROR(L318/$T318,0)</f>
        <v/>
      </c>
      <c r="AG318" s="122" t="n"/>
      <c r="AH318" s="122" t="n"/>
      <c r="AI318" s="122" t="n"/>
      <c r="AJ318" s="122" t="n"/>
      <c r="AK318" s="122" t="n"/>
      <c r="AL318" s="122" t="n"/>
      <c r="AM318" s="122" t="n"/>
      <c r="AN318" s="122">
        <f>SUM(Z318:AC318)</f>
        <v/>
      </c>
      <c r="AO318" s="122">
        <f>SUM(AD318:AL318)</f>
        <v/>
      </c>
      <c r="AP318" s="122">
        <f>SUM(AM318,AB318)</f>
        <v/>
      </c>
      <c r="AQ318" s="122">
        <f>SUM(AA318)</f>
        <v/>
      </c>
      <c r="AR318" s="121">
        <f>(AP318+AQ318)-3%</f>
        <v/>
      </c>
      <c r="AS318" s="122">
        <f>SUM(AO318+AM318)</f>
        <v/>
      </c>
      <c r="AT318" s="122">
        <f>SUM(AH318+AN318)</f>
        <v/>
      </c>
      <c r="AU318" s="122">
        <f>SUM(AN318+AO318)</f>
        <v/>
      </c>
      <c r="AV318" s="122">
        <f>SUM(AN318+AD318+AE318+AF318+AG318+AH318+AJ318+AK318+AL318)</f>
        <v/>
      </c>
      <c r="AW318" s="122">
        <f>SUM(AD318+AE318+AF318+AG318+AI318+AJ318+AK318+AL318)</f>
        <v/>
      </c>
    </row>
    <row r="319" ht="14.1" customHeight="1" s="259">
      <c r="A319" s="183">
        <f>A318+1</f>
        <v/>
      </c>
      <c r="B319" s="117" t="n"/>
      <c r="C319" s="119" t="n"/>
      <c r="D319" s="117" t="n"/>
      <c r="E319" s="118" t="n"/>
      <c r="F319" s="120" t="n"/>
      <c r="G319" s="118" t="n"/>
      <c r="H319" s="118" t="n"/>
      <c r="I319" s="118" t="n"/>
      <c r="J319" s="118" t="n"/>
      <c r="K319" s="118" t="n"/>
      <c r="L319" s="118" t="n"/>
      <c r="M319" s="118" t="n"/>
      <c r="N319" s="118" t="n"/>
      <c r="O319" s="118" t="n"/>
      <c r="P319" s="118" t="n"/>
      <c r="Q319" s="118" t="n"/>
      <c r="R319" s="118" t="n"/>
      <c r="S319" s="118" t="n"/>
      <c r="T319" s="117">
        <f>SUM(F319:S319)</f>
        <v/>
      </c>
      <c r="U319" s="190">
        <f>(HLOOKUP(B319,F:T,A319,FALSE)/T319)</f>
        <v/>
      </c>
      <c r="V319" s="159" t="n"/>
      <c r="W319" s="163">
        <f>YEAR(C319)</f>
        <v/>
      </c>
      <c r="X319" s="116">
        <f>MONTH(C319)</f>
        <v/>
      </c>
      <c r="Y319" s="116">
        <f>WEEKNUM(C319,21)</f>
        <v/>
      </c>
      <c r="Z319" s="122" t="n"/>
      <c r="AA319" s="122" t="n"/>
      <c r="AB319" s="122" t="n"/>
      <c r="AC319" s="122" t="n"/>
      <c r="AD319" s="122" t="n"/>
      <c r="AE319" s="122">
        <f>IFERROR(K319/$T319,0)</f>
        <v/>
      </c>
      <c r="AF319" s="122">
        <f>IFERROR(L319/$T319,0)</f>
        <v/>
      </c>
      <c r="AG319" s="122" t="n"/>
      <c r="AH319" s="122" t="n"/>
      <c r="AI319" s="122" t="n"/>
      <c r="AJ319" s="122" t="n"/>
      <c r="AK319" s="122" t="n"/>
      <c r="AL319" s="122" t="n"/>
      <c r="AM319" s="122" t="n"/>
      <c r="AN319" s="122">
        <f>SUM(Z319:AC319)</f>
        <v/>
      </c>
      <c r="AO319" s="122">
        <f>SUM(AD319:AL319)</f>
        <v/>
      </c>
      <c r="AP319" s="122">
        <f>SUM(AM319,AB319)</f>
        <v/>
      </c>
      <c r="AQ319" s="122">
        <f>SUM(AA319)</f>
        <v/>
      </c>
      <c r="AR319" s="121">
        <f>(AP319+AQ319)-3%</f>
        <v/>
      </c>
      <c r="AS319" s="122">
        <f>SUM(AO319+AM319)</f>
        <v/>
      </c>
      <c r="AT319" s="122">
        <f>SUM(AH319+AN319)</f>
        <v/>
      </c>
      <c r="AU319" s="122">
        <f>SUM(AN319+AO319)</f>
        <v/>
      </c>
      <c r="AV319" s="122">
        <f>SUM(AN319+AD319+AE319+AF319+AG319+AH319+AJ319+AK319+AL319)</f>
        <v/>
      </c>
      <c r="AW319" s="122">
        <f>SUM(AD319+AE319+AF319+AG319+AI319+AJ319+AK319+AL319)</f>
        <v/>
      </c>
    </row>
    <row r="320" ht="14.1" customHeight="1" s="259">
      <c r="A320" s="183">
        <f>A319+1</f>
        <v/>
      </c>
      <c r="B320" s="117" t="n"/>
      <c r="C320" s="119" t="n"/>
      <c r="D320" s="117" t="n"/>
      <c r="E320" s="118" t="n"/>
      <c r="F320" s="120" t="n"/>
      <c r="G320" s="118" t="n"/>
      <c r="H320" s="118" t="n"/>
      <c r="I320" s="118" t="n"/>
      <c r="J320" s="118" t="n"/>
      <c r="K320" s="118" t="n"/>
      <c r="L320" s="118" t="n"/>
      <c r="M320" s="118" t="n"/>
      <c r="N320" s="118" t="n"/>
      <c r="O320" s="118" t="n"/>
      <c r="P320" s="118" t="n"/>
      <c r="Q320" s="118" t="n"/>
      <c r="R320" s="118" t="n"/>
      <c r="S320" s="118" t="n"/>
      <c r="T320" s="117">
        <f>SUM(F320:S320)</f>
        <v/>
      </c>
      <c r="U320" s="190">
        <f>(HLOOKUP(B320,F:T,A320,FALSE)/T320)</f>
        <v/>
      </c>
      <c r="V320" s="159" t="n"/>
      <c r="W320" s="163">
        <f>YEAR(C320)</f>
        <v/>
      </c>
      <c r="X320" s="116">
        <f>MONTH(C320)</f>
        <v/>
      </c>
      <c r="Y320" s="116">
        <f>WEEKNUM(C320,21)</f>
        <v/>
      </c>
      <c r="Z320" s="122" t="n"/>
      <c r="AA320" s="122" t="n"/>
      <c r="AB320" s="122" t="n"/>
      <c r="AC320" s="122" t="n"/>
      <c r="AD320" s="122" t="n"/>
      <c r="AE320" s="122">
        <f>IFERROR(K320/$T320,0)</f>
        <v/>
      </c>
      <c r="AF320" s="122">
        <f>IFERROR(L320/$T320,0)</f>
        <v/>
      </c>
      <c r="AG320" s="122" t="n"/>
      <c r="AH320" s="122" t="n"/>
      <c r="AI320" s="122" t="n"/>
      <c r="AJ320" s="122" t="n"/>
      <c r="AK320" s="122" t="n"/>
      <c r="AL320" s="122" t="n"/>
      <c r="AM320" s="122" t="n"/>
      <c r="AN320" s="122">
        <f>SUM(Z320:AC320)</f>
        <v/>
      </c>
      <c r="AO320" s="122">
        <f>SUM(AD320:AL320)</f>
        <v/>
      </c>
      <c r="AP320" s="122">
        <f>SUM(AM320,AB320)</f>
        <v/>
      </c>
      <c r="AQ320" s="122">
        <f>SUM(AA320)</f>
        <v/>
      </c>
      <c r="AR320" s="121">
        <f>(AP320+AQ320)-3%</f>
        <v/>
      </c>
      <c r="AS320" s="122">
        <f>SUM(AO320+AM320)</f>
        <v/>
      </c>
      <c r="AT320" s="122">
        <f>SUM(AH320+AN320)</f>
        <v/>
      </c>
      <c r="AU320" s="122">
        <f>SUM(AN320+AO320)</f>
        <v/>
      </c>
      <c r="AV320" s="122">
        <f>SUM(AN320+AD320+AE320+AF320+AG320+AH320+AJ320+AK320+AL320)</f>
        <v/>
      </c>
      <c r="AW320" s="122">
        <f>SUM(AD320+AE320+AF320+AG320+AI320+AJ320+AK320+AL320)</f>
        <v/>
      </c>
    </row>
    <row r="321" ht="14.1" customHeight="1" s="259">
      <c r="A321" s="183">
        <f>A320+1</f>
        <v/>
      </c>
      <c r="B321" s="117" t="n"/>
      <c r="C321" s="119" t="n"/>
      <c r="D321" s="117" t="n"/>
      <c r="E321" s="118" t="n"/>
      <c r="F321" s="120" t="n"/>
      <c r="G321" s="118" t="n"/>
      <c r="H321" s="118" t="n"/>
      <c r="I321" s="118" t="n"/>
      <c r="J321" s="118" t="n"/>
      <c r="K321" s="118" t="n"/>
      <c r="L321" s="118" t="n"/>
      <c r="M321" s="118" t="n"/>
      <c r="N321" s="118" t="n"/>
      <c r="O321" s="118" t="n"/>
      <c r="P321" s="118" t="n"/>
      <c r="Q321" s="118" t="n"/>
      <c r="R321" s="118" t="n"/>
      <c r="S321" s="118" t="n"/>
      <c r="T321" s="117">
        <f>SUM(F321:S321)</f>
        <v/>
      </c>
      <c r="U321" s="190">
        <f>(HLOOKUP(B321,F:T,A321,FALSE)/T321)</f>
        <v/>
      </c>
      <c r="V321" s="159" t="n"/>
      <c r="W321" s="163">
        <f>YEAR(C321)</f>
        <v/>
      </c>
      <c r="X321" s="116">
        <f>MONTH(C321)</f>
        <v/>
      </c>
      <c r="Y321" s="116">
        <f>WEEKNUM(C321,21)</f>
        <v/>
      </c>
      <c r="Z321" s="122" t="n"/>
      <c r="AA321" s="122" t="n"/>
      <c r="AB321" s="122" t="n"/>
      <c r="AC321" s="122" t="n"/>
      <c r="AD321" s="122" t="n"/>
      <c r="AE321" s="122">
        <f>IFERROR(K321/$T321,0)</f>
        <v/>
      </c>
      <c r="AF321" s="122">
        <f>IFERROR(L321/$T321,0)</f>
        <v/>
      </c>
      <c r="AG321" s="122" t="n"/>
      <c r="AH321" s="122" t="n"/>
      <c r="AI321" s="122" t="n"/>
      <c r="AJ321" s="122" t="n"/>
      <c r="AK321" s="122" t="n"/>
      <c r="AL321" s="122" t="n"/>
      <c r="AM321" s="122" t="n"/>
      <c r="AN321" s="122">
        <f>SUM(Z321:AC321)</f>
        <v/>
      </c>
      <c r="AO321" s="122">
        <f>SUM(AD321:AL321)</f>
        <v/>
      </c>
      <c r="AP321" s="122">
        <f>SUM(AM321,AB321)</f>
        <v/>
      </c>
      <c r="AQ321" s="122">
        <f>SUM(AA321)</f>
        <v/>
      </c>
      <c r="AR321" s="121">
        <f>(AP321+AQ321)-3%</f>
        <v/>
      </c>
      <c r="AS321" s="122">
        <f>SUM(AO321+AM321)</f>
        <v/>
      </c>
      <c r="AT321" s="122">
        <f>SUM(AH321+AN321)</f>
        <v/>
      </c>
      <c r="AU321" s="122">
        <f>SUM(AN321+AO321)</f>
        <v/>
      </c>
      <c r="AV321" s="122">
        <f>SUM(AN321+AD321+AE321+AF321+AG321+AH321+AJ321+AK321+AL321)</f>
        <v/>
      </c>
      <c r="AW321" s="122">
        <f>SUM(AD321+AE321+AF321+AG321+AI321+AJ321+AK321+AL321)</f>
        <v/>
      </c>
    </row>
    <row r="322" ht="14.1" customHeight="1" s="259">
      <c r="A322" s="183">
        <f>A321+1</f>
        <v/>
      </c>
      <c r="B322" s="117" t="n"/>
      <c r="C322" s="119" t="n"/>
      <c r="D322" s="117" t="n"/>
      <c r="E322" s="118" t="n"/>
      <c r="F322" s="120" t="n"/>
      <c r="G322" s="118" t="n"/>
      <c r="H322" s="118" t="n"/>
      <c r="I322" s="118" t="n"/>
      <c r="J322" s="118" t="n"/>
      <c r="K322" s="118" t="n"/>
      <c r="L322" s="118" t="n"/>
      <c r="M322" s="118" t="n"/>
      <c r="N322" s="118" t="n"/>
      <c r="O322" s="118" t="n"/>
      <c r="P322" s="118" t="n"/>
      <c r="Q322" s="118" t="n"/>
      <c r="R322" s="118" t="n"/>
      <c r="S322" s="118" t="n"/>
      <c r="T322" s="117">
        <f>SUM(F322:S322)</f>
        <v/>
      </c>
      <c r="U322" s="190">
        <f>(HLOOKUP(B322,F:T,A322,FALSE)/T322)</f>
        <v/>
      </c>
      <c r="V322" s="159" t="n"/>
      <c r="W322" s="163">
        <f>YEAR(C322)</f>
        <v/>
      </c>
      <c r="X322" s="116">
        <f>MONTH(C322)</f>
        <v/>
      </c>
      <c r="Y322" s="116">
        <f>WEEKNUM(C322,21)</f>
        <v/>
      </c>
      <c r="Z322" s="122" t="n"/>
      <c r="AA322" s="122" t="n"/>
      <c r="AB322" s="122" t="n"/>
      <c r="AC322" s="122" t="n"/>
      <c r="AD322" s="122" t="n"/>
      <c r="AE322" s="122">
        <f>IFERROR(K322/$T322,0)</f>
        <v/>
      </c>
      <c r="AF322" s="122">
        <f>IFERROR(L322/$T322,0)</f>
        <v/>
      </c>
      <c r="AG322" s="122" t="n"/>
      <c r="AH322" s="122" t="n"/>
      <c r="AI322" s="122" t="n"/>
      <c r="AJ322" s="122" t="n"/>
      <c r="AK322" s="122" t="n"/>
      <c r="AL322" s="122" t="n"/>
      <c r="AM322" s="122" t="n"/>
      <c r="AN322" s="122">
        <f>SUM(Z322:AC322)</f>
        <v/>
      </c>
      <c r="AO322" s="122">
        <f>SUM(AD322:AL322)</f>
        <v/>
      </c>
      <c r="AP322" s="122">
        <f>SUM(AM322,AB322)</f>
        <v/>
      </c>
      <c r="AQ322" s="122">
        <f>SUM(AA322)</f>
        <v/>
      </c>
      <c r="AR322" s="121">
        <f>(AP322+AQ322)-3%</f>
        <v/>
      </c>
      <c r="AS322" s="122">
        <f>SUM(AO322+AM322)</f>
        <v/>
      </c>
      <c r="AT322" s="122">
        <f>SUM(AH322+AN322)</f>
        <v/>
      </c>
      <c r="AU322" s="122">
        <f>SUM(AN322+AO322)</f>
        <v/>
      </c>
      <c r="AV322" s="122">
        <f>SUM(AN322+AD322+AE322+AF322+AG322+AH322+AJ322+AK322+AL322)</f>
        <v/>
      </c>
      <c r="AW322" s="122">
        <f>SUM(AD322+AE322+AF322+AG322+AI322+AJ322+AK322+AL322)</f>
        <v/>
      </c>
    </row>
    <row r="323" ht="14.1" customHeight="1" s="259">
      <c r="A323" s="183">
        <f>A322+1</f>
        <v/>
      </c>
      <c r="B323" s="117" t="n"/>
      <c r="C323" s="119" t="n"/>
      <c r="D323" s="117" t="n"/>
      <c r="E323" s="118" t="n"/>
      <c r="F323" s="120" t="n"/>
      <c r="G323" s="118" t="n"/>
      <c r="H323" s="118" t="n"/>
      <c r="I323" s="118" t="n"/>
      <c r="J323" s="118" t="n"/>
      <c r="K323" s="118" t="n"/>
      <c r="L323" s="118" t="n"/>
      <c r="M323" s="118" t="n"/>
      <c r="N323" s="118" t="n"/>
      <c r="O323" s="118" t="n"/>
      <c r="P323" s="118" t="n"/>
      <c r="Q323" s="118" t="n"/>
      <c r="R323" s="118" t="n"/>
      <c r="S323" s="118" t="n"/>
      <c r="T323" s="117">
        <f>SUM(F323:S323)</f>
        <v/>
      </c>
      <c r="U323" s="190">
        <f>(HLOOKUP(B323,F:T,A323,FALSE)/T323)</f>
        <v/>
      </c>
      <c r="V323" s="159" t="n"/>
      <c r="W323" s="163">
        <f>YEAR(C323)</f>
        <v/>
      </c>
      <c r="X323" s="116">
        <f>MONTH(C323)</f>
        <v/>
      </c>
      <c r="Y323" s="116">
        <f>WEEKNUM(C323,21)</f>
        <v/>
      </c>
      <c r="Z323" s="122" t="n"/>
      <c r="AA323" s="122" t="n"/>
      <c r="AB323" s="122" t="n"/>
      <c r="AC323" s="122" t="n"/>
      <c r="AD323" s="122" t="n"/>
      <c r="AE323" s="122">
        <f>IFERROR(K323/$T323,0)</f>
        <v/>
      </c>
      <c r="AF323" s="122">
        <f>IFERROR(L323/$T323,0)</f>
        <v/>
      </c>
      <c r="AG323" s="122" t="n"/>
      <c r="AH323" s="122" t="n"/>
      <c r="AI323" s="122" t="n"/>
      <c r="AJ323" s="122" t="n"/>
      <c r="AK323" s="122" t="n"/>
      <c r="AL323" s="122" t="n"/>
      <c r="AM323" s="122" t="n"/>
      <c r="AN323" s="122">
        <f>SUM(Z323:AC323)</f>
        <v/>
      </c>
      <c r="AO323" s="122">
        <f>SUM(AD323:AL323)</f>
        <v/>
      </c>
      <c r="AP323" s="122">
        <f>SUM(AM323,AB323)</f>
        <v/>
      </c>
      <c r="AQ323" s="122">
        <f>SUM(AA323)</f>
        <v/>
      </c>
      <c r="AR323" s="121">
        <f>(AP323+AQ323)-3%</f>
        <v/>
      </c>
      <c r="AS323" s="122">
        <f>SUM(AO323+AM323)</f>
        <v/>
      </c>
      <c r="AT323" s="122">
        <f>SUM(AH323+AN323)</f>
        <v/>
      </c>
      <c r="AU323" s="122">
        <f>SUM(AN323+AO323)</f>
        <v/>
      </c>
      <c r="AV323" s="122">
        <f>SUM(AN323+AD323+AE323+AF323+AG323+AH323+AJ323+AK323+AL323)</f>
        <v/>
      </c>
      <c r="AW323" s="122">
        <f>SUM(AD323+AE323+AF323+AG323+AI323+AJ323+AK323+AL323)</f>
        <v/>
      </c>
    </row>
    <row r="324" ht="14.1" customHeight="1" s="259">
      <c r="A324" s="183">
        <f>A323+1</f>
        <v/>
      </c>
      <c r="B324" s="117" t="n"/>
      <c r="C324" s="119" t="n"/>
      <c r="D324" s="117" t="n"/>
      <c r="E324" s="118" t="n"/>
      <c r="F324" s="120" t="n"/>
      <c r="G324" s="118" t="n"/>
      <c r="H324" s="118" t="n"/>
      <c r="I324" s="118" t="n"/>
      <c r="J324" s="118" t="n"/>
      <c r="K324" s="118" t="n"/>
      <c r="L324" s="118" t="n"/>
      <c r="M324" s="118" t="n"/>
      <c r="N324" s="118" t="n"/>
      <c r="O324" s="118" t="n"/>
      <c r="P324" s="118" t="n"/>
      <c r="Q324" s="118" t="n"/>
      <c r="R324" s="118" t="n"/>
      <c r="S324" s="118" t="n"/>
      <c r="T324" s="117">
        <f>SUM(F324:S324)</f>
        <v/>
      </c>
      <c r="U324" s="190">
        <f>(HLOOKUP(B324,F:T,A324,FALSE)/T324)</f>
        <v/>
      </c>
      <c r="V324" s="159" t="n"/>
      <c r="W324" s="163">
        <f>YEAR(C324)</f>
        <v/>
      </c>
      <c r="X324" s="116">
        <f>MONTH(C324)</f>
        <v/>
      </c>
      <c r="Y324" s="116">
        <f>WEEKNUM(C324,21)</f>
        <v/>
      </c>
      <c r="Z324" s="122" t="n"/>
      <c r="AA324" s="122" t="n"/>
      <c r="AB324" s="122" t="n"/>
      <c r="AC324" s="122" t="n"/>
      <c r="AD324" s="122" t="n"/>
      <c r="AE324" s="122">
        <f>IFERROR(K324/$T324,0)</f>
        <v/>
      </c>
      <c r="AF324" s="122">
        <f>IFERROR(L324/$T324,0)</f>
        <v/>
      </c>
      <c r="AG324" s="122" t="n"/>
      <c r="AH324" s="122" t="n"/>
      <c r="AI324" s="122" t="n"/>
      <c r="AJ324" s="122" t="n"/>
      <c r="AK324" s="122" t="n"/>
      <c r="AL324" s="122" t="n"/>
      <c r="AM324" s="122" t="n"/>
      <c r="AN324" s="122">
        <f>SUM(Z324:AC324)</f>
        <v/>
      </c>
      <c r="AO324" s="122">
        <f>SUM(AD324:AL324)</f>
        <v/>
      </c>
      <c r="AP324" s="122">
        <f>SUM(AM324,AB324)</f>
        <v/>
      </c>
      <c r="AQ324" s="122">
        <f>SUM(AA324)</f>
        <v/>
      </c>
      <c r="AR324" s="121">
        <f>(AP324+AQ324)-3%</f>
        <v/>
      </c>
      <c r="AS324" s="122">
        <f>SUM(AO324+AM324)</f>
        <v/>
      </c>
      <c r="AT324" s="122">
        <f>SUM(AH324+AN324)</f>
        <v/>
      </c>
      <c r="AU324" s="122">
        <f>SUM(AN324+AO324)</f>
        <v/>
      </c>
      <c r="AV324" s="122">
        <f>SUM(AN324+AD324+AE324+AF324+AG324+AH324+AJ324+AK324+AL324)</f>
        <v/>
      </c>
      <c r="AW324" s="122">
        <f>SUM(AD324+AE324+AF324+AG324+AI324+AJ324+AK324+AL324)</f>
        <v/>
      </c>
    </row>
    <row r="325" ht="14.1" customHeight="1" s="259">
      <c r="A325" s="183">
        <f>A324+1</f>
        <v/>
      </c>
      <c r="B325" s="117" t="n"/>
      <c r="C325" s="119" t="n"/>
      <c r="D325" s="117" t="n"/>
      <c r="E325" s="118" t="n"/>
      <c r="F325" s="120" t="n"/>
      <c r="G325" s="118" t="n"/>
      <c r="H325" s="118" t="n"/>
      <c r="I325" s="118" t="n"/>
      <c r="J325" s="118" t="n"/>
      <c r="K325" s="118" t="n"/>
      <c r="L325" s="118" t="n"/>
      <c r="M325" s="118" t="n"/>
      <c r="N325" s="118" t="n"/>
      <c r="O325" s="118" t="n"/>
      <c r="P325" s="118" t="n"/>
      <c r="Q325" s="118" t="n"/>
      <c r="R325" s="118" t="n"/>
      <c r="S325" s="118" t="n"/>
      <c r="T325" s="117">
        <f>SUM(F325:S325)</f>
        <v/>
      </c>
      <c r="U325" s="190">
        <f>(HLOOKUP(B325,F:T,A325,FALSE)/T325)</f>
        <v/>
      </c>
      <c r="V325" s="159" t="n"/>
      <c r="W325" s="163">
        <f>YEAR(C325)</f>
        <v/>
      </c>
      <c r="X325" s="116">
        <f>MONTH(C325)</f>
        <v/>
      </c>
      <c r="Y325" s="116">
        <f>WEEKNUM(C325,21)</f>
        <v/>
      </c>
      <c r="Z325" s="122" t="n"/>
      <c r="AA325" s="122" t="n"/>
      <c r="AB325" s="122" t="n"/>
      <c r="AC325" s="122" t="n"/>
      <c r="AD325" s="122" t="n"/>
      <c r="AE325" s="122">
        <f>IFERROR(K325/$T325,0)</f>
        <v/>
      </c>
      <c r="AF325" s="122">
        <f>IFERROR(L325/$T325,0)</f>
        <v/>
      </c>
      <c r="AG325" s="122" t="n"/>
      <c r="AH325" s="122" t="n"/>
      <c r="AI325" s="122" t="n"/>
      <c r="AJ325" s="122" t="n"/>
      <c r="AK325" s="122" t="n"/>
      <c r="AL325" s="122" t="n"/>
      <c r="AM325" s="122" t="n"/>
      <c r="AN325" s="122">
        <f>SUM(Z325:AC325)</f>
        <v/>
      </c>
      <c r="AO325" s="122">
        <f>SUM(AD325:AL325)</f>
        <v/>
      </c>
      <c r="AP325" s="122">
        <f>SUM(AM325,AB325)</f>
        <v/>
      </c>
      <c r="AQ325" s="122">
        <f>SUM(AA325)</f>
        <v/>
      </c>
      <c r="AR325" s="121">
        <f>(AP325+AQ325)-3%</f>
        <v/>
      </c>
      <c r="AS325" s="122">
        <f>SUM(AO325+AM325)</f>
        <v/>
      </c>
      <c r="AT325" s="122">
        <f>SUM(AH325+AN325)</f>
        <v/>
      </c>
      <c r="AU325" s="122">
        <f>SUM(AN325+AO325)</f>
        <v/>
      </c>
      <c r="AV325" s="122">
        <f>SUM(AN325+AD325+AE325+AF325+AG325+AH325+AJ325+AK325+AL325)</f>
        <v/>
      </c>
      <c r="AW325" s="122">
        <f>SUM(AD325+AE325+AF325+AG325+AI325+AJ325+AK325+AL325)</f>
        <v/>
      </c>
    </row>
    <row r="326" ht="14.1" customHeight="1" s="259">
      <c r="A326" s="183">
        <f>A325+1</f>
        <v/>
      </c>
      <c r="B326" s="117" t="n"/>
      <c r="C326" s="119" t="n"/>
      <c r="D326" s="117" t="n"/>
      <c r="E326" s="118" t="n"/>
      <c r="F326" s="120" t="n"/>
      <c r="G326" s="118" t="n"/>
      <c r="H326" s="118" t="n"/>
      <c r="I326" s="118" t="n"/>
      <c r="J326" s="118" t="n"/>
      <c r="K326" s="118" t="n"/>
      <c r="L326" s="118" t="n"/>
      <c r="M326" s="118" t="n"/>
      <c r="N326" s="118" t="n"/>
      <c r="O326" s="118" t="n"/>
      <c r="P326" s="118" t="n"/>
      <c r="Q326" s="118" t="n"/>
      <c r="R326" s="118" t="n"/>
      <c r="S326" s="118" t="n"/>
      <c r="T326" s="117">
        <f>SUM(F326:S326)</f>
        <v/>
      </c>
      <c r="U326" s="190">
        <f>(HLOOKUP(B326,F:T,A326,FALSE)/T326)</f>
        <v/>
      </c>
      <c r="V326" s="159" t="n"/>
      <c r="W326" s="163">
        <f>YEAR(C326)</f>
        <v/>
      </c>
      <c r="X326" s="116">
        <f>MONTH(C326)</f>
        <v/>
      </c>
      <c r="Y326" s="116">
        <f>WEEKNUM(C326,21)</f>
        <v/>
      </c>
      <c r="Z326" s="122" t="n"/>
      <c r="AA326" s="122" t="n"/>
      <c r="AB326" s="122" t="n"/>
      <c r="AC326" s="122" t="n"/>
      <c r="AD326" s="122" t="n"/>
      <c r="AE326" s="122">
        <f>IFERROR(K326/$T326,0)</f>
        <v/>
      </c>
      <c r="AF326" s="122">
        <f>IFERROR(L326/$T326,0)</f>
        <v/>
      </c>
      <c r="AG326" s="122" t="n"/>
      <c r="AH326" s="122" t="n"/>
      <c r="AI326" s="122" t="n"/>
      <c r="AJ326" s="122" t="n"/>
      <c r="AK326" s="122" t="n"/>
      <c r="AL326" s="122" t="n"/>
      <c r="AM326" s="122" t="n"/>
      <c r="AN326" s="122">
        <f>SUM(Z326:AC326)</f>
        <v/>
      </c>
      <c r="AO326" s="122">
        <f>SUM(AD326:AL326)</f>
        <v/>
      </c>
      <c r="AP326" s="122">
        <f>SUM(AM326,AB326)</f>
        <v/>
      </c>
      <c r="AQ326" s="122">
        <f>SUM(AA326)</f>
        <v/>
      </c>
      <c r="AR326" s="121">
        <f>(AP326+AQ326)-3%</f>
        <v/>
      </c>
      <c r="AS326" s="122">
        <f>SUM(AO326+AM326)</f>
        <v/>
      </c>
      <c r="AT326" s="122">
        <f>SUM(AH326+AN326)</f>
        <v/>
      </c>
      <c r="AU326" s="122">
        <f>SUM(AN326+AO326)</f>
        <v/>
      </c>
      <c r="AV326" s="122">
        <f>SUM(AN326+AD326+AE326+AF326+AG326+AH326+AJ326+AK326+AL326)</f>
        <v/>
      </c>
      <c r="AW326" s="122">
        <f>SUM(AD326+AE326+AF326+AG326+AI326+AJ326+AK326+AL326)</f>
        <v/>
      </c>
    </row>
    <row r="327" ht="14.1" customHeight="1" s="259">
      <c r="A327" s="183">
        <f>A326+1</f>
        <v/>
      </c>
      <c r="B327" s="117" t="n"/>
      <c r="C327" s="119" t="n"/>
      <c r="D327" s="117" t="n"/>
      <c r="E327" s="118" t="n"/>
      <c r="F327" s="120" t="n"/>
      <c r="G327" s="118" t="n"/>
      <c r="H327" s="118" t="n"/>
      <c r="I327" s="118" t="n"/>
      <c r="J327" s="118" t="n"/>
      <c r="K327" s="118" t="n"/>
      <c r="L327" s="118" t="n"/>
      <c r="M327" s="118" t="n"/>
      <c r="N327" s="118" t="n"/>
      <c r="O327" s="118" t="n"/>
      <c r="P327" s="118" t="n"/>
      <c r="Q327" s="118" t="n"/>
      <c r="R327" s="118" t="n"/>
      <c r="S327" s="118" t="n"/>
      <c r="T327" s="117">
        <f>SUM(F327:S327)</f>
        <v/>
      </c>
      <c r="U327" s="190">
        <f>(HLOOKUP(B327,F:T,A327,FALSE)/T327)</f>
        <v/>
      </c>
      <c r="V327" s="159" t="n"/>
      <c r="W327" s="163">
        <f>YEAR(C327)</f>
        <v/>
      </c>
      <c r="X327" s="116">
        <f>MONTH(C327)</f>
        <v/>
      </c>
      <c r="Y327" s="116">
        <f>WEEKNUM(C327,21)</f>
        <v/>
      </c>
      <c r="Z327" s="122" t="n"/>
      <c r="AA327" s="122" t="n"/>
      <c r="AB327" s="122" t="n"/>
      <c r="AC327" s="122" t="n"/>
      <c r="AD327" s="122" t="n"/>
      <c r="AE327" s="122">
        <f>IFERROR(K327/$T327,0)</f>
        <v/>
      </c>
      <c r="AF327" s="122">
        <f>IFERROR(L327/$T327,0)</f>
        <v/>
      </c>
      <c r="AG327" s="122" t="n"/>
      <c r="AH327" s="122" t="n"/>
      <c r="AI327" s="122" t="n"/>
      <c r="AJ327" s="122" t="n"/>
      <c r="AK327" s="122" t="n"/>
      <c r="AL327" s="122" t="n"/>
      <c r="AM327" s="122" t="n"/>
      <c r="AN327" s="122">
        <f>SUM(Z327:AC327)</f>
        <v/>
      </c>
      <c r="AO327" s="122">
        <f>SUM(AD327:AL327)</f>
        <v/>
      </c>
      <c r="AP327" s="122">
        <f>SUM(AM327,AB327)</f>
        <v/>
      </c>
      <c r="AQ327" s="122">
        <f>SUM(AA327)</f>
        <v/>
      </c>
      <c r="AR327" s="121">
        <f>(AP327+AQ327)-3%</f>
        <v/>
      </c>
      <c r="AS327" s="122">
        <f>SUM(AO327+AM327)</f>
        <v/>
      </c>
      <c r="AT327" s="122">
        <f>SUM(AH327+AN327)</f>
        <v/>
      </c>
      <c r="AU327" s="122">
        <f>SUM(AN327+AO327)</f>
        <v/>
      </c>
      <c r="AV327" s="122">
        <f>SUM(AN327+AD327+AE327+AF327+AG327+AH327+AJ327+AK327+AL327)</f>
        <v/>
      </c>
      <c r="AW327" s="122">
        <f>SUM(AD327+AE327+AF327+AG327+AI327+AJ327+AK327+AL327)</f>
        <v/>
      </c>
    </row>
    <row r="328" ht="14.1" customHeight="1" s="259">
      <c r="A328" s="183">
        <f>A327+1</f>
        <v/>
      </c>
      <c r="B328" s="117" t="n"/>
      <c r="C328" s="119" t="n"/>
      <c r="D328" s="117" t="n"/>
      <c r="E328" s="118" t="n"/>
      <c r="F328" s="120" t="n"/>
      <c r="G328" s="118" t="n"/>
      <c r="H328" s="118" t="n"/>
      <c r="I328" s="118" t="n"/>
      <c r="J328" s="118" t="n"/>
      <c r="K328" s="118" t="n"/>
      <c r="L328" s="118" t="n"/>
      <c r="M328" s="118" t="n"/>
      <c r="N328" s="118" t="n"/>
      <c r="O328" s="118" t="n"/>
      <c r="P328" s="118" t="n"/>
      <c r="Q328" s="118" t="n"/>
      <c r="R328" s="118" t="n"/>
      <c r="S328" s="118" t="n"/>
      <c r="T328" s="117">
        <f>SUM(F328:S328)</f>
        <v/>
      </c>
      <c r="U328" s="190">
        <f>(HLOOKUP(B328,F:T,A328,FALSE)/T328)</f>
        <v/>
      </c>
      <c r="V328" s="159" t="n"/>
      <c r="W328" s="163">
        <f>YEAR(C328)</f>
        <v/>
      </c>
      <c r="X328" s="116">
        <f>MONTH(C328)</f>
        <v/>
      </c>
      <c r="Y328" s="116">
        <f>WEEKNUM(C328,21)</f>
        <v/>
      </c>
      <c r="Z328" s="122" t="n"/>
      <c r="AA328" s="122" t="n"/>
      <c r="AB328" s="122" t="n"/>
      <c r="AC328" s="122" t="n"/>
      <c r="AD328" s="122" t="n"/>
      <c r="AE328" s="122">
        <f>IFERROR(K328/$T328,0)</f>
        <v/>
      </c>
      <c r="AF328" s="122">
        <f>IFERROR(L328/$T328,0)</f>
        <v/>
      </c>
      <c r="AG328" s="122" t="n"/>
      <c r="AH328" s="122" t="n"/>
      <c r="AI328" s="122" t="n"/>
      <c r="AJ328" s="122" t="n"/>
      <c r="AK328" s="122" t="n"/>
      <c r="AL328" s="122" t="n"/>
      <c r="AM328" s="122" t="n"/>
      <c r="AN328" s="122">
        <f>SUM(Z328:AC328)</f>
        <v/>
      </c>
      <c r="AO328" s="122">
        <f>SUM(AD328:AL328)</f>
        <v/>
      </c>
      <c r="AP328" s="122">
        <f>SUM(AM328,AB328)</f>
        <v/>
      </c>
      <c r="AQ328" s="122">
        <f>SUM(AA328)</f>
        <v/>
      </c>
      <c r="AR328" s="121">
        <f>(AP328+AQ328)-3%</f>
        <v/>
      </c>
      <c r="AS328" s="122">
        <f>SUM(AO328+AM328)</f>
        <v/>
      </c>
      <c r="AT328" s="122">
        <f>SUM(AH328+AN328)</f>
        <v/>
      </c>
      <c r="AU328" s="122">
        <f>SUM(AN328+AO328)</f>
        <v/>
      </c>
      <c r="AV328" s="122">
        <f>SUM(AN328+AD328+AE328+AF328+AG328+AH328+AJ328+AK328+AL328)</f>
        <v/>
      </c>
      <c r="AW328" s="122">
        <f>SUM(AD328+AE328+AF328+AG328+AI328+AJ328+AK328+AL328)</f>
        <v/>
      </c>
    </row>
    <row r="329" ht="14.1" customHeight="1" s="259">
      <c r="A329" s="183">
        <f>A328+1</f>
        <v/>
      </c>
      <c r="B329" s="117" t="n"/>
      <c r="C329" s="119" t="n"/>
      <c r="D329" s="117" t="n"/>
      <c r="E329" s="118" t="n"/>
      <c r="F329" s="120" t="n"/>
      <c r="G329" s="118" t="n"/>
      <c r="H329" s="118" t="n"/>
      <c r="I329" s="118" t="n"/>
      <c r="J329" s="118" t="n"/>
      <c r="K329" s="118" t="n"/>
      <c r="L329" s="118" t="n"/>
      <c r="M329" s="118" t="n"/>
      <c r="N329" s="118" t="n"/>
      <c r="O329" s="118" t="n"/>
      <c r="P329" s="118" t="n"/>
      <c r="Q329" s="118" t="n"/>
      <c r="R329" s="118" t="n"/>
      <c r="S329" s="118" t="n"/>
      <c r="T329" s="117">
        <f>SUM(F329:S329)</f>
        <v/>
      </c>
      <c r="U329" s="190">
        <f>(HLOOKUP(B329,F:T,A329,FALSE)/T329)</f>
        <v/>
      </c>
      <c r="V329" s="159" t="n"/>
      <c r="W329" s="163">
        <f>YEAR(C329)</f>
        <v/>
      </c>
      <c r="X329" s="116">
        <f>MONTH(C329)</f>
        <v/>
      </c>
      <c r="Y329" s="116">
        <f>WEEKNUM(C329,21)</f>
        <v/>
      </c>
      <c r="Z329" s="122" t="n"/>
      <c r="AA329" s="122" t="n"/>
      <c r="AB329" s="122" t="n"/>
      <c r="AC329" s="122" t="n"/>
      <c r="AD329" s="122" t="n"/>
      <c r="AE329" s="122">
        <f>IFERROR(K329/$T329,0)</f>
        <v/>
      </c>
      <c r="AF329" s="122">
        <f>IFERROR(L329/$T329,0)</f>
        <v/>
      </c>
      <c r="AG329" s="122" t="n"/>
      <c r="AH329" s="122" t="n"/>
      <c r="AI329" s="122" t="n"/>
      <c r="AJ329" s="122" t="n"/>
      <c r="AK329" s="122" t="n"/>
      <c r="AL329" s="122" t="n"/>
      <c r="AM329" s="122" t="n"/>
      <c r="AN329" s="122">
        <f>SUM(Z329:AC329)</f>
        <v/>
      </c>
      <c r="AO329" s="122">
        <f>SUM(AD329:AL329)</f>
        <v/>
      </c>
      <c r="AP329" s="122">
        <f>SUM(AM329,AB329)</f>
        <v/>
      </c>
      <c r="AQ329" s="122">
        <f>SUM(AA329)</f>
        <v/>
      </c>
      <c r="AR329" s="121">
        <f>(AP329+AQ329)-3%</f>
        <v/>
      </c>
      <c r="AS329" s="122">
        <f>SUM(AO329+AM329)</f>
        <v/>
      </c>
      <c r="AT329" s="122">
        <f>SUM(AH329+AN329)</f>
        <v/>
      </c>
      <c r="AU329" s="122">
        <f>SUM(AN329+AO329)</f>
        <v/>
      </c>
      <c r="AV329" s="122">
        <f>SUM(AN329+AD329+AE329+AF329+AG329+AH329+AJ329+AK329+AL329)</f>
        <v/>
      </c>
      <c r="AW329" s="122">
        <f>SUM(AD329+AE329+AF329+AG329+AI329+AJ329+AK329+AL329)</f>
        <v/>
      </c>
    </row>
    <row r="330" ht="14.1" customHeight="1" s="259">
      <c r="A330" s="183">
        <f>A329+1</f>
        <v/>
      </c>
      <c r="B330" s="117" t="n"/>
      <c r="C330" s="119" t="n"/>
      <c r="D330" s="117" t="n"/>
      <c r="E330" s="118" t="n"/>
      <c r="F330" s="120" t="n"/>
      <c r="G330" s="118" t="n"/>
      <c r="H330" s="118" t="n"/>
      <c r="I330" s="118" t="n"/>
      <c r="J330" s="118" t="n"/>
      <c r="K330" s="118" t="n"/>
      <c r="L330" s="118" t="n"/>
      <c r="M330" s="118" t="n"/>
      <c r="N330" s="118" t="n"/>
      <c r="O330" s="118" t="n"/>
      <c r="P330" s="118" t="n"/>
      <c r="Q330" s="118" t="n"/>
      <c r="R330" s="118" t="n"/>
      <c r="S330" s="118" t="n"/>
      <c r="T330" s="117">
        <f>SUM(F330:S330)</f>
        <v/>
      </c>
      <c r="U330" s="190">
        <f>(HLOOKUP(B330,F:T,A330,FALSE)/T330)</f>
        <v/>
      </c>
      <c r="V330" s="159" t="n"/>
      <c r="W330" s="163">
        <f>YEAR(C330)</f>
        <v/>
      </c>
      <c r="X330" s="116">
        <f>MONTH(C330)</f>
        <v/>
      </c>
      <c r="Y330" s="116">
        <f>WEEKNUM(C330,21)</f>
        <v/>
      </c>
      <c r="Z330" s="122" t="n"/>
      <c r="AA330" s="122" t="n"/>
      <c r="AB330" s="122" t="n"/>
      <c r="AC330" s="122" t="n"/>
      <c r="AD330" s="122" t="n"/>
      <c r="AE330" s="122">
        <f>IFERROR(K330/$T330,0)</f>
        <v/>
      </c>
      <c r="AF330" s="122">
        <f>IFERROR(L330/$T330,0)</f>
        <v/>
      </c>
      <c r="AG330" s="122" t="n"/>
      <c r="AH330" s="122" t="n"/>
      <c r="AI330" s="122" t="n"/>
      <c r="AJ330" s="122" t="n"/>
      <c r="AK330" s="122" t="n"/>
      <c r="AL330" s="122" t="n"/>
      <c r="AM330" s="122" t="n"/>
      <c r="AN330" s="122">
        <f>SUM(Z330:AC330)</f>
        <v/>
      </c>
      <c r="AO330" s="122">
        <f>SUM(AD330:AL330)</f>
        <v/>
      </c>
      <c r="AP330" s="122">
        <f>SUM(AM330,AB330)</f>
        <v/>
      </c>
      <c r="AQ330" s="122">
        <f>SUM(AA330)</f>
        <v/>
      </c>
      <c r="AR330" s="121">
        <f>(AP330+AQ330)-3%</f>
        <v/>
      </c>
      <c r="AS330" s="122">
        <f>SUM(AO330+AM330)</f>
        <v/>
      </c>
      <c r="AT330" s="122">
        <f>SUM(AH330+AN330)</f>
        <v/>
      </c>
      <c r="AU330" s="122">
        <f>SUM(AN330+AO330)</f>
        <v/>
      </c>
      <c r="AV330" s="122">
        <f>SUM(AN330+AD330+AE330+AF330+AG330+AH330+AJ330+AK330+AL330)</f>
        <v/>
      </c>
      <c r="AW330" s="122">
        <f>SUM(AD330+AE330+AF330+AG330+AI330+AJ330+AK330+AL330)</f>
        <v/>
      </c>
    </row>
    <row r="331" ht="14.1" customHeight="1" s="259">
      <c r="A331" s="183">
        <f>A330+1</f>
        <v/>
      </c>
      <c r="B331" s="117" t="n"/>
      <c r="C331" s="119" t="n"/>
      <c r="D331" s="117" t="n"/>
      <c r="E331" s="118" t="n"/>
      <c r="F331" s="120" t="n"/>
      <c r="G331" s="118" t="n"/>
      <c r="H331" s="118" t="n"/>
      <c r="I331" s="118" t="n"/>
      <c r="J331" s="118" t="n"/>
      <c r="K331" s="118" t="n"/>
      <c r="L331" s="118" t="n"/>
      <c r="M331" s="118" t="n"/>
      <c r="N331" s="118" t="n"/>
      <c r="O331" s="118" t="n"/>
      <c r="P331" s="118" t="n"/>
      <c r="Q331" s="118" t="n"/>
      <c r="R331" s="118" t="n"/>
      <c r="S331" s="118" t="n"/>
      <c r="T331" s="117">
        <f>SUM(F331:S331)</f>
        <v/>
      </c>
      <c r="U331" s="190">
        <f>(HLOOKUP(B331,F:T,A331,FALSE)/T331)</f>
        <v/>
      </c>
      <c r="V331" s="159" t="n"/>
      <c r="W331" s="163">
        <f>YEAR(C331)</f>
        <v/>
      </c>
      <c r="X331" s="116">
        <f>MONTH(C331)</f>
        <v/>
      </c>
      <c r="Y331" s="116">
        <f>WEEKNUM(C331,21)</f>
        <v/>
      </c>
      <c r="Z331" s="122" t="n"/>
      <c r="AA331" s="122" t="n"/>
      <c r="AB331" s="122" t="n"/>
      <c r="AC331" s="122" t="n"/>
      <c r="AD331" s="122" t="n"/>
      <c r="AE331" s="122">
        <f>IFERROR(K331/$T331,0)</f>
        <v/>
      </c>
      <c r="AF331" s="122">
        <f>IFERROR(L331/$T331,0)</f>
        <v/>
      </c>
      <c r="AG331" s="122" t="n"/>
      <c r="AH331" s="122" t="n"/>
      <c r="AI331" s="122" t="n"/>
      <c r="AJ331" s="122" t="n"/>
      <c r="AK331" s="122" t="n"/>
      <c r="AL331" s="122" t="n"/>
      <c r="AM331" s="122" t="n"/>
      <c r="AN331" s="122">
        <f>SUM(Z331:AC331)</f>
        <v/>
      </c>
      <c r="AO331" s="122">
        <f>SUM(AD331:AL331)</f>
        <v/>
      </c>
      <c r="AP331" s="122">
        <f>SUM(AM331,AB331)</f>
        <v/>
      </c>
      <c r="AQ331" s="122">
        <f>SUM(AA331)</f>
        <v/>
      </c>
      <c r="AR331" s="121">
        <f>(AP331+AQ331)-3%</f>
        <v/>
      </c>
      <c r="AS331" s="122">
        <f>SUM(AO331+AM331)</f>
        <v/>
      </c>
      <c r="AT331" s="122">
        <f>SUM(AH331+AN331)</f>
        <v/>
      </c>
      <c r="AU331" s="122">
        <f>SUM(AN331+AO331)</f>
        <v/>
      </c>
      <c r="AV331" s="122">
        <f>SUM(AN331+AD331+AE331+AF331+AG331+AH331+AJ331+AK331+AL331)</f>
        <v/>
      </c>
      <c r="AW331" s="122">
        <f>SUM(AD331+AE331+AF331+AG331+AI331+AJ331+AK331+AL331)</f>
        <v/>
      </c>
    </row>
    <row r="332" ht="14.1" customHeight="1" s="259">
      <c r="A332" s="183">
        <f>A331+1</f>
        <v/>
      </c>
      <c r="B332" s="117" t="n"/>
      <c r="C332" s="119" t="n"/>
      <c r="D332" s="117" t="n"/>
      <c r="E332" s="118" t="n"/>
      <c r="F332" s="120" t="n"/>
      <c r="G332" s="118" t="n"/>
      <c r="H332" s="118" t="n"/>
      <c r="I332" s="118" t="n"/>
      <c r="J332" s="118" t="n"/>
      <c r="K332" s="118" t="n"/>
      <c r="L332" s="118" t="n"/>
      <c r="M332" s="118" t="n"/>
      <c r="N332" s="118" t="n"/>
      <c r="O332" s="118" t="n"/>
      <c r="P332" s="118" t="n"/>
      <c r="Q332" s="118" t="n"/>
      <c r="R332" s="118" t="n"/>
      <c r="S332" s="118" t="n"/>
      <c r="T332" s="117">
        <f>SUM(F332:S332)</f>
        <v/>
      </c>
      <c r="U332" s="190">
        <f>(HLOOKUP(B332,F:T,A332,FALSE)/T332)</f>
        <v/>
      </c>
      <c r="V332" s="159" t="n"/>
      <c r="W332" s="163">
        <f>YEAR(C332)</f>
        <v/>
      </c>
      <c r="X332" s="116">
        <f>MONTH(C332)</f>
        <v/>
      </c>
      <c r="Y332" s="116">
        <f>WEEKNUM(C332,21)</f>
        <v/>
      </c>
      <c r="Z332" s="122" t="n"/>
      <c r="AA332" s="122" t="n"/>
      <c r="AB332" s="122" t="n"/>
      <c r="AC332" s="122" t="n"/>
      <c r="AD332" s="122" t="n"/>
      <c r="AE332" s="122">
        <f>IFERROR(K332/$T332,0)</f>
        <v/>
      </c>
      <c r="AF332" s="122">
        <f>IFERROR(L332/$T332,0)</f>
        <v/>
      </c>
      <c r="AG332" s="122" t="n"/>
      <c r="AH332" s="122" t="n"/>
      <c r="AI332" s="122" t="n"/>
      <c r="AJ332" s="122" t="n"/>
      <c r="AK332" s="122" t="n"/>
      <c r="AL332" s="122" t="n"/>
      <c r="AM332" s="122" t="n"/>
      <c r="AN332" s="122">
        <f>SUM(Z332:AC332)</f>
        <v/>
      </c>
      <c r="AO332" s="122">
        <f>SUM(AD332:AL332)</f>
        <v/>
      </c>
      <c r="AP332" s="122">
        <f>SUM(AM332,AB332)</f>
        <v/>
      </c>
      <c r="AQ332" s="122">
        <f>SUM(AA332)</f>
        <v/>
      </c>
      <c r="AR332" s="121">
        <f>(AP332+AQ332)-3%</f>
        <v/>
      </c>
      <c r="AS332" s="122">
        <f>SUM(AO332+AM332)</f>
        <v/>
      </c>
      <c r="AT332" s="122">
        <f>SUM(AH332+AN332)</f>
        <v/>
      </c>
      <c r="AU332" s="122">
        <f>SUM(AN332+AO332)</f>
        <v/>
      </c>
      <c r="AV332" s="122">
        <f>SUM(AN332+AD332+AE332+AF332+AG332+AH332+AJ332+AK332+AL332)</f>
        <v/>
      </c>
      <c r="AW332" s="122">
        <f>SUM(AD332+AE332+AF332+AG332+AI332+AJ332+AK332+AL332)</f>
        <v/>
      </c>
    </row>
    <row r="333" ht="14.1" customHeight="1" s="259">
      <c r="A333" s="183">
        <f>A332+1</f>
        <v/>
      </c>
      <c r="B333" s="117" t="n"/>
      <c r="C333" s="119" t="n"/>
      <c r="D333" s="117" t="n"/>
      <c r="E333" s="118" t="n"/>
      <c r="F333" s="120" t="n"/>
      <c r="G333" s="118" t="n"/>
      <c r="H333" s="118" t="n"/>
      <c r="I333" s="118" t="n"/>
      <c r="J333" s="118" t="n"/>
      <c r="K333" s="118" t="n"/>
      <c r="L333" s="118" t="n"/>
      <c r="M333" s="118" t="n"/>
      <c r="N333" s="118" t="n"/>
      <c r="O333" s="118" t="n"/>
      <c r="P333" s="118" t="n"/>
      <c r="Q333" s="118" t="n"/>
      <c r="R333" s="118" t="n"/>
      <c r="S333" s="118" t="n"/>
      <c r="T333" s="117">
        <f>SUM(F333:S333)</f>
        <v/>
      </c>
      <c r="U333" s="190">
        <f>(HLOOKUP(B333,F:T,A333,FALSE)/T333)</f>
        <v/>
      </c>
      <c r="V333" s="159" t="n"/>
      <c r="W333" s="163">
        <f>YEAR(C333)</f>
        <v/>
      </c>
      <c r="X333" s="116">
        <f>MONTH(C333)</f>
        <v/>
      </c>
      <c r="Y333" s="116">
        <f>WEEKNUM(C333,21)</f>
        <v/>
      </c>
      <c r="Z333" s="122" t="n"/>
      <c r="AA333" s="122" t="n"/>
      <c r="AB333" s="122" t="n"/>
      <c r="AC333" s="122" t="n"/>
      <c r="AD333" s="122" t="n"/>
      <c r="AE333" s="122">
        <f>IFERROR(K333/$T333,0)</f>
        <v/>
      </c>
      <c r="AF333" s="122">
        <f>IFERROR(L333/$T333,0)</f>
        <v/>
      </c>
      <c r="AG333" s="122" t="n"/>
      <c r="AH333" s="122" t="n"/>
      <c r="AI333" s="122" t="n"/>
      <c r="AJ333" s="122" t="n"/>
      <c r="AK333" s="122" t="n"/>
      <c r="AL333" s="122" t="n"/>
      <c r="AM333" s="122" t="n"/>
      <c r="AN333" s="122">
        <f>SUM(Z333:AC333)</f>
        <v/>
      </c>
      <c r="AO333" s="122">
        <f>SUM(AD333:AL333)</f>
        <v/>
      </c>
      <c r="AP333" s="122">
        <f>SUM(AM333,AB333)</f>
        <v/>
      </c>
      <c r="AQ333" s="122">
        <f>SUM(AA333)</f>
        <v/>
      </c>
      <c r="AR333" s="121">
        <f>(AP333+AQ333)-3%</f>
        <v/>
      </c>
      <c r="AS333" s="122">
        <f>SUM(AO333+AM333)</f>
        <v/>
      </c>
      <c r="AT333" s="122">
        <f>SUM(AH333+AN333)</f>
        <v/>
      </c>
      <c r="AU333" s="122">
        <f>SUM(AN333+AO333)</f>
        <v/>
      </c>
      <c r="AV333" s="122">
        <f>SUM(AN333+AD333+AE333+AF333+AG333+AH333+AJ333+AK333+AL333)</f>
        <v/>
      </c>
      <c r="AW333" s="122">
        <f>SUM(AD333+AE333+AF333+AG333+AI333+AJ333+AK333+AL333)</f>
        <v/>
      </c>
    </row>
    <row r="334" ht="14.1" customHeight="1" s="259">
      <c r="A334" s="183">
        <f>A333+1</f>
        <v/>
      </c>
      <c r="B334" s="117" t="n"/>
      <c r="C334" s="119" t="n"/>
      <c r="D334" s="117" t="n"/>
      <c r="E334" s="118" t="n"/>
      <c r="F334" s="120" t="n"/>
      <c r="G334" s="118" t="n"/>
      <c r="H334" s="118" t="n"/>
      <c r="I334" s="118" t="n"/>
      <c r="J334" s="118" t="n"/>
      <c r="K334" s="118" t="n"/>
      <c r="L334" s="118" t="n"/>
      <c r="M334" s="118" t="n"/>
      <c r="N334" s="118" t="n"/>
      <c r="O334" s="118" t="n"/>
      <c r="P334" s="118" t="n"/>
      <c r="Q334" s="118" t="n"/>
      <c r="R334" s="118" t="n"/>
      <c r="S334" s="118" t="n"/>
      <c r="T334" s="117">
        <f>SUM(F334:S334)</f>
        <v/>
      </c>
      <c r="U334" s="190">
        <f>(HLOOKUP(B334,F:T,A334,FALSE)/T334)</f>
        <v/>
      </c>
      <c r="V334" s="159" t="n"/>
      <c r="W334" s="163">
        <f>YEAR(C334)</f>
        <v/>
      </c>
      <c r="X334" s="116">
        <f>MONTH(C334)</f>
        <v/>
      </c>
      <c r="Y334" s="116">
        <f>WEEKNUM(C334,21)</f>
        <v/>
      </c>
      <c r="Z334" s="122" t="n"/>
      <c r="AA334" s="122" t="n"/>
      <c r="AB334" s="122" t="n"/>
      <c r="AC334" s="122" t="n"/>
      <c r="AD334" s="122" t="n"/>
      <c r="AE334" s="122">
        <f>IFERROR(K334/$T334,0)</f>
        <v/>
      </c>
      <c r="AF334" s="122">
        <f>IFERROR(L334/$T334,0)</f>
        <v/>
      </c>
      <c r="AG334" s="122" t="n"/>
      <c r="AH334" s="122" t="n"/>
      <c r="AI334" s="122" t="n"/>
      <c r="AJ334" s="122" t="n"/>
      <c r="AK334" s="122" t="n"/>
      <c r="AL334" s="122" t="n"/>
      <c r="AM334" s="122" t="n"/>
      <c r="AN334" s="122">
        <f>SUM(Z334:AC334)</f>
        <v/>
      </c>
      <c r="AO334" s="122">
        <f>SUM(AD334:AL334)</f>
        <v/>
      </c>
      <c r="AP334" s="122">
        <f>SUM(AM334,AB334)</f>
        <v/>
      </c>
      <c r="AQ334" s="122">
        <f>SUM(AA334)</f>
        <v/>
      </c>
      <c r="AR334" s="121">
        <f>(AP334+AQ334)-3%</f>
        <v/>
      </c>
      <c r="AS334" s="122">
        <f>SUM(AO334+AM334)</f>
        <v/>
      </c>
      <c r="AT334" s="122">
        <f>SUM(AH334+AN334)</f>
        <v/>
      </c>
      <c r="AU334" s="122">
        <f>SUM(AN334+AO334)</f>
        <v/>
      </c>
      <c r="AV334" s="122">
        <f>SUM(AN334+AD334+AE334+AF334+AG334+AH334+AJ334+AK334+AL334)</f>
        <v/>
      </c>
      <c r="AW334" s="122">
        <f>SUM(AD334+AE334+AF334+AG334+AI334+AJ334+AK334+AL334)</f>
        <v/>
      </c>
    </row>
    <row r="335" ht="14.1" customHeight="1" s="259">
      <c r="A335" s="183">
        <f>A334+1</f>
        <v/>
      </c>
      <c r="B335" s="117" t="n"/>
      <c r="C335" s="119" t="n"/>
      <c r="D335" s="117" t="n"/>
      <c r="E335" s="118" t="n"/>
      <c r="F335" s="120" t="n"/>
      <c r="G335" s="118" t="n"/>
      <c r="H335" s="118" t="n"/>
      <c r="I335" s="118" t="n"/>
      <c r="J335" s="118" t="n"/>
      <c r="K335" s="118" t="n"/>
      <c r="L335" s="118" t="n"/>
      <c r="M335" s="118" t="n"/>
      <c r="N335" s="118" t="n"/>
      <c r="O335" s="118" t="n"/>
      <c r="P335" s="118" t="n"/>
      <c r="Q335" s="118" t="n"/>
      <c r="R335" s="118" t="n"/>
      <c r="S335" s="118" t="n"/>
      <c r="T335" s="117">
        <f>SUM(F335:S335)</f>
        <v/>
      </c>
      <c r="U335" s="190">
        <f>(HLOOKUP(B335,F:T,A335,FALSE)/T335)</f>
        <v/>
      </c>
      <c r="V335" s="159" t="n"/>
      <c r="W335" s="163">
        <f>YEAR(C335)</f>
        <v/>
      </c>
      <c r="X335" s="116">
        <f>MONTH(C335)</f>
        <v/>
      </c>
      <c r="Y335" s="116">
        <f>WEEKNUM(C335,21)</f>
        <v/>
      </c>
      <c r="Z335" s="122" t="n"/>
      <c r="AA335" s="122" t="n"/>
      <c r="AB335" s="122" t="n"/>
      <c r="AC335" s="122" t="n"/>
      <c r="AD335" s="122" t="n"/>
      <c r="AE335" s="122">
        <f>IFERROR(K335/$T335,0)</f>
        <v/>
      </c>
      <c r="AF335" s="122">
        <f>IFERROR(L335/$T335,0)</f>
        <v/>
      </c>
      <c r="AG335" s="122" t="n"/>
      <c r="AH335" s="122" t="n"/>
      <c r="AI335" s="122" t="n"/>
      <c r="AJ335" s="122" t="n"/>
      <c r="AK335" s="122" t="n"/>
      <c r="AL335" s="122" t="n"/>
      <c r="AM335" s="122" t="n"/>
      <c r="AN335" s="122">
        <f>SUM(Z335:AC335)</f>
        <v/>
      </c>
      <c r="AO335" s="122">
        <f>SUM(AD335:AL335)</f>
        <v/>
      </c>
      <c r="AP335" s="122">
        <f>SUM(AM335,AB335)</f>
        <v/>
      </c>
      <c r="AQ335" s="122">
        <f>SUM(AA335)</f>
        <v/>
      </c>
      <c r="AR335" s="121">
        <f>(AP335+AQ335)-3%</f>
        <v/>
      </c>
      <c r="AS335" s="122">
        <f>SUM(AO335+AM335)</f>
        <v/>
      </c>
      <c r="AT335" s="122">
        <f>SUM(AH335+AN335)</f>
        <v/>
      </c>
      <c r="AU335" s="122">
        <f>SUM(AN335+AO335)</f>
        <v/>
      </c>
      <c r="AV335" s="122">
        <f>SUM(AN335+AD335+AE335+AF335+AG335+AH335+AJ335+AK335+AL335)</f>
        <v/>
      </c>
      <c r="AW335" s="122">
        <f>SUM(AD335+AE335+AF335+AG335+AI335+AJ335+AK335+AL335)</f>
        <v/>
      </c>
    </row>
    <row r="336" ht="14.1" customHeight="1" s="259">
      <c r="A336" s="183">
        <f>A335+1</f>
        <v/>
      </c>
      <c r="B336" s="117" t="n"/>
      <c r="C336" s="119" t="n"/>
      <c r="D336" s="117" t="n"/>
      <c r="E336" s="118" t="n"/>
      <c r="F336" s="120" t="n"/>
      <c r="G336" s="118" t="n"/>
      <c r="H336" s="118" t="n"/>
      <c r="I336" s="118" t="n"/>
      <c r="J336" s="118" t="n"/>
      <c r="K336" s="118" t="n"/>
      <c r="L336" s="118" t="n"/>
      <c r="M336" s="118" t="n"/>
      <c r="N336" s="118" t="n"/>
      <c r="O336" s="118" t="n"/>
      <c r="P336" s="118" t="n"/>
      <c r="Q336" s="118" t="n"/>
      <c r="R336" s="118" t="n"/>
      <c r="S336" s="118" t="n"/>
      <c r="T336" s="117">
        <f>SUM(F336:S336)</f>
        <v/>
      </c>
      <c r="U336" s="190">
        <f>(HLOOKUP(B336,F:T,A336,FALSE)/T336)</f>
        <v/>
      </c>
      <c r="V336" s="159" t="n"/>
      <c r="W336" s="163">
        <f>YEAR(C336)</f>
        <v/>
      </c>
      <c r="X336" s="116">
        <f>MONTH(C336)</f>
        <v/>
      </c>
      <c r="Y336" s="116">
        <f>WEEKNUM(C336,21)</f>
        <v/>
      </c>
      <c r="Z336" s="122" t="n"/>
      <c r="AA336" s="122" t="n"/>
      <c r="AB336" s="122" t="n"/>
      <c r="AC336" s="122" t="n"/>
      <c r="AD336" s="122" t="n"/>
      <c r="AE336" s="122">
        <f>IFERROR(K336/$T336,0)</f>
        <v/>
      </c>
      <c r="AF336" s="122">
        <f>IFERROR(L336/$T336,0)</f>
        <v/>
      </c>
      <c r="AG336" s="122" t="n"/>
      <c r="AH336" s="122" t="n"/>
      <c r="AI336" s="122" t="n"/>
      <c r="AJ336" s="122" t="n"/>
      <c r="AK336" s="122" t="n"/>
      <c r="AL336" s="122" t="n"/>
      <c r="AM336" s="122" t="n"/>
      <c r="AN336" s="122">
        <f>SUM(Z336:AC336)</f>
        <v/>
      </c>
      <c r="AO336" s="122">
        <f>SUM(AD336:AL336)</f>
        <v/>
      </c>
      <c r="AP336" s="122">
        <f>SUM(AM336,AB336)</f>
        <v/>
      </c>
      <c r="AQ336" s="122">
        <f>SUM(AA336)</f>
        <v/>
      </c>
      <c r="AR336" s="121">
        <f>(AP336+AQ336)-3%</f>
        <v/>
      </c>
      <c r="AS336" s="122">
        <f>SUM(AO336+AM336)</f>
        <v/>
      </c>
      <c r="AT336" s="122">
        <f>SUM(AH336+AN336)</f>
        <v/>
      </c>
      <c r="AU336" s="122">
        <f>SUM(AN336+AO336)</f>
        <v/>
      </c>
      <c r="AV336" s="122">
        <f>SUM(AN336+AD336+AE336+AF336+AG336+AH336+AJ336+AK336+AL336)</f>
        <v/>
      </c>
      <c r="AW336" s="122">
        <f>SUM(AD336+AE336+AF336+AG336+AI336+AJ336+AK336+AL336)</f>
        <v/>
      </c>
    </row>
    <row r="337" ht="14.1" customHeight="1" s="259">
      <c r="A337" s="183">
        <f>A336+1</f>
        <v/>
      </c>
      <c r="B337" s="117" t="n"/>
      <c r="C337" s="119" t="n"/>
      <c r="D337" s="117" t="n"/>
      <c r="E337" s="118" t="n"/>
      <c r="F337" s="120" t="n"/>
      <c r="G337" s="118" t="n"/>
      <c r="H337" s="118" t="n"/>
      <c r="I337" s="118" t="n"/>
      <c r="J337" s="118" t="n"/>
      <c r="K337" s="118" t="n"/>
      <c r="L337" s="118" t="n"/>
      <c r="M337" s="118" t="n"/>
      <c r="N337" s="118" t="n"/>
      <c r="O337" s="118" t="n"/>
      <c r="P337" s="118" t="n"/>
      <c r="Q337" s="118" t="n"/>
      <c r="R337" s="118" t="n"/>
      <c r="S337" s="118" t="n"/>
      <c r="T337" s="117">
        <f>SUM(F337:S337)</f>
        <v/>
      </c>
      <c r="U337" s="190">
        <f>(HLOOKUP(B337,F:T,A337,FALSE)/T337)</f>
        <v/>
      </c>
      <c r="V337" s="159" t="n"/>
      <c r="W337" s="163">
        <f>YEAR(C337)</f>
        <v/>
      </c>
      <c r="X337" s="116">
        <f>MONTH(C337)</f>
        <v/>
      </c>
      <c r="Y337" s="116">
        <f>WEEKNUM(C337,21)</f>
        <v/>
      </c>
      <c r="Z337" s="122" t="n"/>
      <c r="AA337" s="122" t="n"/>
      <c r="AB337" s="122" t="n"/>
      <c r="AC337" s="122" t="n"/>
      <c r="AD337" s="122" t="n"/>
      <c r="AE337" s="122">
        <f>IFERROR(K337/$T337,0)</f>
        <v/>
      </c>
      <c r="AF337" s="122">
        <f>IFERROR(L337/$T337,0)</f>
        <v/>
      </c>
      <c r="AG337" s="122" t="n"/>
      <c r="AH337" s="122" t="n"/>
      <c r="AI337" s="122" t="n"/>
      <c r="AJ337" s="122" t="n"/>
      <c r="AK337" s="122" t="n"/>
      <c r="AL337" s="122" t="n"/>
      <c r="AM337" s="122" t="n"/>
      <c r="AN337" s="122">
        <f>SUM(Z337:AC337)</f>
        <v/>
      </c>
      <c r="AO337" s="122">
        <f>SUM(AD337:AL337)</f>
        <v/>
      </c>
      <c r="AP337" s="122">
        <f>SUM(AM337,AB337)</f>
        <v/>
      </c>
      <c r="AQ337" s="122">
        <f>SUM(AA337)</f>
        <v/>
      </c>
      <c r="AR337" s="121">
        <f>(AP337+AQ337)-3%</f>
        <v/>
      </c>
      <c r="AS337" s="122">
        <f>SUM(AO337+AM337)</f>
        <v/>
      </c>
      <c r="AT337" s="122">
        <f>SUM(AH337+AN337)</f>
        <v/>
      </c>
      <c r="AU337" s="122">
        <f>SUM(AN337+AO337)</f>
        <v/>
      </c>
      <c r="AV337" s="122">
        <f>SUM(AN337+AD337+AE337+AF337+AG337+AH337+AJ337+AK337+AL337)</f>
        <v/>
      </c>
      <c r="AW337" s="122">
        <f>SUM(AD337+AE337+AF337+AG337+AI337+AJ337+AK337+AL337)</f>
        <v/>
      </c>
    </row>
    <row r="338" ht="14.1" customHeight="1" s="259">
      <c r="A338" s="183">
        <f>A337+1</f>
        <v/>
      </c>
      <c r="B338" s="117" t="n"/>
      <c r="C338" s="119" t="n"/>
      <c r="D338" s="117" t="n"/>
      <c r="E338" s="118" t="n"/>
      <c r="F338" s="120" t="n"/>
      <c r="G338" s="118" t="n"/>
      <c r="H338" s="118" t="n"/>
      <c r="I338" s="118" t="n"/>
      <c r="J338" s="118" t="n"/>
      <c r="K338" s="118" t="n"/>
      <c r="L338" s="118" t="n"/>
      <c r="M338" s="118" t="n"/>
      <c r="N338" s="118" t="n"/>
      <c r="O338" s="118" t="n"/>
      <c r="P338" s="118" t="n"/>
      <c r="Q338" s="118" t="n"/>
      <c r="R338" s="118" t="n"/>
      <c r="S338" s="118" t="n"/>
      <c r="T338" s="117">
        <f>SUM(F338:S338)</f>
        <v/>
      </c>
      <c r="U338" s="190">
        <f>(HLOOKUP(B338,F:T,A338,FALSE)/T338)</f>
        <v/>
      </c>
      <c r="V338" s="159" t="n"/>
      <c r="W338" s="163">
        <f>YEAR(C338)</f>
        <v/>
      </c>
      <c r="X338" s="116">
        <f>MONTH(C338)</f>
        <v/>
      </c>
      <c r="Y338" s="116">
        <f>WEEKNUM(C338,21)</f>
        <v/>
      </c>
      <c r="Z338" s="122" t="n"/>
      <c r="AA338" s="122" t="n"/>
      <c r="AB338" s="122" t="n"/>
      <c r="AC338" s="122" t="n"/>
      <c r="AD338" s="122" t="n"/>
      <c r="AE338" s="122">
        <f>IFERROR(K338/$T338,0)</f>
        <v/>
      </c>
      <c r="AF338" s="122">
        <f>IFERROR(L338/$T338,0)</f>
        <v/>
      </c>
      <c r="AG338" s="122" t="n"/>
      <c r="AH338" s="122" t="n"/>
      <c r="AI338" s="122" t="n"/>
      <c r="AJ338" s="122" t="n"/>
      <c r="AK338" s="122" t="n"/>
      <c r="AL338" s="122" t="n"/>
      <c r="AM338" s="122" t="n"/>
      <c r="AN338" s="122">
        <f>SUM(Z338:AC338)</f>
        <v/>
      </c>
      <c r="AO338" s="122">
        <f>SUM(AD338:AL338)</f>
        <v/>
      </c>
      <c r="AP338" s="122">
        <f>SUM(AM338,AB338)</f>
        <v/>
      </c>
      <c r="AQ338" s="122">
        <f>SUM(AA338)</f>
        <v/>
      </c>
      <c r="AR338" s="121">
        <f>(AP338+AQ338)-3%</f>
        <v/>
      </c>
      <c r="AS338" s="122">
        <f>SUM(AO338+AM338)</f>
        <v/>
      </c>
      <c r="AT338" s="122">
        <f>SUM(AH338+AN338)</f>
        <v/>
      </c>
      <c r="AU338" s="122">
        <f>SUM(AN338+AO338)</f>
        <v/>
      </c>
      <c r="AV338" s="122">
        <f>SUM(AN338+AD338+AE338+AF338+AG338+AH338+AJ338+AK338+AL338)</f>
        <v/>
      </c>
      <c r="AW338" s="122">
        <f>SUM(AD338+AE338+AF338+AG338+AI338+AJ338+AK338+AL338)</f>
        <v/>
      </c>
    </row>
    <row r="339" ht="14.1" customHeight="1" s="259">
      <c r="A339" s="183">
        <f>A338+1</f>
        <v/>
      </c>
      <c r="B339" s="117" t="n"/>
      <c r="C339" s="119" t="n"/>
      <c r="D339" s="117" t="n"/>
      <c r="E339" s="118" t="n"/>
      <c r="F339" s="120" t="n"/>
      <c r="G339" s="118" t="n"/>
      <c r="H339" s="118" t="n"/>
      <c r="I339" s="118" t="n"/>
      <c r="J339" s="118" t="n"/>
      <c r="K339" s="118" t="n"/>
      <c r="L339" s="118" t="n"/>
      <c r="M339" s="118" t="n"/>
      <c r="N339" s="118" t="n"/>
      <c r="O339" s="118" t="n"/>
      <c r="P339" s="118" t="n"/>
      <c r="Q339" s="118" t="n"/>
      <c r="R339" s="118" t="n"/>
      <c r="S339" s="118" t="n"/>
      <c r="T339" s="117">
        <f>SUM(F339:S339)</f>
        <v/>
      </c>
      <c r="U339" s="190">
        <f>(HLOOKUP(B339,F:T,A339,FALSE)/T339)</f>
        <v/>
      </c>
      <c r="V339" s="159" t="n"/>
      <c r="W339" s="163">
        <f>YEAR(C339)</f>
        <v/>
      </c>
      <c r="X339" s="116">
        <f>MONTH(C339)</f>
        <v/>
      </c>
      <c r="Y339" s="116">
        <f>WEEKNUM(C339,21)</f>
        <v/>
      </c>
      <c r="Z339" s="122" t="n"/>
      <c r="AA339" s="122" t="n"/>
      <c r="AB339" s="122" t="n"/>
      <c r="AC339" s="122" t="n"/>
      <c r="AD339" s="122" t="n"/>
      <c r="AE339" s="122">
        <f>IFERROR(K339/$T339,0)</f>
        <v/>
      </c>
      <c r="AF339" s="122">
        <f>IFERROR(L339/$T339,0)</f>
        <v/>
      </c>
      <c r="AG339" s="122" t="n"/>
      <c r="AH339" s="122" t="n"/>
      <c r="AI339" s="122" t="n"/>
      <c r="AJ339" s="122" t="n"/>
      <c r="AK339" s="122" t="n"/>
      <c r="AL339" s="122" t="n"/>
      <c r="AM339" s="122" t="n"/>
      <c r="AN339" s="122">
        <f>SUM(Z339:AC339)</f>
        <v/>
      </c>
      <c r="AO339" s="122">
        <f>SUM(AD339:AL339)</f>
        <v/>
      </c>
      <c r="AP339" s="122">
        <f>SUM(AM339,AB339)</f>
        <v/>
      </c>
      <c r="AQ339" s="122">
        <f>SUM(AA339)</f>
        <v/>
      </c>
      <c r="AR339" s="121">
        <f>(AP339+AQ339)-3%</f>
        <v/>
      </c>
      <c r="AS339" s="122">
        <f>SUM(AO339+AM339)</f>
        <v/>
      </c>
      <c r="AT339" s="122">
        <f>SUM(AH339+AN339)</f>
        <v/>
      </c>
      <c r="AU339" s="122">
        <f>SUM(AN339+AO339)</f>
        <v/>
      </c>
      <c r="AV339" s="122">
        <f>SUM(AN339+AD339+AE339+AF339+AG339+AH339+AJ339+AK339+AL339)</f>
        <v/>
      </c>
      <c r="AW339" s="122">
        <f>SUM(AD339+AE339+AF339+AG339+AI339+AJ339+AK339+AL339)</f>
        <v/>
      </c>
    </row>
    <row r="340" ht="14.1" customHeight="1" s="259">
      <c r="A340" s="183">
        <f>A339+1</f>
        <v/>
      </c>
      <c r="B340" s="117" t="n"/>
      <c r="C340" s="119" t="n"/>
      <c r="D340" s="117" t="n"/>
      <c r="E340" s="118" t="n"/>
      <c r="F340" s="120" t="n"/>
      <c r="G340" s="118" t="n"/>
      <c r="H340" s="118" t="n"/>
      <c r="I340" s="118" t="n"/>
      <c r="J340" s="118" t="n"/>
      <c r="K340" s="118" t="n"/>
      <c r="L340" s="118" t="n"/>
      <c r="M340" s="118" t="n"/>
      <c r="N340" s="118" t="n"/>
      <c r="O340" s="118" t="n"/>
      <c r="P340" s="118" t="n"/>
      <c r="Q340" s="118" t="n"/>
      <c r="R340" s="118" t="n"/>
      <c r="S340" s="118" t="n"/>
      <c r="T340" s="117">
        <f>SUM(F340:S340)</f>
        <v/>
      </c>
      <c r="U340" s="190">
        <f>(HLOOKUP(B340,F:T,A340,FALSE)/T340)</f>
        <v/>
      </c>
      <c r="V340" s="159" t="n"/>
      <c r="W340" s="163">
        <f>YEAR(C340)</f>
        <v/>
      </c>
      <c r="X340" s="116">
        <f>MONTH(C340)</f>
        <v/>
      </c>
      <c r="Y340" s="116">
        <f>WEEKNUM(C340,21)</f>
        <v/>
      </c>
      <c r="Z340" s="122" t="n"/>
      <c r="AA340" s="122" t="n"/>
      <c r="AB340" s="122" t="n"/>
      <c r="AC340" s="122" t="n"/>
      <c r="AD340" s="122" t="n"/>
      <c r="AE340" s="122">
        <f>IFERROR(K340/$T340,0)</f>
        <v/>
      </c>
      <c r="AF340" s="122">
        <f>IFERROR(L340/$T340,0)</f>
        <v/>
      </c>
      <c r="AG340" s="122" t="n"/>
      <c r="AH340" s="122" t="n"/>
      <c r="AI340" s="122" t="n"/>
      <c r="AJ340" s="122" t="n"/>
      <c r="AK340" s="122" t="n"/>
      <c r="AL340" s="122" t="n"/>
      <c r="AM340" s="122" t="n"/>
      <c r="AN340" s="122">
        <f>SUM(Z340:AC340)</f>
        <v/>
      </c>
      <c r="AO340" s="122">
        <f>SUM(AD340:AL340)</f>
        <v/>
      </c>
      <c r="AP340" s="122">
        <f>SUM(AM340,AB340)</f>
        <v/>
      </c>
      <c r="AQ340" s="122">
        <f>SUM(AA340)</f>
        <v/>
      </c>
      <c r="AR340" s="121">
        <f>(AP340+AQ340)-3%</f>
        <v/>
      </c>
      <c r="AS340" s="122">
        <f>SUM(AO340+AM340)</f>
        <v/>
      </c>
      <c r="AT340" s="122">
        <f>SUM(AH340+AN340)</f>
        <v/>
      </c>
      <c r="AU340" s="122">
        <f>SUM(AN340+AO340)</f>
        <v/>
      </c>
      <c r="AV340" s="122">
        <f>SUM(AN340+AD340+AE340+AF340+AG340+AH340+AJ340+AK340+AL340)</f>
        <v/>
      </c>
      <c r="AW340" s="122">
        <f>SUM(AD340+AE340+AF340+AG340+AI340+AJ340+AK340+AL340)</f>
        <v/>
      </c>
    </row>
    <row r="341" ht="14.1" customHeight="1" s="259">
      <c r="A341" s="183">
        <f>A340+1</f>
        <v/>
      </c>
      <c r="B341" s="117" t="n"/>
      <c r="C341" s="119" t="n"/>
      <c r="D341" s="117" t="n"/>
      <c r="E341" s="118" t="n"/>
      <c r="F341" s="120" t="n"/>
      <c r="G341" s="118" t="n"/>
      <c r="H341" s="118" t="n"/>
      <c r="I341" s="118" t="n"/>
      <c r="J341" s="118" t="n"/>
      <c r="K341" s="118" t="n"/>
      <c r="L341" s="118" t="n"/>
      <c r="M341" s="118" t="n"/>
      <c r="N341" s="118" t="n"/>
      <c r="O341" s="118" t="n"/>
      <c r="P341" s="118" t="n"/>
      <c r="Q341" s="118" t="n"/>
      <c r="R341" s="118" t="n"/>
      <c r="S341" s="118" t="n"/>
      <c r="T341" s="117">
        <f>SUM(F341:S341)</f>
        <v/>
      </c>
      <c r="U341" s="190">
        <f>(HLOOKUP(B341,F:T,A341,FALSE)/T341)</f>
        <v/>
      </c>
      <c r="V341" s="159" t="n"/>
      <c r="W341" s="163">
        <f>YEAR(C341)</f>
        <v/>
      </c>
      <c r="X341" s="116">
        <f>MONTH(C341)</f>
        <v/>
      </c>
      <c r="Y341" s="116">
        <f>WEEKNUM(C341,21)</f>
        <v/>
      </c>
      <c r="Z341" s="122" t="n"/>
      <c r="AA341" s="122" t="n"/>
      <c r="AB341" s="122" t="n"/>
      <c r="AC341" s="122" t="n"/>
      <c r="AD341" s="122" t="n"/>
      <c r="AE341" s="122">
        <f>IFERROR(K341/$T341,0)</f>
        <v/>
      </c>
      <c r="AF341" s="122">
        <f>IFERROR(L341/$T341,0)</f>
        <v/>
      </c>
      <c r="AG341" s="122" t="n"/>
      <c r="AH341" s="122" t="n"/>
      <c r="AI341" s="122" t="n"/>
      <c r="AJ341" s="122" t="n"/>
      <c r="AK341" s="122" t="n"/>
      <c r="AL341" s="122" t="n"/>
      <c r="AM341" s="122" t="n"/>
      <c r="AN341" s="122">
        <f>SUM(Z341:AC341)</f>
        <v/>
      </c>
      <c r="AO341" s="122">
        <f>SUM(AD341:AL341)</f>
        <v/>
      </c>
      <c r="AP341" s="122">
        <f>SUM(AM341,AB341)</f>
        <v/>
      </c>
      <c r="AQ341" s="122">
        <f>SUM(AA341)</f>
        <v/>
      </c>
      <c r="AR341" s="121">
        <f>(AP341+AQ341)-3%</f>
        <v/>
      </c>
      <c r="AS341" s="122">
        <f>SUM(AO341+AM341)</f>
        <v/>
      </c>
      <c r="AT341" s="122">
        <f>SUM(AH341+AN341)</f>
        <v/>
      </c>
      <c r="AU341" s="122">
        <f>SUM(AN341+AO341)</f>
        <v/>
      </c>
      <c r="AV341" s="122">
        <f>SUM(AN341+AD341+AE341+AF341+AG341+AH341+AJ341+AK341+AL341)</f>
        <v/>
      </c>
      <c r="AW341" s="122">
        <f>SUM(AD341+AE341+AF341+AG341+AI341+AJ341+AK341+AL341)</f>
        <v/>
      </c>
    </row>
    <row r="342" ht="14.1" customHeight="1" s="259">
      <c r="A342" s="183">
        <f>A341+1</f>
        <v/>
      </c>
      <c r="B342" s="117" t="n"/>
      <c r="C342" s="119" t="n"/>
      <c r="D342" s="117" t="n"/>
      <c r="E342" s="118" t="n"/>
      <c r="F342" s="120" t="n"/>
      <c r="G342" s="118" t="n"/>
      <c r="H342" s="118" t="n"/>
      <c r="I342" s="118" t="n"/>
      <c r="J342" s="118" t="n"/>
      <c r="K342" s="118" t="n"/>
      <c r="L342" s="118" t="n"/>
      <c r="M342" s="118" t="n"/>
      <c r="N342" s="118" t="n"/>
      <c r="O342" s="118" t="n"/>
      <c r="P342" s="118" t="n"/>
      <c r="Q342" s="118" t="n"/>
      <c r="R342" s="118" t="n"/>
      <c r="S342" s="118" t="n"/>
      <c r="T342" s="117">
        <f>SUM(F342:S342)</f>
        <v/>
      </c>
      <c r="U342" s="190">
        <f>(HLOOKUP(B342,F:T,A342,FALSE)/T342)</f>
        <v/>
      </c>
      <c r="V342" s="159" t="n"/>
      <c r="W342" s="163">
        <f>YEAR(C342)</f>
        <v/>
      </c>
      <c r="X342" s="116">
        <f>MONTH(C342)</f>
        <v/>
      </c>
      <c r="Y342" s="116">
        <f>WEEKNUM(C342,21)</f>
        <v/>
      </c>
      <c r="Z342" s="122" t="n"/>
      <c r="AA342" s="122" t="n"/>
      <c r="AB342" s="122" t="n"/>
      <c r="AC342" s="122" t="n"/>
      <c r="AD342" s="122" t="n"/>
      <c r="AE342" s="122">
        <f>IFERROR(K342/$T342,0)</f>
        <v/>
      </c>
      <c r="AF342" s="122">
        <f>IFERROR(L342/$T342,0)</f>
        <v/>
      </c>
      <c r="AG342" s="122" t="n"/>
      <c r="AH342" s="122" t="n"/>
      <c r="AI342" s="122" t="n"/>
      <c r="AJ342" s="122" t="n"/>
      <c r="AK342" s="122" t="n"/>
      <c r="AL342" s="122" t="n"/>
      <c r="AM342" s="122" t="n"/>
      <c r="AN342" s="122">
        <f>SUM(Z342:AC342)</f>
        <v/>
      </c>
      <c r="AO342" s="122">
        <f>SUM(AD342:AL342)</f>
        <v/>
      </c>
      <c r="AP342" s="122">
        <f>SUM(AM342,AB342)</f>
        <v/>
      </c>
      <c r="AQ342" s="122">
        <f>SUM(AA342)</f>
        <v/>
      </c>
      <c r="AR342" s="121">
        <f>(AP342+AQ342)-3%</f>
        <v/>
      </c>
      <c r="AS342" s="122">
        <f>SUM(AO342+AM342)</f>
        <v/>
      </c>
      <c r="AT342" s="122">
        <f>SUM(AH342+AN342)</f>
        <v/>
      </c>
      <c r="AU342" s="122">
        <f>SUM(AN342+AO342)</f>
        <v/>
      </c>
      <c r="AV342" s="122">
        <f>SUM(AN342+AD342+AE342+AF342+AG342+AH342+AJ342+AK342+AL342)</f>
        <v/>
      </c>
      <c r="AW342" s="122">
        <f>SUM(AD342+AE342+AF342+AG342+AI342+AJ342+AK342+AL342)</f>
        <v/>
      </c>
    </row>
    <row r="343" ht="14.1" customHeight="1" s="259">
      <c r="A343" s="183">
        <f>A342+1</f>
        <v/>
      </c>
      <c r="B343" s="117" t="n"/>
      <c r="C343" s="119" t="n"/>
      <c r="D343" s="117" t="n"/>
      <c r="E343" s="118" t="n"/>
      <c r="F343" s="120" t="n"/>
      <c r="G343" s="118" t="n"/>
      <c r="H343" s="118" t="n"/>
      <c r="I343" s="118" t="n"/>
      <c r="J343" s="118" t="n"/>
      <c r="K343" s="118" t="n"/>
      <c r="L343" s="118" t="n"/>
      <c r="M343" s="118" t="n"/>
      <c r="N343" s="118" t="n"/>
      <c r="O343" s="118" t="n"/>
      <c r="P343" s="118" t="n"/>
      <c r="Q343" s="118" t="n"/>
      <c r="R343" s="118" t="n"/>
      <c r="S343" s="118" t="n"/>
      <c r="T343" s="117">
        <f>SUM(F343:S343)</f>
        <v/>
      </c>
      <c r="U343" s="190">
        <f>(HLOOKUP(B343,F:T,A343,FALSE)/T343)</f>
        <v/>
      </c>
      <c r="V343" s="159" t="n"/>
      <c r="W343" s="163">
        <f>YEAR(C343)</f>
        <v/>
      </c>
      <c r="X343" s="116">
        <f>MONTH(C343)</f>
        <v/>
      </c>
      <c r="Y343" s="116">
        <f>WEEKNUM(C343,21)</f>
        <v/>
      </c>
      <c r="Z343" s="122" t="n"/>
      <c r="AA343" s="122" t="n"/>
      <c r="AB343" s="122" t="n"/>
      <c r="AC343" s="122" t="n"/>
      <c r="AD343" s="122" t="n"/>
      <c r="AE343" s="122">
        <f>IFERROR(K343/$T343,0)</f>
        <v/>
      </c>
      <c r="AF343" s="122">
        <f>IFERROR(L343/$T343,0)</f>
        <v/>
      </c>
      <c r="AG343" s="122" t="n"/>
      <c r="AH343" s="122" t="n"/>
      <c r="AI343" s="122" t="n"/>
      <c r="AJ343" s="122" t="n"/>
      <c r="AK343" s="122" t="n"/>
      <c r="AL343" s="122" t="n"/>
      <c r="AM343" s="122" t="n"/>
      <c r="AN343" s="122">
        <f>SUM(Z343:AC343)</f>
        <v/>
      </c>
      <c r="AO343" s="122">
        <f>SUM(AD343:AL343)</f>
        <v/>
      </c>
      <c r="AP343" s="122">
        <f>SUM(AM343,AB343)</f>
        <v/>
      </c>
      <c r="AQ343" s="122">
        <f>SUM(AA343)</f>
        <v/>
      </c>
      <c r="AR343" s="121">
        <f>(AP343+AQ343)-3%</f>
        <v/>
      </c>
      <c r="AS343" s="122">
        <f>SUM(AO343+AM343)</f>
        <v/>
      </c>
      <c r="AT343" s="122">
        <f>SUM(AH343+AN343)</f>
        <v/>
      </c>
      <c r="AU343" s="122">
        <f>SUM(AN343+AO343)</f>
        <v/>
      </c>
      <c r="AV343" s="122">
        <f>SUM(AN343+AD343+AE343+AF343+AG343+AH343+AJ343+AK343+AL343)</f>
        <v/>
      </c>
      <c r="AW343" s="122">
        <f>SUM(AD343+AE343+AF343+AG343+AI343+AJ343+AK343+AL343)</f>
        <v/>
      </c>
    </row>
    <row r="344" ht="14.1" customHeight="1" s="259">
      <c r="A344" s="183">
        <f>A343+1</f>
        <v/>
      </c>
      <c r="B344" s="117" t="n"/>
      <c r="C344" s="119" t="n"/>
      <c r="D344" s="117" t="n"/>
      <c r="E344" s="118" t="n"/>
      <c r="F344" s="120" t="n"/>
      <c r="G344" s="118" t="n"/>
      <c r="H344" s="118" t="n"/>
      <c r="I344" s="118" t="n"/>
      <c r="J344" s="118" t="n"/>
      <c r="K344" s="118" t="n"/>
      <c r="L344" s="118" t="n"/>
      <c r="M344" s="118" t="n"/>
      <c r="N344" s="118" t="n"/>
      <c r="O344" s="118" t="n"/>
      <c r="P344" s="118" t="n"/>
      <c r="Q344" s="118" t="n"/>
      <c r="R344" s="118" t="n"/>
      <c r="S344" s="118" t="n"/>
      <c r="T344" s="117">
        <f>SUM(F344:S344)</f>
        <v/>
      </c>
      <c r="U344" s="190">
        <f>(HLOOKUP(B344,F:T,A344,FALSE)/T344)</f>
        <v/>
      </c>
      <c r="V344" s="159" t="n"/>
      <c r="W344" s="163">
        <f>YEAR(C344)</f>
        <v/>
      </c>
      <c r="X344" s="116">
        <f>MONTH(C344)</f>
        <v/>
      </c>
      <c r="Y344" s="116">
        <f>WEEKNUM(C344,21)</f>
        <v/>
      </c>
      <c r="Z344" s="122" t="n"/>
      <c r="AA344" s="122" t="n"/>
      <c r="AB344" s="122" t="n"/>
      <c r="AC344" s="122" t="n"/>
      <c r="AD344" s="122" t="n"/>
      <c r="AE344" s="122">
        <f>IFERROR(K344/$T344,0)</f>
        <v/>
      </c>
      <c r="AF344" s="122">
        <f>IFERROR(L344/$T344,0)</f>
        <v/>
      </c>
      <c r="AG344" s="122" t="n"/>
      <c r="AH344" s="122" t="n"/>
      <c r="AI344" s="122" t="n"/>
      <c r="AJ344" s="122" t="n"/>
      <c r="AK344" s="122" t="n"/>
      <c r="AL344" s="122" t="n"/>
      <c r="AM344" s="122" t="n"/>
      <c r="AN344" s="122">
        <f>SUM(Z344:AC344)</f>
        <v/>
      </c>
      <c r="AO344" s="122">
        <f>SUM(AD344:AL344)</f>
        <v/>
      </c>
      <c r="AP344" s="122">
        <f>SUM(AM344,AB344)</f>
        <v/>
      </c>
      <c r="AQ344" s="122">
        <f>SUM(AA344)</f>
        <v/>
      </c>
      <c r="AR344" s="121">
        <f>(AP344+AQ344)-3%</f>
        <v/>
      </c>
      <c r="AS344" s="122">
        <f>SUM(AO344+AM344)</f>
        <v/>
      </c>
      <c r="AT344" s="122">
        <f>SUM(AH344+AN344)</f>
        <v/>
      </c>
      <c r="AU344" s="122">
        <f>SUM(AN344+AO344)</f>
        <v/>
      </c>
      <c r="AV344" s="122">
        <f>SUM(AN344+AD344+AE344+AF344+AG344+AH344+AJ344+AK344+AL344)</f>
        <v/>
      </c>
      <c r="AW344" s="122">
        <f>SUM(AD344+AE344+AF344+AG344+AI344+AJ344+AK344+AL344)</f>
        <v/>
      </c>
    </row>
    <row r="345" ht="14.1" customHeight="1" s="259">
      <c r="A345" s="183">
        <f>A344+1</f>
        <v/>
      </c>
      <c r="B345" s="117" t="n"/>
      <c r="C345" s="119" t="n"/>
      <c r="D345" s="117" t="n"/>
      <c r="E345" s="118" t="n"/>
      <c r="F345" s="120" t="n"/>
      <c r="G345" s="118" t="n"/>
      <c r="H345" s="118" t="n"/>
      <c r="I345" s="118" t="n"/>
      <c r="J345" s="118" t="n"/>
      <c r="K345" s="118" t="n"/>
      <c r="L345" s="118" t="n"/>
      <c r="M345" s="118" t="n"/>
      <c r="N345" s="118" t="n"/>
      <c r="O345" s="118" t="n"/>
      <c r="P345" s="118" t="n"/>
      <c r="Q345" s="118" t="n"/>
      <c r="R345" s="118" t="n"/>
      <c r="S345" s="118" t="n"/>
      <c r="T345" s="117">
        <f>SUM(F345:S345)</f>
        <v/>
      </c>
      <c r="U345" s="190">
        <f>(HLOOKUP(B345,F:T,A345,FALSE)/T345)</f>
        <v/>
      </c>
      <c r="V345" s="159" t="n"/>
      <c r="W345" s="163">
        <f>YEAR(C345)</f>
        <v/>
      </c>
      <c r="X345" s="116">
        <f>MONTH(C345)</f>
        <v/>
      </c>
      <c r="Y345" s="116">
        <f>WEEKNUM(C345,21)</f>
        <v/>
      </c>
      <c r="Z345" s="122" t="n"/>
      <c r="AA345" s="122" t="n"/>
      <c r="AB345" s="122" t="n"/>
      <c r="AC345" s="122" t="n"/>
      <c r="AD345" s="122" t="n"/>
      <c r="AE345" s="122">
        <f>IFERROR(K345/$T345,0)</f>
        <v/>
      </c>
      <c r="AF345" s="122">
        <f>IFERROR(L345/$T345,0)</f>
        <v/>
      </c>
      <c r="AG345" s="122" t="n"/>
      <c r="AH345" s="122" t="n"/>
      <c r="AI345" s="122" t="n"/>
      <c r="AJ345" s="122" t="n"/>
      <c r="AK345" s="122" t="n"/>
      <c r="AL345" s="122" t="n"/>
      <c r="AM345" s="122" t="n"/>
      <c r="AN345" s="122">
        <f>SUM(Z345:AC345)</f>
        <v/>
      </c>
      <c r="AO345" s="122">
        <f>SUM(AD345:AL345)</f>
        <v/>
      </c>
      <c r="AP345" s="122">
        <f>SUM(AM345,AB345)</f>
        <v/>
      </c>
      <c r="AQ345" s="122">
        <f>SUM(AA345)</f>
        <v/>
      </c>
      <c r="AR345" s="121">
        <f>(AP345+AQ345)-3%</f>
        <v/>
      </c>
      <c r="AS345" s="122">
        <f>SUM(AO345+AM345)</f>
        <v/>
      </c>
      <c r="AT345" s="122">
        <f>SUM(AH345+AN345)</f>
        <v/>
      </c>
      <c r="AU345" s="122">
        <f>SUM(AN345+AO345)</f>
        <v/>
      </c>
      <c r="AV345" s="122">
        <f>SUM(AN345+AD345+AE345+AF345+AG345+AH345+AJ345+AK345+AL345)</f>
        <v/>
      </c>
      <c r="AW345" s="122">
        <f>SUM(AD345+AE345+AF345+AG345+AI345+AJ345+AK345+AL345)</f>
        <v/>
      </c>
    </row>
    <row r="346" ht="14.1" customHeight="1" s="259">
      <c r="A346" s="183">
        <f>A345+1</f>
        <v/>
      </c>
      <c r="B346" s="117" t="n"/>
      <c r="C346" s="119" t="n"/>
      <c r="D346" s="117" t="n"/>
      <c r="E346" s="118" t="n"/>
      <c r="F346" s="120" t="n"/>
      <c r="G346" s="118" t="n"/>
      <c r="H346" s="118" t="n"/>
      <c r="I346" s="118" t="n"/>
      <c r="J346" s="118" t="n"/>
      <c r="K346" s="118" t="n"/>
      <c r="L346" s="118" t="n"/>
      <c r="M346" s="118" t="n"/>
      <c r="N346" s="118" t="n"/>
      <c r="O346" s="118" t="n"/>
      <c r="P346" s="118" t="n"/>
      <c r="Q346" s="118" t="n"/>
      <c r="R346" s="118" t="n"/>
      <c r="S346" s="118" t="n"/>
      <c r="T346" s="117">
        <f>SUM(F346:S346)</f>
        <v/>
      </c>
      <c r="U346" s="190">
        <f>(HLOOKUP(B346,F:T,A346,FALSE)/T346)</f>
        <v/>
      </c>
      <c r="V346" s="159" t="n"/>
      <c r="W346" s="163">
        <f>YEAR(C346)</f>
        <v/>
      </c>
      <c r="X346" s="116">
        <f>MONTH(C346)</f>
        <v/>
      </c>
      <c r="Y346" s="116">
        <f>WEEKNUM(C346,21)</f>
        <v/>
      </c>
      <c r="Z346" s="122" t="n"/>
      <c r="AA346" s="122" t="n"/>
      <c r="AB346" s="122" t="n"/>
      <c r="AC346" s="122" t="n"/>
      <c r="AD346" s="122" t="n"/>
      <c r="AE346" s="122">
        <f>IFERROR(K346/$T346,0)</f>
        <v/>
      </c>
      <c r="AF346" s="122">
        <f>IFERROR(L346/$T346,0)</f>
        <v/>
      </c>
      <c r="AG346" s="122" t="n"/>
      <c r="AH346" s="122" t="n"/>
      <c r="AI346" s="122" t="n"/>
      <c r="AJ346" s="122" t="n"/>
      <c r="AK346" s="122" t="n"/>
      <c r="AL346" s="122" t="n"/>
      <c r="AM346" s="122" t="n"/>
      <c r="AN346" s="122">
        <f>SUM(Z346:AC346)</f>
        <v/>
      </c>
      <c r="AO346" s="122">
        <f>SUM(AD346:AL346)</f>
        <v/>
      </c>
      <c r="AP346" s="122">
        <f>SUM(AM346,AB346)</f>
        <v/>
      </c>
      <c r="AQ346" s="122">
        <f>SUM(AA346)</f>
        <v/>
      </c>
      <c r="AR346" s="121">
        <f>(AP346+AQ346)-3%</f>
        <v/>
      </c>
      <c r="AS346" s="122">
        <f>SUM(AO346+AM346)</f>
        <v/>
      </c>
      <c r="AT346" s="122">
        <f>SUM(AH346+AN346)</f>
        <v/>
      </c>
      <c r="AU346" s="122">
        <f>SUM(AN346+AO346)</f>
        <v/>
      </c>
      <c r="AV346" s="122">
        <f>SUM(AN346+AD346+AE346+AF346+AG346+AH346+AJ346+AK346+AL346)</f>
        <v/>
      </c>
      <c r="AW346" s="122">
        <f>SUM(AD346+AE346+AF346+AG346+AI346+AJ346+AK346+AL346)</f>
        <v/>
      </c>
    </row>
    <row r="347" ht="14.1" customHeight="1" s="259">
      <c r="A347" s="183">
        <f>A346+1</f>
        <v/>
      </c>
      <c r="B347" s="117" t="n"/>
      <c r="C347" s="119" t="n"/>
      <c r="D347" s="117" t="n"/>
      <c r="E347" s="118" t="n"/>
      <c r="F347" s="120" t="n"/>
      <c r="G347" s="118" t="n"/>
      <c r="H347" s="118" t="n"/>
      <c r="I347" s="118" t="n"/>
      <c r="J347" s="118" t="n"/>
      <c r="K347" s="118" t="n"/>
      <c r="L347" s="118" t="n"/>
      <c r="M347" s="118" t="n"/>
      <c r="N347" s="118" t="n"/>
      <c r="O347" s="118" t="n"/>
      <c r="P347" s="118" t="n"/>
      <c r="Q347" s="118" t="n"/>
      <c r="R347" s="118" t="n"/>
      <c r="S347" s="118" t="n"/>
      <c r="T347" s="117">
        <f>SUM(F347:S347)</f>
        <v/>
      </c>
      <c r="U347" s="190">
        <f>(HLOOKUP(B347,F:T,A347,FALSE)/T347)</f>
        <v/>
      </c>
      <c r="V347" s="159" t="n"/>
      <c r="W347" s="163">
        <f>YEAR(C347)</f>
        <v/>
      </c>
      <c r="X347" s="116">
        <f>MONTH(C347)</f>
        <v/>
      </c>
      <c r="Y347" s="116">
        <f>WEEKNUM(C347,21)</f>
        <v/>
      </c>
      <c r="Z347" s="122" t="n"/>
      <c r="AA347" s="122" t="n"/>
      <c r="AB347" s="122" t="n"/>
      <c r="AC347" s="122" t="n"/>
      <c r="AD347" s="122" t="n"/>
      <c r="AE347" s="122">
        <f>IFERROR(K347/$T347,0)</f>
        <v/>
      </c>
      <c r="AF347" s="122">
        <f>IFERROR(L347/$T347,0)</f>
        <v/>
      </c>
      <c r="AG347" s="122" t="n"/>
      <c r="AH347" s="122" t="n"/>
      <c r="AI347" s="122" t="n"/>
      <c r="AJ347" s="122" t="n"/>
      <c r="AK347" s="122" t="n"/>
      <c r="AL347" s="122" t="n"/>
      <c r="AM347" s="122" t="n"/>
      <c r="AN347" s="122">
        <f>SUM(Z347:AC347)</f>
        <v/>
      </c>
      <c r="AO347" s="122">
        <f>SUM(AD347:AL347)</f>
        <v/>
      </c>
      <c r="AP347" s="122">
        <f>SUM(AM347,AB347)</f>
        <v/>
      </c>
      <c r="AQ347" s="122">
        <f>SUM(AA347)</f>
        <v/>
      </c>
      <c r="AR347" s="121">
        <f>(AP347+AQ347)-3%</f>
        <v/>
      </c>
      <c r="AS347" s="122">
        <f>SUM(AO347+AM347)</f>
        <v/>
      </c>
      <c r="AT347" s="122">
        <f>SUM(AH347+AN347)</f>
        <v/>
      </c>
      <c r="AU347" s="122">
        <f>SUM(AN347+AO347)</f>
        <v/>
      </c>
      <c r="AV347" s="122">
        <f>SUM(AN347+AD347+AE347+AF347+AG347+AH347+AJ347+AK347+AL347)</f>
        <v/>
      </c>
      <c r="AW347" s="122">
        <f>SUM(AD347+AE347+AF347+AG347+AI347+AJ347+AK347+AL347)</f>
        <v/>
      </c>
    </row>
    <row r="348" ht="14.1" customHeight="1" s="259">
      <c r="A348" s="183">
        <f>A347+1</f>
        <v/>
      </c>
      <c r="B348" s="117" t="n"/>
      <c r="C348" s="119" t="n"/>
      <c r="D348" s="117" t="n"/>
      <c r="E348" s="118" t="n"/>
      <c r="F348" s="120" t="n"/>
      <c r="G348" s="118" t="n"/>
      <c r="H348" s="118" t="n"/>
      <c r="I348" s="118" t="n"/>
      <c r="J348" s="118" t="n"/>
      <c r="K348" s="118" t="n"/>
      <c r="L348" s="118" t="n"/>
      <c r="M348" s="118" t="n"/>
      <c r="N348" s="118" t="n"/>
      <c r="O348" s="118" t="n"/>
      <c r="P348" s="118" t="n"/>
      <c r="Q348" s="118" t="n"/>
      <c r="R348" s="118" t="n"/>
      <c r="S348" s="118" t="n"/>
      <c r="T348" s="117">
        <f>SUM(F348:S348)</f>
        <v/>
      </c>
      <c r="U348" s="190">
        <f>(HLOOKUP(B348,F:T,A348,FALSE)/T348)</f>
        <v/>
      </c>
      <c r="V348" s="159" t="n"/>
      <c r="W348" s="163">
        <f>YEAR(C348)</f>
        <v/>
      </c>
      <c r="X348" s="116">
        <f>MONTH(C348)</f>
        <v/>
      </c>
      <c r="Y348" s="116">
        <f>WEEKNUM(C348,21)</f>
        <v/>
      </c>
      <c r="Z348" s="122" t="n"/>
      <c r="AA348" s="122" t="n"/>
      <c r="AB348" s="122" t="n"/>
      <c r="AC348" s="122" t="n"/>
      <c r="AD348" s="122" t="n"/>
      <c r="AE348" s="122">
        <f>IFERROR(K348/$T348,0)</f>
        <v/>
      </c>
      <c r="AF348" s="122">
        <f>IFERROR(L348/$T348,0)</f>
        <v/>
      </c>
      <c r="AG348" s="122" t="n"/>
      <c r="AH348" s="122" t="n"/>
      <c r="AI348" s="122" t="n"/>
      <c r="AJ348" s="122" t="n"/>
      <c r="AK348" s="122" t="n"/>
      <c r="AL348" s="122" t="n"/>
      <c r="AM348" s="122" t="n"/>
      <c r="AN348" s="122">
        <f>SUM(Z348:AC348)</f>
        <v/>
      </c>
      <c r="AO348" s="122">
        <f>SUM(AD348:AL348)</f>
        <v/>
      </c>
      <c r="AP348" s="122">
        <f>SUM(AM348,AB348)</f>
        <v/>
      </c>
      <c r="AQ348" s="122">
        <f>SUM(AA348)</f>
        <v/>
      </c>
      <c r="AR348" s="121">
        <f>(AP348+AQ348)-3%</f>
        <v/>
      </c>
      <c r="AS348" s="122">
        <f>SUM(AO348+AM348)</f>
        <v/>
      </c>
      <c r="AT348" s="122">
        <f>SUM(AH348+AN348)</f>
        <v/>
      </c>
      <c r="AU348" s="122">
        <f>SUM(AN348+AO348)</f>
        <v/>
      </c>
      <c r="AV348" s="122">
        <f>SUM(AN348+AD348+AE348+AF348+AG348+AH348+AJ348+AK348+AL348)</f>
        <v/>
      </c>
      <c r="AW348" s="122">
        <f>SUM(AD348+AE348+AF348+AG348+AI348+AJ348+AK348+AL348)</f>
        <v/>
      </c>
    </row>
    <row r="349" ht="14.1" customHeight="1" s="259">
      <c r="A349" s="183">
        <f>A348+1</f>
        <v/>
      </c>
      <c r="B349" s="117" t="n"/>
      <c r="C349" s="119" t="n"/>
      <c r="D349" s="117" t="n"/>
      <c r="E349" s="118" t="n"/>
      <c r="F349" s="120" t="n"/>
      <c r="G349" s="118" t="n"/>
      <c r="H349" s="118" t="n"/>
      <c r="I349" s="118" t="n"/>
      <c r="J349" s="118" t="n"/>
      <c r="K349" s="118" t="n"/>
      <c r="L349" s="118" t="n"/>
      <c r="M349" s="118" t="n"/>
      <c r="N349" s="118" t="n"/>
      <c r="O349" s="118" t="n"/>
      <c r="P349" s="118" t="n"/>
      <c r="Q349" s="118" t="n"/>
      <c r="R349" s="118" t="n"/>
      <c r="S349" s="118" t="n"/>
      <c r="T349" s="117">
        <f>SUM(F349:S349)</f>
        <v/>
      </c>
      <c r="U349" s="190">
        <f>(HLOOKUP(B349,F:T,A349,FALSE)/T349)</f>
        <v/>
      </c>
      <c r="V349" s="159" t="n"/>
      <c r="W349" s="163">
        <f>YEAR(C349)</f>
        <v/>
      </c>
      <c r="X349" s="116">
        <f>MONTH(C349)</f>
        <v/>
      </c>
      <c r="Y349" s="116">
        <f>WEEKNUM(C349,21)</f>
        <v/>
      </c>
      <c r="Z349" s="122" t="n"/>
      <c r="AA349" s="122" t="n"/>
      <c r="AB349" s="122" t="n"/>
      <c r="AC349" s="122" t="n"/>
      <c r="AD349" s="122" t="n"/>
      <c r="AE349" s="122">
        <f>IFERROR(K349/$T349,0)</f>
        <v/>
      </c>
      <c r="AF349" s="122">
        <f>IFERROR(L349/$T349,0)</f>
        <v/>
      </c>
      <c r="AG349" s="122" t="n"/>
      <c r="AH349" s="122" t="n"/>
      <c r="AI349" s="122" t="n"/>
      <c r="AJ349" s="122" t="n"/>
      <c r="AK349" s="122" t="n"/>
      <c r="AL349" s="122" t="n"/>
      <c r="AM349" s="122" t="n"/>
      <c r="AN349" s="122">
        <f>SUM(Z349:AC349)</f>
        <v/>
      </c>
      <c r="AO349" s="122">
        <f>SUM(AD349:AL349)</f>
        <v/>
      </c>
      <c r="AP349" s="122">
        <f>SUM(AM349,AB349)</f>
        <v/>
      </c>
      <c r="AQ349" s="122">
        <f>SUM(AA349)</f>
        <v/>
      </c>
      <c r="AR349" s="121">
        <f>(AP349+AQ349)-3%</f>
        <v/>
      </c>
      <c r="AS349" s="122">
        <f>SUM(AO349+AM349)</f>
        <v/>
      </c>
      <c r="AT349" s="122">
        <f>SUM(AH349+AN349)</f>
        <v/>
      </c>
      <c r="AU349" s="122">
        <f>SUM(AN349+AO349)</f>
        <v/>
      </c>
      <c r="AV349" s="122">
        <f>SUM(AN349+AD349+AE349+AF349+AG349+AH349+AJ349+AK349+AL349)</f>
        <v/>
      </c>
      <c r="AW349" s="122">
        <f>SUM(AD349+AE349+AF349+AG349+AI349+AJ349+AK349+AL349)</f>
        <v/>
      </c>
    </row>
    <row r="350" ht="14.1" customHeight="1" s="259">
      <c r="A350" s="183">
        <f>A349+1</f>
        <v/>
      </c>
      <c r="B350" s="117" t="n"/>
      <c r="C350" s="119" t="n"/>
      <c r="D350" s="117" t="n"/>
      <c r="E350" s="118" t="n"/>
      <c r="F350" s="120" t="n"/>
      <c r="G350" s="118" t="n"/>
      <c r="H350" s="118" t="n"/>
      <c r="I350" s="118" t="n"/>
      <c r="J350" s="118" t="n"/>
      <c r="K350" s="118" t="n"/>
      <c r="L350" s="118" t="n"/>
      <c r="M350" s="118" t="n"/>
      <c r="N350" s="118" t="n"/>
      <c r="O350" s="118" t="n"/>
      <c r="P350" s="118" t="n"/>
      <c r="Q350" s="118" t="n"/>
      <c r="R350" s="118" t="n"/>
      <c r="S350" s="118" t="n"/>
      <c r="T350" s="117">
        <f>SUM(F350:S350)</f>
        <v/>
      </c>
      <c r="U350" s="190">
        <f>(HLOOKUP(B350,F:T,A350,FALSE)/T350)</f>
        <v/>
      </c>
      <c r="V350" s="159" t="n"/>
      <c r="W350" s="163">
        <f>YEAR(C350)</f>
        <v/>
      </c>
      <c r="X350" s="116">
        <f>MONTH(C350)</f>
        <v/>
      </c>
      <c r="Y350" s="116">
        <f>WEEKNUM(C350,21)</f>
        <v/>
      </c>
      <c r="Z350" s="122" t="n"/>
      <c r="AA350" s="122" t="n"/>
      <c r="AB350" s="122" t="n"/>
      <c r="AC350" s="122" t="n"/>
      <c r="AD350" s="122" t="n"/>
      <c r="AE350" s="122">
        <f>IFERROR(K350/$T350,0)</f>
        <v/>
      </c>
      <c r="AF350" s="122">
        <f>IFERROR(L350/$T350,0)</f>
        <v/>
      </c>
      <c r="AG350" s="122" t="n"/>
      <c r="AH350" s="122" t="n"/>
      <c r="AI350" s="122" t="n"/>
      <c r="AJ350" s="122" t="n"/>
      <c r="AK350" s="122" t="n"/>
      <c r="AL350" s="122" t="n"/>
      <c r="AM350" s="122" t="n"/>
      <c r="AN350" s="122">
        <f>SUM(Z350:AC350)</f>
        <v/>
      </c>
      <c r="AO350" s="122">
        <f>SUM(AD350:AL350)</f>
        <v/>
      </c>
      <c r="AP350" s="122">
        <f>SUM(AM350,AB350)</f>
        <v/>
      </c>
      <c r="AQ350" s="122">
        <f>SUM(AA350)</f>
        <v/>
      </c>
      <c r="AR350" s="121">
        <f>(AP350+AQ350)-3%</f>
        <v/>
      </c>
      <c r="AS350" s="122">
        <f>SUM(AO350+AM350)</f>
        <v/>
      </c>
      <c r="AT350" s="122">
        <f>SUM(AH350+AN350)</f>
        <v/>
      </c>
      <c r="AU350" s="122">
        <f>SUM(AN350+AO350)</f>
        <v/>
      </c>
      <c r="AV350" s="122">
        <f>SUM(AN350+AD350+AE350+AF350+AG350+AH350+AJ350+AK350+AL350)</f>
        <v/>
      </c>
      <c r="AW350" s="122">
        <f>SUM(AD350+AE350+AF350+AG350+AI350+AJ350+AK350+AL350)</f>
        <v/>
      </c>
    </row>
    <row r="351" ht="14.1" customHeight="1" s="259">
      <c r="A351" s="183">
        <f>A350+1</f>
        <v/>
      </c>
      <c r="B351" s="117" t="n"/>
      <c r="C351" s="119" t="n"/>
      <c r="D351" s="117" t="n"/>
      <c r="E351" s="118" t="n"/>
      <c r="F351" s="120" t="n"/>
      <c r="G351" s="118" t="n"/>
      <c r="H351" s="118" t="n"/>
      <c r="I351" s="118" t="n"/>
      <c r="J351" s="118" t="n"/>
      <c r="K351" s="118" t="n"/>
      <c r="L351" s="118" t="n"/>
      <c r="M351" s="118" t="n"/>
      <c r="N351" s="118" t="n"/>
      <c r="O351" s="118" t="n"/>
      <c r="P351" s="118" t="n"/>
      <c r="Q351" s="118" t="n"/>
      <c r="R351" s="118" t="n"/>
      <c r="S351" s="118" t="n"/>
      <c r="T351" s="117">
        <f>SUM(F351:S351)</f>
        <v/>
      </c>
      <c r="U351" s="190">
        <f>(HLOOKUP(B351,F:T,A351,FALSE)/T351)</f>
        <v/>
      </c>
      <c r="V351" s="159" t="n"/>
      <c r="W351" s="163">
        <f>YEAR(C351)</f>
        <v/>
      </c>
      <c r="X351" s="116">
        <f>MONTH(C351)</f>
        <v/>
      </c>
      <c r="Y351" s="116">
        <f>WEEKNUM(C351,21)</f>
        <v/>
      </c>
      <c r="Z351" s="122" t="n"/>
      <c r="AA351" s="122" t="n"/>
      <c r="AB351" s="122" t="n"/>
      <c r="AC351" s="122" t="n"/>
      <c r="AD351" s="122" t="n"/>
      <c r="AE351" s="122">
        <f>IFERROR(K351/$T351,0)</f>
        <v/>
      </c>
      <c r="AF351" s="122">
        <f>IFERROR(L351/$T351,0)</f>
        <v/>
      </c>
      <c r="AG351" s="122" t="n"/>
      <c r="AH351" s="122" t="n"/>
      <c r="AI351" s="122" t="n"/>
      <c r="AJ351" s="122" t="n"/>
      <c r="AK351" s="122" t="n"/>
      <c r="AL351" s="122" t="n"/>
      <c r="AM351" s="122" t="n"/>
      <c r="AN351" s="122">
        <f>SUM(Z351:AC351)</f>
        <v/>
      </c>
      <c r="AO351" s="122">
        <f>SUM(AD351:AL351)</f>
        <v/>
      </c>
      <c r="AP351" s="122">
        <f>SUM(AM351,AB351)</f>
        <v/>
      </c>
      <c r="AQ351" s="122">
        <f>SUM(AA351)</f>
        <v/>
      </c>
      <c r="AR351" s="121">
        <f>(AP351+AQ351)-3%</f>
        <v/>
      </c>
      <c r="AS351" s="122">
        <f>SUM(AO351+AM351)</f>
        <v/>
      </c>
      <c r="AT351" s="122">
        <f>SUM(AH351+AN351)</f>
        <v/>
      </c>
      <c r="AU351" s="122">
        <f>SUM(AN351+AO351)</f>
        <v/>
      </c>
      <c r="AV351" s="122">
        <f>SUM(AN351+AD351+AE351+AF351+AG351+AH351+AJ351+AK351+AL351)</f>
        <v/>
      </c>
      <c r="AW351" s="122">
        <f>SUM(AD351+AE351+AF351+AG351+AI351+AJ351+AK351+AL351)</f>
        <v/>
      </c>
    </row>
    <row r="352" ht="14.1" customHeight="1" s="259">
      <c r="A352" s="183">
        <f>A351+1</f>
        <v/>
      </c>
      <c r="B352" s="117" t="n"/>
      <c r="C352" s="119" t="n"/>
      <c r="D352" s="117" t="n"/>
      <c r="E352" s="118" t="n"/>
      <c r="F352" s="120" t="n"/>
      <c r="G352" s="118" t="n"/>
      <c r="H352" s="118" t="n"/>
      <c r="I352" s="118" t="n"/>
      <c r="J352" s="118" t="n"/>
      <c r="K352" s="118" t="n"/>
      <c r="L352" s="118" t="n"/>
      <c r="M352" s="118" t="n"/>
      <c r="N352" s="118" t="n"/>
      <c r="O352" s="118" t="n"/>
      <c r="P352" s="118" t="n"/>
      <c r="Q352" s="118" t="n"/>
      <c r="R352" s="118" t="n"/>
      <c r="S352" s="118" t="n"/>
      <c r="T352" s="117">
        <f>SUM(F352:S352)</f>
        <v/>
      </c>
      <c r="U352" s="190">
        <f>(HLOOKUP(B352,F:T,A352,FALSE)/T352)</f>
        <v/>
      </c>
      <c r="V352" s="159" t="n"/>
      <c r="W352" s="163">
        <f>YEAR(C352)</f>
        <v/>
      </c>
      <c r="X352" s="116">
        <f>MONTH(C352)</f>
        <v/>
      </c>
      <c r="Y352" s="116">
        <f>WEEKNUM(C352,21)</f>
        <v/>
      </c>
      <c r="Z352" s="122" t="n"/>
      <c r="AA352" s="122" t="n"/>
      <c r="AB352" s="122" t="n"/>
      <c r="AC352" s="122" t="n"/>
      <c r="AD352" s="122" t="n"/>
      <c r="AE352" s="122">
        <f>IFERROR(K352/$T352,0)</f>
        <v/>
      </c>
      <c r="AF352" s="122">
        <f>IFERROR(L352/$T352,0)</f>
        <v/>
      </c>
      <c r="AG352" s="122" t="n"/>
      <c r="AH352" s="122" t="n"/>
      <c r="AI352" s="122" t="n"/>
      <c r="AJ352" s="122" t="n"/>
      <c r="AK352" s="122" t="n"/>
      <c r="AL352" s="122" t="n"/>
      <c r="AM352" s="122" t="n"/>
      <c r="AN352" s="122">
        <f>SUM(Z352:AC352)</f>
        <v/>
      </c>
      <c r="AO352" s="122">
        <f>SUM(AD352:AL352)</f>
        <v/>
      </c>
      <c r="AP352" s="122">
        <f>SUM(AM352,AB352)</f>
        <v/>
      </c>
      <c r="AQ352" s="122">
        <f>SUM(AA352)</f>
        <v/>
      </c>
      <c r="AR352" s="121">
        <f>(AP352+AQ352)-3%</f>
        <v/>
      </c>
      <c r="AS352" s="122">
        <f>SUM(AO352+AM352)</f>
        <v/>
      </c>
      <c r="AT352" s="122">
        <f>SUM(AH352+AN352)</f>
        <v/>
      </c>
      <c r="AU352" s="122">
        <f>SUM(AN352+AO352)</f>
        <v/>
      </c>
      <c r="AV352" s="122">
        <f>SUM(AN352+AD352+AE352+AF352+AG352+AH352+AJ352+AK352+AL352)</f>
        <v/>
      </c>
      <c r="AW352" s="122">
        <f>SUM(AD352+AE352+AF352+AG352+AI352+AJ352+AK352+AL352)</f>
        <v/>
      </c>
    </row>
    <row r="353" ht="14.1" customHeight="1" s="259">
      <c r="A353" s="183">
        <f>A352+1</f>
        <v/>
      </c>
      <c r="B353" s="117" t="n"/>
      <c r="C353" s="119" t="n"/>
      <c r="D353" s="117" t="n"/>
      <c r="E353" s="118" t="n"/>
      <c r="F353" s="120" t="n"/>
      <c r="G353" s="118" t="n"/>
      <c r="H353" s="118" t="n"/>
      <c r="I353" s="118" t="n"/>
      <c r="J353" s="118" t="n"/>
      <c r="K353" s="118" t="n"/>
      <c r="L353" s="118" t="n"/>
      <c r="M353" s="118" t="n"/>
      <c r="N353" s="118" t="n"/>
      <c r="O353" s="118" t="n"/>
      <c r="P353" s="118" t="n"/>
      <c r="Q353" s="118" t="n"/>
      <c r="R353" s="118" t="n"/>
      <c r="S353" s="118" t="n"/>
      <c r="T353" s="117">
        <f>SUM(F353:S353)</f>
        <v/>
      </c>
      <c r="U353" s="190">
        <f>(HLOOKUP(B353,F:T,A353,FALSE)/T353)</f>
        <v/>
      </c>
      <c r="V353" s="159" t="n"/>
      <c r="W353" s="163">
        <f>YEAR(C353)</f>
        <v/>
      </c>
      <c r="X353" s="116">
        <f>MONTH(C353)</f>
        <v/>
      </c>
      <c r="Y353" s="116">
        <f>WEEKNUM(C353,21)</f>
        <v/>
      </c>
      <c r="Z353" s="122" t="n"/>
      <c r="AA353" s="122" t="n"/>
      <c r="AB353" s="122" t="n"/>
      <c r="AC353" s="122" t="n"/>
      <c r="AD353" s="122" t="n"/>
      <c r="AE353" s="122">
        <f>IFERROR(K353/$T353,0)</f>
        <v/>
      </c>
      <c r="AF353" s="122">
        <f>IFERROR(L353/$T353,0)</f>
        <v/>
      </c>
      <c r="AG353" s="122" t="n"/>
      <c r="AH353" s="122" t="n"/>
      <c r="AI353" s="122" t="n"/>
      <c r="AJ353" s="122" t="n"/>
      <c r="AK353" s="122" t="n"/>
      <c r="AL353" s="122" t="n"/>
      <c r="AM353" s="122" t="n"/>
      <c r="AN353" s="122">
        <f>SUM(Z353:AC353)</f>
        <v/>
      </c>
      <c r="AO353" s="122">
        <f>SUM(AD353:AL353)</f>
        <v/>
      </c>
      <c r="AP353" s="122">
        <f>SUM(AM353,AB353)</f>
        <v/>
      </c>
      <c r="AQ353" s="122">
        <f>SUM(AA353)</f>
        <v/>
      </c>
      <c r="AR353" s="121">
        <f>(AP353+AQ353)-3%</f>
        <v/>
      </c>
      <c r="AS353" s="122">
        <f>SUM(AO353+AM353)</f>
        <v/>
      </c>
      <c r="AT353" s="122">
        <f>SUM(AH353+AN353)</f>
        <v/>
      </c>
      <c r="AU353" s="122">
        <f>SUM(AN353+AO353)</f>
        <v/>
      </c>
      <c r="AV353" s="122">
        <f>SUM(AN353+AD353+AE353+AF353+AG353+AH353+AJ353+AK353+AL353)</f>
        <v/>
      </c>
      <c r="AW353" s="122">
        <f>SUM(AD353+AE353+AF353+AG353+AI353+AJ353+AK353+AL353)</f>
        <v/>
      </c>
    </row>
    <row r="354" ht="14.1" customHeight="1" s="259">
      <c r="A354" s="183">
        <f>A353+1</f>
        <v/>
      </c>
      <c r="B354" s="117" t="n"/>
      <c r="C354" s="119" t="n"/>
      <c r="D354" s="117" t="n"/>
      <c r="E354" s="118" t="n"/>
      <c r="F354" s="120" t="n"/>
      <c r="G354" s="118" t="n"/>
      <c r="H354" s="118" t="n"/>
      <c r="I354" s="118" t="n"/>
      <c r="J354" s="118" t="n"/>
      <c r="K354" s="118" t="n"/>
      <c r="L354" s="118" t="n"/>
      <c r="M354" s="118" t="n"/>
      <c r="N354" s="118" t="n"/>
      <c r="O354" s="118" t="n"/>
      <c r="P354" s="118" t="n"/>
      <c r="Q354" s="118" t="n"/>
      <c r="R354" s="118" t="n"/>
      <c r="S354" s="118" t="n"/>
      <c r="T354" s="117">
        <f>SUM(F354:S354)</f>
        <v/>
      </c>
      <c r="U354" s="190">
        <f>(HLOOKUP(B354,F:T,A354,FALSE)/T354)</f>
        <v/>
      </c>
      <c r="V354" s="159" t="n"/>
      <c r="W354" s="163">
        <f>YEAR(C354)</f>
        <v/>
      </c>
      <c r="X354" s="116">
        <f>MONTH(C354)</f>
        <v/>
      </c>
      <c r="Y354" s="116">
        <f>WEEKNUM(C354,21)</f>
        <v/>
      </c>
      <c r="Z354" s="122" t="n"/>
      <c r="AA354" s="122" t="n"/>
      <c r="AB354" s="122" t="n"/>
      <c r="AC354" s="122" t="n"/>
      <c r="AD354" s="122" t="n"/>
      <c r="AE354" s="122">
        <f>IFERROR(K354/$T354,0)</f>
        <v/>
      </c>
      <c r="AF354" s="122">
        <f>IFERROR(L354/$T354,0)</f>
        <v/>
      </c>
      <c r="AG354" s="122" t="n"/>
      <c r="AH354" s="122" t="n"/>
      <c r="AI354" s="122" t="n"/>
      <c r="AJ354" s="122" t="n"/>
      <c r="AK354" s="122" t="n"/>
      <c r="AL354" s="122" t="n"/>
      <c r="AM354" s="122" t="n"/>
      <c r="AN354" s="122">
        <f>SUM(Z354:AC354)</f>
        <v/>
      </c>
      <c r="AO354" s="122">
        <f>SUM(AD354:AL354)</f>
        <v/>
      </c>
      <c r="AP354" s="122">
        <f>SUM(AM354,AB354)</f>
        <v/>
      </c>
      <c r="AQ354" s="122">
        <f>SUM(AA354)</f>
        <v/>
      </c>
      <c r="AR354" s="121">
        <f>(AP354+AQ354)-3%</f>
        <v/>
      </c>
      <c r="AS354" s="122">
        <f>SUM(AO354+AM354)</f>
        <v/>
      </c>
      <c r="AT354" s="122">
        <f>SUM(AH354+AN354)</f>
        <v/>
      </c>
      <c r="AU354" s="122">
        <f>SUM(AN354+AO354)</f>
        <v/>
      </c>
      <c r="AV354" s="122">
        <f>SUM(AN354+AD354+AE354+AF354+AG354+AH354+AJ354+AK354+AL354)</f>
        <v/>
      </c>
      <c r="AW354" s="122">
        <f>SUM(AD354+AE354+AF354+AG354+AI354+AJ354+AK354+AL354)</f>
        <v/>
      </c>
    </row>
    <row r="355" ht="14.1" customHeight="1" s="259">
      <c r="A355" s="183">
        <f>A354+1</f>
        <v/>
      </c>
      <c r="B355" s="117" t="n"/>
      <c r="C355" s="119" t="n"/>
      <c r="D355" s="117" t="n"/>
      <c r="E355" s="118" t="n"/>
      <c r="F355" s="120" t="n"/>
      <c r="G355" s="118" t="n"/>
      <c r="H355" s="118" t="n"/>
      <c r="I355" s="118" t="n"/>
      <c r="J355" s="118" t="n"/>
      <c r="K355" s="118" t="n"/>
      <c r="L355" s="118" t="n"/>
      <c r="M355" s="118" t="n"/>
      <c r="N355" s="118" t="n"/>
      <c r="O355" s="118" t="n"/>
      <c r="P355" s="118" t="n"/>
      <c r="Q355" s="118" t="n"/>
      <c r="R355" s="118" t="n"/>
      <c r="S355" s="118" t="n"/>
      <c r="T355" s="117">
        <f>SUM(F355:S355)</f>
        <v/>
      </c>
      <c r="U355" s="190">
        <f>(HLOOKUP(B355,F:T,A355,FALSE)/T355)</f>
        <v/>
      </c>
      <c r="V355" s="159" t="n"/>
      <c r="W355" s="163">
        <f>YEAR(C355)</f>
        <v/>
      </c>
      <c r="X355" s="116">
        <f>MONTH(C355)</f>
        <v/>
      </c>
      <c r="Y355" s="116">
        <f>WEEKNUM(C355,21)</f>
        <v/>
      </c>
      <c r="Z355" s="122" t="n"/>
      <c r="AA355" s="122" t="n"/>
      <c r="AB355" s="122" t="n"/>
      <c r="AC355" s="122" t="n"/>
      <c r="AD355" s="122" t="n"/>
      <c r="AE355" s="122">
        <f>IFERROR(K355/$T355,0)</f>
        <v/>
      </c>
      <c r="AF355" s="122">
        <f>IFERROR(L355/$T355,0)</f>
        <v/>
      </c>
      <c r="AG355" s="122" t="n"/>
      <c r="AH355" s="122" t="n"/>
      <c r="AI355" s="122" t="n"/>
      <c r="AJ355" s="122" t="n"/>
      <c r="AK355" s="122" t="n"/>
      <c r="AL355" s="122" t="n"/>
      <c r="AM355" s="122" t="n"/>
      <c r="AN355" s="122">
        <f>SUM(Z355:AC355)</f>
        <v/>
      </c>
      <c r="AO355" s="122">
        <f>SUM(AD355:AL355)</f>
        <v/>
      </c>
      <c r="AP355" s="122">
        <f>SUM(AM355,AB355)</f>
        <v/>
      </c>
      <c r="AQ355" s="122">
        <f>SUM(AA355)</f>
        <v/>
      </c>
      <c r="AR355" s="121">
        <f>(AP355+AQ355)-3%</f>
        <v/>
      </c>
      <c r="AS355" s="122">
        <f>SUM(AO355+AM355)</f>
        <v/>
      </c>
      <c r="AT355" s="122">
        <f>SUM(AH355+AN355)</f>
        <v/>
      </c>
      <c r="AU355" s="122">
        <f>SUM(AN355+AO355)</f>
        <v/>
      </c>
      <c r="AV355" s="122">
        <f>SUM(AN355+AD355+AE355+AF355+AG355+AH355+AJ355+AK355+AL355)</f>
        <v/>
      </c>
      <c r="AW355" s="122">
        <f>SUM(AD355+AE355+AF355+AG355+AI355+AJ355+AK355+AL355)</f>
        <v/>
      </c>
    </row>
    <row r="356" ht="14.1" customHeight="1" s="259">
      <c r="A356" s="183">
        <f>A355+1</f>
        <v/>
      </c>
      <c r="B356" s="117" t="n"/>
      <c r="C356" s="119" t="n"/>
      <c r="D356" s="117" t="n"/>
      <c r="E356" s="118" t="n"/>
      <c r="F356" s="120" t="n"/>
      <c r="G356" s="118" t="n"/>
      <c r="H356" s="118" t="n"/>
      <c r="I356" s="118" t="n"/>
      <c r="J356" s="118" t="n"/>
      <c r="K356" s="118" t="n"/>
      <c r="L356" s="118" t="n"/>
      <c r="M356" s="118" t="n"/>
      <c r="N356" s="118" t="n"/>
      <c r="O356" s="118" t="n"/>
      <c r="P356" s="118" t="n"/>
      <c r="Q356" s="118" t="n"/>
      <c r="R356" s="118" t="n"/>
      <c r="S356" s="118" t="n"/>
      <c r="T356" s="117">
        <f>SUM(F356:S356)</f>
        <v/>
      </c>
      <c r="U356" s="190">
        <f>(HLOOKUP(B356,F:T,A356,FALSE)/T356)</f>
        <v/>
      </c>
      <c r="V356" s="159" t="n"/>
      <c r="W356" s="163">
        <f>YEAR(C356)</f>
        <v/>
      </c>
      <c r="X356" s="116">
        <f>MONTH(C356)</f>
        <v/>
      </c>
      <c r="Y356" s="116">
        <f>WEEKNUM(C356,21)</f>
        <v/>
      </c>
      <c r="Z356" s="122" t="n"/>
      <c r="AA356" s="122" t="n"/>
      <c r="AB356" s="122" t="n"/>
      <c r="AC356" s="122" t="n"/>
      <c r="AD356" s="122" t="n"/>
      <c r="AE356" s="122">
        <f>IFERROR(K356/$T356,0)</f>
        <v/>
      </c>
      <c r="AF356" s="122">
        <f>IFERROR(L356/$T356,0)</f>
        <v/>
      </c>
      <c r="AG356" s="122" t="n"/>
      <c r="AH356" s="122" t="n"/>
      <c r="AI356" s="122" t="n"/>
      <c r="AJ356" s="122" t="n"/>
      <c r="AK356" s="122" t="n"/>
      <c r="AL356" s="122" t="n"/>
      <c r="AM356" s="122" t="n"/>
      <c r="AN356" s="122">
        <f>SUM(Z356:AC356)</f>
        <v/>
      </c>
      <c r="AO356" s="122">
        <f>SUM(AD356:AL356)</f>
        <v/>
      </c>
      <c r="AP356" s="122">
        <f>SUM(AM356,AB356)</f>
        <v/>
      </c>
      <c r="AQ356" s="122">
        <f>SUM(AA356)</f>
        <v/>
      </c>
      <c r="AR356" s="121">
        <f>(AP356+AQ356)-3%</f>
        <v/>
      </c>
      <c r="AS356" s="122">
        <f>SUM(AO356+AM356)</f>
        <v/>
      </c>
      <c r="AT356" s="122">
        <f>SUM(AH356+AN356)</f>
        <v/>
      </c>
      <c r="AU356" s="122">
        <f>SUM(AN356+AO356)</f>
        <v/>
      </c>
      <c r="AV356" s="122">
        <f>SUM(AN356+AD356+AE356+AF356+AG356+AH356+AJ356+AK356+AL356)</f>
        <v/>
      </c>
      <c r="AW356" s="122">
        <f>SUM(AD356+AE356+AF356+AG356+AI356+AJ356+AK356+AL356)</f>
        <v/>
      </c>
    </row>
    <row r="357" ht="14.1" customHeight="1" s="259">
      <c r="A357" s="183">
        <f>A356+1</f>
        <v/>
      </c>
      <c r="B357" s="117" t="n"/>
      <c r="C357" s="119" t="n"/>
      <c r="D357" s="117" t="n"/>
      <c r="E357" s="118" t="n"/>
      <c r="F357" s="120" t="n"/>
      <c r="G357" s="118" t="n"/>
      <c r="H357" s="118" t="n"/>
      <c r="I357" s="118" t="n"/>
      <c r="J357" s="118" t="n"/>
      <c r="K357" s="118" t="n"/>
      <c r="L357" s="118" t="n"/>
      <c r="M357" s="118" t="n"/>
      <c r="N357" s="118" t="n"/>
      <c r="O357" s="118" t="n"/>
      <c r="P357" s="118" t="n"/>
      <c r="Q357" s="118" t="n"/>
      <c r="R357" s="118" t="n"/>
      <c r="S357" s="118" t="n"/>
      <c r="T357" s="117">
        <f>SUM(F357:S357)</f>
        <v/>
      </c>
      <c r="U357" s="190">
        <f>(HLOOKUP(B357,F:T,A357,FALSE)/T357)</f>
        <v/>
      </c>
      <c r="V357" s="159" t="n"/>
      <c r="W357" s="163">
        <f>YEAR(C357)</f>
        <v/>
      </c>
      <c r="X357" s="116">
        <f>MONTH(C357)</f>
        <v/>
      </c>
      <c r="Y357" s="116">
        <f>WEEKNUM(C357,21)</f>
        <v/>
      </c>
      <c r="Z357" s="122" t="n"/>
      <c r="AA357" s="122" t="n"/>
      <c r="AB357" s="122" t="n"/>
      <c r="AC357" s="122" t="n"/>
      <c r="AD357" s="122" t="n"/>
      <c r="AE357" s="122">
        <f>IFERROR(K357/$T357,0)</f>
        <v/>
      </c>
      <c r="AF357" s="122">
        <f>IFERROR(L357/$T357,0)</f>
        <v/>
      </c>
      <c r="AG357" s="122" t="n"/>
      <c r="AH357" s="122" t="n"/>
      <c r="AI357" s="122" t="n"/>
      <c r="AJ357" s="122" t="n"/>
      <c r="AK357" s="122" t="n"/>
      <c r="AL357" s="122" t="n"/>
      <c r="AM357" s="122" t="n"/>
      <c r="AN357" s="122">
        <f>SUM(Z357:AC357)</f>
        <v/>
      </c>
      <c r="AO357" s="122">
        <f>SUM(AD357:AL357)</f>
        <v/>
      </c>
      <c r="AP357" s="122">
        <f>SUM(AM357,AB357)</f>
        <v/>
      </c>
      <c r="AQ357" s="122">
        <f>SUM(AA357)</f>
        <v/>
      </c>
      <c r="AR357" s="121">
        <f>(AP357+AQ357)-3%</f>
        <v/>
      </c>
      <c r="AS357" s="122">
        <f>SUM(AO357+AM357)</f>
        <v/>
      </c>
      <c r="AT357" s="122">
        <f>SUM(AH357+AN357)</f>
        <v/>
      </c>
      <c r="AU357" s="122">
        <f>SUM(AN357+AO357)</f>
        <v/>
      </c>
      <c r="AV357" s="122">
        <f>SUM(AN357+AD357+AE357+AF357+AG357+AH357+AJ357+AK357+AL357)</f>
        <v/>
      </c>
      <c r="AW357" s="122">
        <f>SUM(AD357+AE357+AF357+AG357+AI357+AJ357+AK357+AL357)</f>
        <v/>
      </c>
    </row>
    <row r="358" ht="14.1" customHeight="1" s="259">
      <c r="A358" s="183">
        <f>A357+1</f>
        <v/>
      </c>
      <c r="B358" s="117" t="n"/>
      <c r="C358" s="119" t="n"/>
      <c r="D358" s="117" t="n"/>
      <c r="E358" s="118" t="n"/>
      <c r="F358" s="120" t="n"/>
      <c r="G358" s="118" t="n"/>
      <c r="H358" s="118" t="n"/>
      <c r="I358" s="118" t="n"/>
      <c r="J358" s="118" t="n"/>
      <c r="K358" s="118" t="n"/>
      <c r="L358" s="118" t="n"/>
      <c r="M358" s="118" t="n"/>
      <c r="N358" s="118" t="n"/>
      <c r="O358" s="118" t="n"/>
      <c r="P358" s="118" t="n"/>
      <c r="Q358" s="118" t="n"/>
      <c r="R358" s="118" t="n"/>
      <c r="S358" s="118" t="n"/>
      <c r="T358" s="117">
        <f>SUM(F358:S358)</f>
        <v/>
      </c>
      <c r="U358" s="190">
        <f>(HLOOKUP(B358,F:T,A358,FALSE)/T358)</f>
        <v/>
      </c>
      <c r="V358" s="159" t="n"/>
      <c r="W358" s="163">
        <f>YEAR(C358)</f>
        <v/>
      </c>
      <c r="X358" s="116">
        <f>MONTH(C358)</f>
        <v/>
      </c>
      <c r="Y358" s="116">
        <f>WEEKNUM(C358,21)</f>
        <v/>
      </c>
      <c r="Z358" s="122" t="n"/>
      <c r="AA358" s="122" t="n"/>
      <c r="AB358" s="122" t="n"/>
      <c r="AC358" s="122" t="n"/>
      <c r="AD358" s="122" t="n"/>
      <c r="AE358" s="122">
        <f>IFERROR(K358/$T358,0)</f>
        <v/>
      </c>
      <c r="AF358" s="122">
        <f>IFERROR(L358/$T358,0)</f>
        <v/>
      </c>
      <c r="AG358" s="122" t="n"/>
      <c r="AH358" s="122" t="n"/>
      <c r="AI358" s="122" t="n"/>
      <c r="AJ358" s="122" t="n"/>
      <c r="AK358" s="122" t="n"/>
      <c r="AL358" s="122" t="n"/>
      <c r="AM358" s="122" t="n"/>
      <c r="AN358" s="122">
        <f>SUM(Z358:AC358)</f>
        <v/>
      </c>
      <c r="AO358" s="122">
        <f>SUM(AD358:AL358)</f>
        <v/>
      </c>
      <c r="AP358" s="122">
        <f>SUM(AM358,AB358)</f>
        <v/>
      </c>
      <c r="AQ358" s="122">
        <f>SUM(AA358)</f>
        <v/>
      </c>
      <c r="AR358" s="121">
        <f>(AP358+AQ358)-3%</f>
        <v/>
      </c>
      <c r="AS358" s="122">
        <f>SUM(AO358+AM358)</f>
        <v/>
      </c>
      <c r="AT358" s="122">
        <f>SUM(AH358+AN358)</f>
        <v/>
      </c>
      <c r="AU358" s="122">
        <f>SUM(AN358+AO358)</f>
        <v/>
      </c>
      <c r="AV358" s="122">
        <f>SUM(AN358+AD358+AE358+AF358+AG358+AH358+AJ358+AK358+AL358)</f>
        <v/>
      </c>
      <c r="AW358" s="122">
        <f>SUM(AD358+AE358+AF358+AG358+AI358+AJ358+AK358+AL358)</f>
        <v/>
      </c>
    </row>
    <row r="359" ht="14.1" customHeight="1" s="259">
      <c r="A359" s="183">
        <f>A358+1</f>
        <v/>
      </c>
      <c r="B359" s="117" t="n"/>
      <c r="C359" s="119" t="n"/>
      <c r="D359" s="117" t="n"/>
      <c r="E359" s="118" t="n"/>
      <c r="F359" s="120" t="n"/>
      <c r="G359" s="118" t="n"/>
      <c r="H359" s="118" t="n"/>
      <c r="I359" s="118" t="n"/>
      <c r="J359" s="118" t="n"/>
      <c r="K359" s="118" t="n"/>
      <c r="L359" s="118" t="n"/>
      <c r="M359" s="118" t="n"/>
      <c r="N359" s="118" t="n"/>
      <c r="O359" s="118" t="n"/>
      <c r="P359" s="118" t="n"/>
      <c r="Q359" s="118" t="n"/>
      <c r="R359" s="118" t="n"/>
      <c r="S359" s="118" t="n"/>
      <c r="T359" s="117">
        <f>SUM(F359:S359)</f>
        <v/>
      </c>
      <c r="U359" s="190">
        <f>(HLOOKUP(B359,F:T,A359,FALSE)/T359)</f>
        <v/>
      </c>
      <c r="V359" s="159" t="n"/>
      <c r="W359" s="163">
        <f>YEAR(C359)</f>
        <v/>
      </c>
      <c r="X359" s="116">
        <f>MONTH(C359)</f>
        <v/>
      </c>
      <c r="Y359" s="116">
        <f>WEEKNUM(C359,21)</f>
        <v/>
      </c>
      <c r="Z359" s="122" t="n"/>
      <c r="AA359" s="122" t="n"/>
      <c r="AB359" s="122" t="n"/>
      <c r="AC359" s="122" t="n"/>
      <c r="AD359" s="122" t="n"/>
      <c r="AE359" s="122">
        <f>IFERROR(K359/$T359,0)</f>
        <v/>
      </c>
      <c r="AF359" s="122">
        <f>IFERROR(L359/$T359,0)</f>
        <v/>
      </c>
      <c r="AG359" s="122" t="n"/>
      <c r="AH359" s="122" t="n"/>
      <c r="AI359" s="122" t="n"/>
      <c r="AJ359" s="122" t="n"/>
      <c r="AK359" s="122" t="n"/>
      <c r="AL359" s="122" t="n"/>
      <c r="AM359" s="122" t="n"/>
      <c r="AN359" s="122">
        <f>SUM(Z359:AC359)</f>
        <v/>
      </c>
      <c r="AO359" s="122">
        <f>SUM(AD359:AL359)</f>
        <v/>
      </c>
      <c r="AP359" s="122">
        <f>SUM(AM359,AB359)</f>
        <v/>
      </c>
      <c r="AQ359" s="122">
        <f>SUM(AA359)</f>
        <v/>
      </c>
      <c r="AR359" s="121">
        <f>(AP359+AQ359)-3%</f>
        <v/>
      </c>
      <c r="AS359" s="122">
        <f>SUM(AO359+AM359)</f>
        <v/>
      </c>
      <c r="AT359" s="122">
        <f>SUM(AH359+AN359)</f>
        <v/>
      </c>
      <c r="AU359" s="122">
        <f>SUM(AN359+AO359)</f>
        <v/>
      </c>
      <c r="AV359" s="122">
        <f>SUM(AN359+AD359+AE359+AF359+AG359+AH359+AJ359+AK359+AL359)</f>
        <v/>
      </c>
      <c r="AW359" s="122">
        <f>SUM(AD359+AE359+AF359+AG359+AI359+AJ359+AK359+AL359)</f>
        <v/>
      </c>
    </row>
    <row r="360" ht="14.1" customHeight="1" s="259">
      <c r="A360" s="183">
        <f>A359+1</f>
        <v/>
      </c>
      <c r="B360" s="117" t="n"/>
      <c r="C360" s="119" t="n"/>
      <c r="D360" s="117" t="n"/>
      <c r="E360" s="118" t="n"/>
      <c r="F360" s="120" t="n"/>
      <c r="G360" s="118" t="n"/>
      <c r="H360" s="118" t="n"/>
      <c r="I360" s="118" t="n"/>
      <c r="J360" s="118" t="n"/>
      <c r="K360" s="118" t="n"/>
      <c r="L360" s="118" t="n"/>
      <c r="M360" s="118" t="n"/>
      <c r="N360" s="118" t="n"/>
      <c r="O360" s="118" t="n"/>
      <c r="P360" s="118" t="n"/>
      <c r="Q360" s="118" t="n"/>
      <c r="R360" s="118" t="n"/>
      <c r="S360" s="118" t="n"/>
      <c r="T360" s="117">
        <f>SUM(F360:S360)</f>
        <v/>
      </c>
      <c r="U360" s="190">
        <f>(HLOOKUP(B360,F:T,A360,FALSE)/T360)</f>
        <v/>
      </c>
      <c r="V360" s="159" t="n"/>
      <c r="W360" s="163">
        <f>YEAR(C360)</f>
        <v/>
      </c>
      <c r="X360" s="116">
        <f>MONTH(C360)</f>
        <v/>
      </c>
      <c r="Y360" s="116">
        <f>WEEKNUM(C360,21)</f>
        <v/>
      </c>
      <c r="Z360" s="122" t="n"/>
      <c r="AA360" s="122" t="n"/>
      <c r="AB360" s="122" t="n"/>
      <c r="AC360" s="122" t="n"/>
      <c r="AD360" s="122" t="n"/>
      <c r="AE360" s="122">
        <f>IFERROR(K360/$T360,0)</f>
        <v/>
      </c>
      <c r="AF360" s="122">
        <f>IFERROR(L360/$T360,0)</f>
        <v/>
      </c>
      <c r="AG360" s="122" t="n"/>
      <c r="AH360" s="122" t="n"/>
      <c r="AI360" s="122" t="n"/>
      <c r="AJ360" s="122" t="n"/>
      <c r="AK360" s="122" t="n"/>
      <c r="AL360" s="122" t="n"/>
      <c r="AM360" s="122" t="n"/>
      <c r="AN360" s="122">
        <f>SUM(Z360:AC360)</f>
        <v/>
      </c>
      <c r="AO360" s="122">
        <f>SUM(AD360:AL360)</f>
        <v/>
      </c>
      <c r="AP360" s="122">
        <f>SUM(AM360,AB360)</f>
        <v/>
      </c>
      <c r="AQ360" s="122">
        <f>SUM(AA360)</f>
        <v/>
      </c>
      <c r="AR360" s="121">
        <f>(AP360+AQ360)-3%</f>
        <v/>
      </c>
      <c r="AS360" s="122">
        <f>SUM(AO360+AM360)</f>
        <v/>
      </c>
      <c r="AT360" s="122">
        <f>SUM(AH360+AN360)</f>
        <v/>
      </c>
      <c r="AU360" s="122">
        <f>SUM(AN360+AO360)</f>
        <v/>
      </c>
      <c r="AV360" s="122">
        <f>SUM(AN360+AD360+AE360+AF360+AG360+AH360+AJ360+AK360+AL360)</f>
        <v/>
      </c>
      <c r="AW360" s="122">
        <f>SUM(AD360+AE360+AF360+AG360+AI360+AJ360+AK360+AL360)</f>
        <v/>
      </c>
    </row>
    <row r="361" ht="14.1" customHeight="1" s="259">
      <c r="A361" s="183">
        <f>A360+1</f>
        <v/>
      </c>
      <c r="B361" s="117" t="n"/>
      <c r="C361" s="119" t="n"/>
      <c r="D361" s="117" t="n"/>
      <c r="E361" s="118" t="n"/>
      <c r="F361" s="120" t="n"/>
      <c r="G361" s="118" t="n"/>
      <c r="H361" s="118" t="n"/>
      <c r="I361" s="118" t="n"/>
      <c r="J361" s="118" t="n"/>
      <c r="K361" s="118" t="n"/>
      <c r="L361" s="118" t="n"/>
      <c r="M361" s="118" t="n"/>
      <c r="N361" s="118" t="n"/>
      <c r="O361" s="118" t="n"/>
      <c r="P361" s="118" t="n"/>
      <c r="Q361" s="118" t="n"/>
      <c r="R361" s="118" t="n"/>
      <c r="S361" s="118" t="n"/>
      <c r="T361" s="117">
        <f>SUM(F361:S361)</f>
        <v/>
      </c>
      <c r="U361" s="190">
        <f>(HLOOKUP(B361,F:T,A361,FALSE)/T361)</f>
        <v/>
      </c>
      <c r="V361" s="159" t="n"/>
      <c r="W361" s="163">
        <f>YEAR(C361)</f>
        <v/>
      </c>
      <c r="X361" s="116">
        <f>MONTH(C361)</f>
        <v/>
      </c>
      <c r="Y361" s="116">
        <f>WEEKNUM(C361,21)</f>
        <v/>
      </c>
      <c r="Z361" s="122" t="n"/>
      <c r="AA361" s="122" t="n"/>
      <c r="AB361" s="122" t="n"/>
      <c r="AC361" s="122" t="n"/>
      <c r="AD361" s="122" t="n"/>
      <c r="AE361" s="122">
        <f>IFERROR(K361/$T361,0)</f>
        <v/>
      </c>
      <c r="AF361" s="122">
        <f>IFERROR(L361/$T361,0)</f>
        <v/>
      </c>
      <c r="AG361" s="122" t="n"/>
      <c r="AH361" s="122" t="n"/>
      <c r="AI361" s="122" t="n"/>
      <c r="AJ361" s="122" t="n"/>
      <c r="AK361" s="122" t="n"/>
      <c r="AL361" s="122" t="n"/>
      <c r="AM361" s="122" t="n"/>
      <c r="AN361" s="122">
        <f>SUM(Z361:AC361)</f>
        <v/>
      </c>
      <c r="AO361" s="122">
        <f>SUM(AD361:AL361)</f>
        <v/>
      </c>
      <c r="AP361" s="122">
        <f>SUM(AM361,AB361)</f>
        <v/>
      </c>
      <c r="AQ361" s="122">
        <f>SUM(AA361)</f>
        <v/>
      </c>
      <c r="AR361" s="121">
        <f>(AP361+AQ361)-3%</f>
        <v/>
      </c>
      <c r="AS361" s="122">
        <f>SUM(AO361+AM361)</f>
        <v/>
      </c>
      <c r="AT361" s="122">
        <f>SUM(AH361+AN361)</f>
        <v/>
      </c>
      <c r="AU361" s="122">
        <f>SUM(AN361+AO361)</f>
        <v/>
      </c>
      <c r="AV361" s="122">
        <f>SUM(AN361+AD361+AE361+AF361+AG361+AH361+AJ361+AK361+AL361)</f>
        <v/>
      </c>
      <c r="AW361" s="122">
        <f>SUM(AD361+AE361+AF361+AG361+AI361+AJ361+AK361+AL361)</f>
        <v/>
      </c>
    </row>
    <row r="362" ht="14.1" customHeight="1" s="259">
      <c r="A362" s="183">
        <f>A361+1</f>
        <v/>
      </c>
      <c r="B362" s="117" t="n"/>
      <c r="C362" s="119" t="n"/>
      <c r="D362" s="117" t="n"/>
      <c r="E362" s="118" t="n"/>
      <c r="F362" s="120" t="n"/>
      <c r="G362" s="118" t="n"/>
      <c r="H362" s="118" t="n"/>
      <c r="I362" s="118" t="n"/>
      <c r="J362" s="118" t="n"/>
      <c r="K362" s="118" t="n"/>
      <c r="L362" s="118" t="n"/>
      <c r="M362" s="118" t="n"/>
      <c r="N362" s="118" t="n"/>
      <c r="O362" s="118" t="n"/>
      <c r="P362" s="118" t="n"/>
      <c r="Q362" s="118" t="n"/>
      <c r="R362" s="118" t="n"/>
      <c r="S362" s="118" t="n"/>
      <c r="T362" s="117">
        <f>SUM(F362:S362)</f>
        <v/>
      </c>
      <c r="U362" s="190">
        <f>(HLOOKUP(B362,F:T,A362,FALSE)/T362)</f>
        <v/>
      </c>
      <c r="V362" s="159" t="n"/>
      <c r="W362" s="163">
        <f>YEAR(C362)</f>
        <v/>
      </c>
      <c r="X362" s="116">
        <f>MONTH(C362)</f>
        <v/>
      </c>
      <c r="Y362" s="116">
        <f>WEEKNUM(C362,21)</f>
        <v/>
      </c>
      <c r="Z362" s="122" t="n"/>
      <c r="AA362" s="122" t="n"/>
      <c r="AB362" s="122" t="n"/>
      <c r="AC362" s="122" t="n"/>
      <c r="AD362" s="122" t="n"/>
      <c r="AE362" s="122">
        <f>IFERROR(K362/$T362,0)</f>
        <v/>
      </c>
      <c r="AF362" s="122">
        <f>IFERROR(L362/$T362,0)</f>
        <v/>
      </c>
      <c r="AG362" s="122" t="n"/>
      <c r="AH362" s="122" t="n"/>
      <c r="AI362" s="122" t="n"/>
      <c r="AJ362" s="122" t="n"/>
      <c r="AK362" s="122" t="n"/>
      <c r="AL362" s="122" t="n"/>
      <c r="AM362" s="122" t="n"/>
      <c r="AN362" s="122">
        <f>SUM(Z362:AC362)</f>
        <v/>
      </c>
      <c r="AO362" s="122">
        <f>SUM(AD362:AL362)</f>
        <v/>
      </c>
      <c r="AP362" s="122">
        <f>SUM(AM362,AB362)</f>
        <v/>
      </c>
      <c r="AQ362" s="122">
        <f>SUM(AA362)</f>
        <v/>
      </c>
      <c r="AR362" s="121">
        <f>(AP362+AQ362)-3%</f>
        <v/>
      </c>
      <c r="AS362" s="122">
        <f>SUM(AO362+AM362)</f>
        <v/>
      </c>
      <c r="AT362" s="122">
        <f>SUM(AH362+AN362)</f>
        <v/>
      </c>
      <c r="AU362" s="122">
        <f>SUM(AN362+AO362)</f>
        <v/>
      </c>
      <c r="AV362" s="122">
        <f>SUM(AN362+AD362+AE362+AF362+AG362+AH362+AJ362+AK362+AL362)</f>
        <v/>
      </c>
      <c r="AW362" s="122">
        <f>SUM(AD362+AE362+AF362+AG362+AI362+AJ362+AK362+AL362)</f>
        <v/>
      </c>
    </row>
    <row r="363" ht="14.1" customHeight="1" s="259">
      <c r="A363" s="183">
        <f>A362+1</f>
        <v/>
      </c>
      <c r="B363" s="117" t="n"/>
      <c r="C363" s="119" t="n"/>
      <c r="D363" s="117" t="n"/>
      <c r="E363" s="118" t="n"/>
      <c r="F363" s="120" t="n"/>
      <c r="G363" s="118" t="n"/>
      <c r="H363" s="118" t="n"/>
      <c r="I363" s="118" t="n"/>
      <c r="J363" s="118" t="n"/>
      <c r="K363" s="118" t="n"/>
      <c r="L363" s="118" t="n"/>
      <c r="M363" s="118" t="n"/>
      <c r="N363" s="118" t="n"/>
      <c r="O363" s="118" t="n"/>
      <c r="P363" s="118" t="n"/>
      <c r="Q363" s="118" t="n"/>
      <c r="R363" s="118" t="n"/>
      <c r="S363" s="118" t="n"/>
      <c r="T363" s="117">
        <f>SUM(F363:S363)</f>
        <v/>
      </c>
      <c r="U363" s="190">
        <f>(HLOOKUP(B363,F:T,A363,FALSE)/T363)</f>
        <v/>
      </c>
      <c r="V363" s="159" t="n"/>
      <c r="W363" s="163">
        <f>YEAR(C363)</f>
        <v/>
      </c>
      <c r="X363" s="116">
        <f>MONTH(C363)</f>
        <v/>
      </c>
      <c r="Y363" s="116">
        <f>WEEKNUM(C363,21)</f>
        <v/>
      </c>
      <c r="Z363" s="122" t="n"/>
      <c r="AA363" s="122" t="n"/>
      <c r="AB363" s="122" t="n"/>
      <c r="AC363" s="122" t="n"/>
      <c r="AD363" s="122" t="n"/>
      <c r="AE363" s="122">
        <f>IFERROR(K363/$T363,0)</f>
        <v/>
      </c>
      <c r="AF363" s="122">
        <f>IFERROR(L363/$T363,0)</f>
        <v/>
      </c>
      <c r="AG363" s="122" t="n"/>
      <c r="AH363" s="122" t="n"/>
      <c r="AI363" s="122" t="n"/>
      <c r="AJ363" s="122" t="n"/>
      <c r="AK363" s="122" t="n"/>
      <c r="AL363" s="122" t="n"/>
      <c r="AM363" s="122" t="n"/>
      <c r="AN363" s="122">
        <f>SUM(Z363:AC363)</f>
        <v/>
      </c>
      <c r="AO363" s="122">
        <f>SUM(AD363:AL363)</f>
        <v/>
      </c>
      <c r="AP363" s="122">
        <f>SUM(AM363,AB363)</f>
        <v/>
      </c>
      <c r="AQ363" s="122">
        <f>SUM(AA363)</f>
        <v/>
      </c>
      <c r="AR363" s="121">
        <f>(AP363+AQ363)-3%</f>
        <v/>
      </c>
      <c r="AS363" s="122">
        <f>SUM(AO363+AM363)</f>
        <v/>
      </c>
      <c r="AT363" s="122">
        <f>SUM(AH363+AN363)</f>
        <v/>
      </c>
      <c r="AU363" s="122">
        <f>SUM(AN363+AO363)</f>
        <v/>
      </c>
      <c r="AV363" s="122">
        <f>SUM(AN363+AD363+AE363+AF363+AG363+AH363+AJ363+AK363+AL363)</f>
        <v/>
      </c>
      <c r="AW363" s="122">
        <f>SUM(AD363+AE363+AF363+AG363+AI363+AJ363+AK363+AL363)</f>
        <v/>
      </c>
    </row>
    <row r="364" ht="14.1" customHeight="1" s="259">
      <c r="A364" s="183">
        <f>A363+1</f>
        <v/>
      </c>
      <c r="B364" s="117" t="n"/>
      <c r="C364" s="119" t="n"/>
      <c r="D364" s="117" t="n"/>
      <c r="E364" s="118" t="n"/>
      <c r="F364" s="120" t="n"/>
      <c r="G364" s="118" t="n"/>
      <c r="H364" s="118" t="n"/>
      <c r="I364" s="118" t="n"/>
      <c r="J364" s="118" t="n"/>
      <c r="K364" s="118" t="n"/>
      <c r="L364" s="118" t="n"/>
      <c r="M364" s="118" t="n"/>
      <c r="N364" s="118" t="n"/>
      <c r="O364" s="118" t="n"/>
      <c r="P364" s="118" t="n"/>
      <c r="Q364" s="118" t="n"/>
      <c r="R364" s="118" t="n"/>
      <c r="S364" s="118" t="n"/>
      <c r="T364" s="117">
        <f>SUM(F364:S364)</f>
        <v/>
      </c>
      <c r="U364" s="190">
        <f>(HLOOKUP(B364,F:T,A364,FALSE)/T364)</f>
        <v/>
      </c>
      <c r="V364" s="159" t="n"/>
      <c r="W364" s="163">
        <f>YEAR(C364)</f>
        <v/>
      </c>
      <c r="X364" s="116">
        <f>MONTH(C364)</f>
        <v/>
      </c>
      <c r="Y364" s="116">
        <f>WEEKNUM(C364,21)</f>
        <v/>
      </c>
      <c r="Z364" s="122" t="n"/>
      <c r="AA364" s="122" t="n"/>
      <c r="AB364" s="122" t="n"/>
      <c r="AC364" s="122" t="n"/>
      <c r="AD364" s="122" t="n"/>
      <c r="AE364" s="122">
        <f>IFERROR(K364/$T364,0)</f>
        <v/>
      </c>
      <c r="AF364" s="122">
        <f>IFERROR(L364/$T364,0)</f>
        <v/>
      </c>
      <c r="AG364" s="122" t="n"/>
      <c r="AH364" s="122" t="n"/>
      <c r="AI364" s="122" t="n"/>
      <c r="AJ364" s="122" t="n"/>
      <c r="AK364" s="122" t="n"/>
      <c r="AL364" s="122" t="n"/>
      <c r="AM364" s="122" t="n"/>
      <c r="AN364" s="122">
        <f>SUM(Z364:AC364)</f>
        <v/>
      </c>
      <c r="AO364" s="122">
        <f>SUM(AD364:AL364)</f>
        <v/>
      </c>
      <c r="AP364" s="122">
        <f>SUM(AM364,AB364)</f>
        <v/>
      </c>
      <c r="AQ364" s="122">
        <f>SUM(AA364)</f>
        <v/>
      </c>
      <c r="AR364" s="121">
        <f>(AP364+AQ364)-3%</f>
        <v/>
      </c>
      <c r="AS364" s="122">
        <f>SUM(AO364+AM364)</f>
        <v/>
      </c>
      <c r="AT364" s="122">
        <f>SUM(AH364+AN364)</f>
        <v/>
      </c>
      <c r="AU364" s="122">
        <f>SUM(AN364+AO364)</f>
        <v/>
      </c>
      <c r="AV364" s="122">
        <f>SUM(AN364+AD364+AE364+AF364+AG364+AH364+AJ364+AK364+AL364)</f>
        <v/>
      </c>
      <c r="AW364" s="122">
        <f>SUM(AD364+AE364+AF364+AG364+AI364+AJ364+AK364+AL364)</f>
        <v/>
      </c>
    </row>
    <row r="365" ht="14.1" customHeight="1" s="259">
      <c r="A365" s="183">
        <f>A364+1</f>
        <v/>
      </c>
      <c r="B365" s="117" t="n"/>
      <c r="C365" s="119" t="n"/>
      <c r="D365" s="117" t="n"/>
      <c r="E365" s="118" t="n"/>
      <c r="F365" s="120" t="n"/>
      <c r="G365" s="118" t="n"/>
      <c r="H365" s="118" t="n"/>
      <c r="I365" s="118" t="n"/>
      <c r="J365" s="118" t="n"/>
      <c r="K365" s="118" t="n"/>
      <c r="L365" s="118" t="n"/>
      <c r="M365" s="118" t="n"/>
      <c r="N365" s="118" t="n"/>
      <c r="O365" s="118" t="n"/>
      <c r="P365" s="118" t="n"/>
      <c r="Q365" s="118" t="n"/>
      <c r="R365" s="118" t="n"/>
      <c r="S365" s="118" t="n"/>
      <c r="T365" s="117">
        <f>SUM(F365:S365)</f>
        <v/>
      </c>
      <c r="U365" s="190">
        <f>(HLOOKUP(B365,F:T,A365,FALSE)/T365)</f>
        <v/>
      </c>
      <c r="V365" s="159" t="n"/>
      <c r="W365" s="163">
        <f>YEAR(C365)</f>
        <v/>
      </c>
      <c r="X365" s="116">
        <f>MONTH(C365)</f>
        <v/>
      </c>
      <c r="Y365" s="116">
        <f>WEEKNUM(C365,21)</f>
        <v/>
      </c>
      <c r="Z365" s="122" t="n"/>
      <c r="AA365" s="122" t="n"/>
      <c r="AB365" s="122" t="n"/>
      <c r="AC365" s="122" t="n"/>
      <c r="AD365" s="122" t="n"/>
      <c r="AE365" s="122">
        <f>IFERROR(K365/$T365,0)</f>
        <v/>
      </c>
      <c r="AF365" s="122">
        <f>IFERROR(L365/$T365,0)</f>
        <v/>
      </c>
      <c r="AG365" s="122" t="n"/>
      <c r="AH365" s="122" t="n"/>
      <c r="AI365" s="122" t="n"/>
      <c r="AJ365" s="122" t="n"/>
      <c r="AK365" s="122" t="n"/>
      <c r="AL365" s="122" t="n"/>
      <c r="AM365" s="122" t="n"/>
      <c r="AN365" s="122">
        <f>SUM(Z365:AC365)</f>
        <v/>
      </c>
      <c r="AO365" s="122">
        <f>SUM(AD365:AL365)</f>
        <v/>
      </c>
      <c r="AP365" s="122">
        <f>SUM(AM365,AB365)</f>
        <v/>
      </c>
      <c r="AQ365" s="122">
        <f>SUM(AA365)</f>
        <v/>
      </c>
      <c r="AR365" s="121">
        <f>(AP365+AQ365)-3%</f>
        <v/>
      </c>
      <c r="AS365" s="122">
        <f>SUM(AO365+AM365)</f>
        <v/>
      </c>
      <c r="AT365" s="122">
        <f>SUM(AH365+AN365)</f>
        <v/>
      </c>
      <c r="AU365" s="122">
        <f>SUM(AN365+AO365)</f>
        <v/>
      </c>
      <c r="AV365" s="122">
        <f>SUM(AN365+AD365+AE365+AF365+AG365+AH365+AJ365+AK365+AL365)</f>
        <v/>
      </c>
      <c r="AW365" s="122">
        <f>SUM(AD365+AE365+AF365+AG365+AI365+AJ365+AK365+AL365)</f>
        <v/>
      </c>
    </row>
    <row r="366" ht="14.1" customHeight="1" s="259">
      <c r="A366" s="183">
        <f>A365+1</f>
        <v/>
      </c>
      <c r="B366" s="117" t="n"/>
      <c r="C366" s="119" t="n"/>
      <c r="D366" s="117" t="n"/>
      <c r="E366" s="118" t="n"/>
      <c r="F366" s="120" t="n"/>
      <c r="G366" s="118" t="n"/>
      <c r="H366" s="118" t="n"/>
      <c r="I366" s="118" t="n"/>
      <c r="J366" s="118" t="n"/>
      <c r="K366" s="118" t="n"/>
      <c r="L366" s="118" t="n"/>
      <c r="M366" s="118" t="n"/>
      <c r="N366" s="118" t="n"/>
      <c r="O366" s="118" t="n"/>
      <c r="P366" s="118" t="n"/>
      <c r="Q366" s="118" t="n"/>
      <c r="R366" s="118" t="n"/>
      <c r="S366" s="118" t="n"/>
      <c r="T366" s="117">
        <f>SUM(F366:S366)</f>
        <v/>
      </c>
      <c r="U366" s="190">
        <f>(HLOOKUP(B366,F:T,A366,FALSE)/T366)</f>
        <v/>
      </c>
      <c r="V366" s="159" t="n"/>
      <c r="W366" s="163">
        <f>YEAR(C366)</f>
        <v/>
      </c>
      <c r="X366" s="116">
        <f>MONTH(C366)</f>
        <v/>
      </c>
      <c r="Y366" s="116">
        <f>WEEKNUM(C366,21)</f>
        <v/>
      </c>
      <c r="Z366" s="122" t="n"/>
      <c r="AA366" s="122" t="n"/>
      <c r="AB366" s="122" t="n"/>
      <c r="AC366" s="122" t="n"/>
      <c r="AD366" s="122" t="n"/>
      <c r="AE366" s="122">
        <f>IFERROR(K366/$T366,0)</f>
        <v/>
      </c>
      <c r="AF366" s="122">
        <f>IFERROR(L366/$T366,0)</f>
        <v/>
      </c>
      <c r="AG366" s="122" t="n"/>
      <c r="AH366" s="122" t="n"/>
      <c r="AI366" s="122" t="n"/>
      <c r="AJ366" s="122" t="n"/>
      <c r="AK366" s="122" t="n"/>
      <c r="AL366" s="122" t="n"/>
      <c r="AM366" s="122" t="n"/>
      <c r="AN366" s="122">
        <f>SUM(Z366:AC366)</f>
        <v/>
      </c>
      <c r="AO366" s="122">
        <f>SUM(AD366:AL366)</f>
        <v/>
      </c>
      <c r="AP366" s="122">
        <f>SUM(AM366,AB366)</f>
        <v/>
      </c>
      <c r="AQ366" s="122">
        <f>SUM(AA366)</f>
        <v/>
      </c>
      <c r="AR366" s="121">
        <f>(AP366+AQ366)-3%</f>
        <v/>
      </c>
      <c r="AS366" s="122">
        <f>SUM(AO366+AM366)</f>
        <v/>
      </c>
      <c r="AT366" s="122">
        <f>SUM(AH366+AN366)</f>
        <v/>
      </c>
      <c r="AU366" s="122">
        <f>SUM(AN366+AO366)</f>
        <v/>
      </c>
      <c r="AV366" s="122">
        <f>SUM(AN366+AD366+AE366+AF366+AG366+AH366+AJ366+AK366+AL366)</f>
        <v/>
      </c>
      <c r="AW366" s="122">
        <f>SUM(AD366+AE366+AF366+AG366+AI366+AJ366+AK366+AL366)</f>
        <v/>
      </c>
    </row>
    <row r="367" ht="14.1" customHeight="1" s="259">
      <c r="A367" s="183">
        <f>A366+1</f>
        <v/>
      </c>
      <c r="B367" s="117" t="n"/>
      <c r="C367" s="119" t="n"/>
      <c r="D367" s="117" t="n"/>
      <c r="E367" s="118" t="n"/>
      <c r="F367" s="120" t="n"/>
      <c r="G367" s="118" t="n"/>
      <c r="H367" s="118" t="n"/>
      <c r="I367" s="118" t="n"/>
      <c r="J367" s="118" t="n"/>
      <c r="K367" s="118" t="n"/>
      <c r="L367" s="118" t="n"/>
      <c r="M367" s="118" t="n"/>
      <c r="N367" s="118" t="n"/>
      <c r="O367" s="118" t="n"/>
      <c r="P367" s="118" t="n"/>
      <c r="Q367" s="118" t="n"/>
      <c r="R367" s="118" t="n"/>
      <c r="S367" s="118" t="n"/>
      <c r="T367" s="117">
        <f>SUM(F367:S367)</f>
        <v/>
      </c>
      <c r="U367" s="190">
        <f>(HLOOKUP(B367,F:T,A367,FALSE)/T367)</f>
        <v/>
      </c>
      <c r="V367" s="159" t="n"/>
      <c r="W367" s="163">
        <f>YEAR(C367)</f>
        <v/>
      </c>
      <c r="X367" s="116">
        <f>MONTH(C367)</f>
        <v/>
      </c>
      <c r="Y367" s="116">
        <f>WEEKNUM(C367,21)</f>
        <v/>
      </c>
      <c r="Z367" s="122" t="n"/>
      <c r="AA367" s="122" t="n"/>
      <c r="AB367" s="122" t="n"/>
      <c r="AC367" s="122" t="n"/>
      <c r="AD367" s="122" t="n"/>
      <c r="AE367" s="122">
        <f>IFERROR(K367/$T367,0)</f>
        <v/>
      </c>
      <c r="AF367" s="122">
        <f>IFERROR(L367/$T367,0)</f>
        <v/>
      </c>
      <c r="AG367" s="122" t="n"/>
      <c r="AH367" s="122" t="n"/>
      <c r="AI367" s="122" t="n"/>
      <c r="AJ367" s="122" t="n"/>
      <c r="AK367" s="122" t="n"/>
      <c r="AL367" s="122" t="n"/>
      <c r="AM367" s="122" t="n"/>
      <c r="AN367" s="122">
        <f>SUM(Z367:AC367)</f>
        <v/>
      </c>
      <c r="AO367" s="122">
        <f>SUM(AD367:AL367)</f>
        <v/>
      </c>
      <c r="AP367" s="122">
        <f>SUM(AM367,AB367)</f>
        <v/>
      </c>
      <c r="AQ367" s="122">
        <f>SUM(AA367)</f>
        <v/>
      </c>
      <c r="AR367" s="121">
        <f>(AP367+AQ367)-3%</f>
        <v/>
      </c>
      <c r="AS367" s="122">
        <f>SUM(AO367+AM367)</f>
        <v/>
      </c>
      <c r="AT367" s="122">
        <f>SUM(AH367+AN367)</f>
        <v/>
      </c>
      <c r="AU367" s="122">
        <f>SUM(AN367+AO367)</f>
        <v/>
      </c>
      <c r="AV367" s="122">
        <f>SUM(AN367+AD367+AE367+AF367+AG367+AH367+AJ367+AK367+AL367)</f>
        <v/>
      </c>
      <c r="AW367" s="122">
        <f>SUM(AD367+AE367+AF367+AG367+AI367+AJ367+AK367+AL367)</f>
        <v/>
      </c>
    </row>
    <row r="368" ht="14.1" customHeight="1" s="259">
      <c r="A368" s="183">
        <f>A367+1</f>
        <v/>
      </c>
      <c r="B368" s="117" t="n"/>
      <c r="C368" s="119" t="n"/>
      <c r="D368" s="117" t="n"/>
      <c r="E368" s="118" t="n"/>
      <c r="F368" s="120" t="n"/>
      <c r="G368" s="118" t="n"/>
      <c r="H368" s="118" t="n"/>
      <c r="I368" s="118" t="n"/>
      <c r="J368" s="118" t="n"/>
      <c r="K368" s="118" t="n"/>
      <c r="L368" s="118" t="n"/>
      <c r="M368" s="118" t="n"/>
      <c r="N368" s="118" t="n"/>
      <c r="O368" s="118" t="n"/>
      <c r="P368" s="118" t="n"/>
      <c r="Q368" s="118" t="n"/>
      <c r="R368" s="118" t="n"/>
      <c r="S368" s="118" t="n"/>
      <c r="T368" s="117">
        <f>SUM(F368:S368)</f>
        <v/>
      </c>
      <c r="U368" s="190">
        <f>(HLOOKUP(B368,F:T,A368,FALSE)/T368)</f>
        <v/>
      </c>
      <c r="V368" s="159" t="n"/>
      <c r="W368" s="163">
        <f>YEAR(C368)</f>
        <v/>
      </c>
      <c r="X368" s="116">
        <f>MONTH(C368)</f>
        <v/>
      </c>
      <c r="Y368" s="116">
        <f>WEEKNUM(C368,21)</f>
        <v/>
      </c>
      <c r="Z368" s="122" t="n"/>
      <c r="AA368" s="122" t="n"/>
      <c r="AB368" s="122" t="n"/>
      <c r="AC368" s="122" t="n"/>
      <c r="AD368" s="122" t="n"/>
      <c r="AE368" s="122">
        <f>IFERROR(K368/$T368,0)</f>
        <v/>
      </c>
      <c r="AF368" s="122">
        <f>IFERROR(L368/$T368,0)</f>
        <v/>
      </c>
      <c r="AG368" s="122" t="n"/>
      <c r="AH368" s="122" t="n"/>
      <c r="AI368" s="122" t="n"/>
      <c r="AJ368" s="122" t="n"/>
      <c r="AK368" s="122" t="n"/>
      <c r="AL368" s="122" t="n"/>
      <c r="AM368" s="122" t="n"/>
      <c r="AN368" s="122">
        <f>SUM(Z368:AC368)</f>
        <v/>
      </c>
      <c r="AO368" s="122">
        <f>SUM(AD368:AL368)</f>
        <v/>
      </c>
      <c r="AP368" s="122">
        <f>SUM(AM368,AB368)</f>
        <v/>
      </c>
      <c r="AQ368" s="122">
        <f>SUM(AA368)</f>
        <v/>
      </c>
      <c r="AR368" s="121">
        <f>(AP368+AQ368)-3%</f>
        <v/>
      </c>
      <c r="AS368" s="122">
        <f>SUM(AO368+AM368)</f>
        <v/>
      </c>
      <c r="AT368" s="122">
        <f>SUM(AH368+AN368)</f>
        <v/>
      </c>
      <c r="AU368" s="122">
        <f>SUM(AN368+AO368)</f>
        <v/>
      </c>
      <c r="AV368" s="122">
        <f>SUM(AN368+AD368+AE368+AF368+AG368+AH368+AJ368+AK368+AL368)</f>
        <v/>
      </c>
      <c r="AW368" s="122">
        <f>SUM(AD368+AE368+AF368+AG368+AI368+AJ368+AK368+AL368)</f>
        <v/>
      </c>
    </row>
    <row r="369" ht="14.1" customHeight="1" s="259">
      <c r="A369" s="183">
        <f>A368+1</f>
        <v/>
      </c>
      <c r="B369" s="117" t="n"/>
      <c r="C369" s="119" t="n"/>
      <c r="D369" s="117" t="n"/>
      <c r="E369" s="118" t="n"/>
      <c r="F369" s="120" t="n"/>
      <c r="G369" s="118" t="n"/>
      <c r="H369" s="118" t="n"/>
      <c r="I369" s="118" t="n"/>
      <c r="J369" s="118" t="n"/>
      <c r="K369" s="118" t="n"/>
      <c r="L369" s="118" t="n"/>
      <c r="M369" s="118" t="n"/>
      <c r="N369" s="118" t="n"/>
      <c r="O369" s="118" t="n"/>
      <c r="P369" s="118" t="n"/>
      <c r="Q369" s="118" t="n"/>
      <c r="R369" s="118" t="n"/>
      <c r="S369" s="118" t="n"/>
      <c r="T369" s="117">
        <f>SUM(F369:S369)</f>
        <v/>
      </c>
      <c r="U369" s="190">
        <f>(HLOOKUP(B369,F:T,A369,FALSE)/T369)</f>
        <v/>
      </c>
      <c r="V369" s="159" t="n"/>
      <c r="W369" s="163">
        <f>YEAR(C369)</f>
        <v/>
      </c>
      <c r="X369" s="116">
        <f>MONTH(C369)</f>
        <v/>
      </c>
      <c r="Y369" s="116">
        <f>WEEKNUM(C369,21)</f>
        <v/>
      </c>
      <c r="Z369" s="122" t="n"/>
      <c r="AA369" s="122" t="n"/>
      <c r="AB369" s="122" t="n"/>
      <c r="AC369" s="122" t="n"/>
      <c r="AD369" s="122" t="n"/>
      <c r="AE369" s="122">
        <f>IFERROR(K369/$T369,0)</f>
        <v/>
      </c>
      <c r="AF369" s="122">
        <f>IFERROR(L369/$T369,0)</f>
        <v/>
      </c>
      <c r="AG369" s="122" t="n"/>
      <c r="AH369" s="122" t="n"/>
      <c r="AI369" s="122" t="n"/>
      <c r="AJ369" s="122" t="n"/>
      <c r="AK369" s="122" t="n"/>
      <c r="AL369" s="122" t="n"/>
      <c r="AM369" s="122" t="n"/>
      <c r="AN369" s="122">
        <f>SUM(Z369:AC369)</f>
        <v/>
      </c>
      <c r="AO369" s="122">
        <f>SUM(AD369:AL369)</f>
        <v/>
      </c>
      <c r="AP369" s="122">
        <f>SUM(AM369,AB369)</f>
        <v/>
      </c>
      <c r="AQ369" s="122">
        <f>SUM(AA369)</f>
        <v/>
      </c>
      <c r="AR369" s="121">
        <f>(AP369+AQ369)-3%</f>
        <v/>
      </c>
      <c r="AS369" s="122">
        <f>SUM(AO369+AM369)</f>
        <v/>
      </c>
      <c r="AT369" s="122">
        <f>SUM(AH369+AN369)</f>
        <v/>
      </c>
      <c r="AU369" s="122">
        <f>SUM(AN369+AO369)</f>
        <v/>
      </c>
      <c r="AV369" s="122">
        <f>SUM(AN369+AD369+AE369+AF369+AG369+AH369+AJ369+AK369+AL369)</f>
        <v/>
      </c>
      <c r="AW369" s="122">
        <f>SUM(AD369+AE369+AF369+AG369+AI369+AJ369+AK369+AL369)</f>
        <v/>
      </c>
    </row>
    <row r="370" ht="14.1" customHeight="1" s="259">
      <c r="A370" s="183">
        <f>A369+1</f>
        <v/>
      </c>
      <c r="B370" s="117" t="n"/>
      <c r="C370" s="119" t="n"/>
      <c r="D370" s="117" t="n"/>
      <c r="E370" s="118" t="n"/>
      <c r="F370" s="120" t="n"/>
      <c r="G370" s="118" t="n"/>
      <c r="H370" s="118" t="n"/>
      <c r="I370" s="118" t="n"/>
      <c r="J370" s="118" t="n"/>
      <c r="K370" s="118" t="n"/>
      <c r="L370" s="118" t="n"/>
      <c r="M370" s="118" t="n"/>
      <c r="N370" s="118" t="n"/>
      <c r="O370" s="118" t="n"/>
      <c r="P370" s="118" t="n"/>
      <c r="Q370" s="118" t="n"/>
      <c r="R370" s="118" t="n"/>
      <c r="S370" s="118" t="n"/>
      <c r="T370" s="117">
        <f>SUM(F370:S370)</f>
        <v/>
      </c>
      <c r="U370" s="190">
        <f>(HLOOKUP(B370,F:T,A370,FALSE)/T370)</f>
        <v/>
      </c>
      <c r="V370" s="159" t="n"/>
      <c r="W370" s="163">
        <f>YEAR(C370)</f>
        <v/>
      </c>
      <c r="X370" s="116">
        <f>MONTH(C370)</f>
        <v/>
      </c>
      <c r="Y370" s="116">
        <f>WEEKNUM(C370,21)</f>
        <v/>
      </c>
      <c r="Z370" s="122" t="n"/>
      <c r="AA370" s="122" t="n"/>
      <c r="AB370" s="122" t="n"/>
      <c r="AC370" s="122" t="n"/>
      <c r="AD370" s="122" t="n"/>
      <c r="AE370" s="122">
        <f>IFERROR(K370/$T370,0)</f>
        <v/>
      </c>
      <c r="AF370" s="122">
        <f>IFERROR(L370/$T370,0)</f>
        <v/>
      </c>
      <c r="AG370" s="122" t="n"/>
      <c r="AH370" s="122" t="n"/>
      <c r="AI370" s="122" t="n"/>
      <c r="AJ370" s="122" t="n"/>
      <c r="AK370" s="122" t="n"/>
      <c r="AL370" s="122" t="n"/>
      <c r="AM370" s="122" t="n"/>
      <c r="AN370" s="122">
        <f>SUM(Z370:AC370)</f>
        <v/>
      </c>
      <c r="AO370" s="122">
        <f>SUM(AD370:AL370)</f>
        <v/>
      </c>
      <c r="AP370" s="122">
        <f>SUM(AM370,AB370)</f>
        <v/>
      </c>
      <c r="AQ370" s="122">
        <f>SUM(AA370)</f>
        <v/>
      </c>
      <c r="AR370" s="121">
        <f>(AP370+AQ370)-3%</f>
        <v/>
      </c>
      <c r="AS370" s="122">
        <f>SUM(AO370+AM370)</f>
        <v/>
      </c>
      <c r="AT370" s="122">
        <f>SUM(AH370+AN370)</f>
        <v/>
      </c>
      <c r="AU370" s="122">
        <f>SUM(AN370+AO370)</f>
        <v/>
      </c>
      <c r="AV370" s="122">
        <f>SUM(AN370+AD370+AE370+AF370+AG370+AH370+AJ370+AK370+AL370)</f>
        <v/>
      </c>
      <c r="AW370" s="122">
        <f>SUM(AD370+AE370+AF370+AG370+AI370+AJ370+AK370+AL370)</f>
        <v/>
      </c>
    </row>
    <row r="371" ht="14.1" customHeight="1" s="259">
      <c r="A371" s="183">
        <f>A370+1</f>
        <v/>
      </c>
      <c r="B371" s="117" t="n"/>
      <c r="C371" s="119" t="n"/>
      <c r="D371" s="117" t="n"/>
      <c r="E371" s="118" t="n"/>
      <c r="F371" s="120" t="n"/>
      <c r="G371" s="118" t="n"/>
      <c r="H371" s="118" t="n"/>
      <c r="I371" s="118" t="n"/>
      <c r="J371" s="118" t="n"/>
      <c r="K371" s="118" t="n"/>
      <c r="L371" s="118" t="n"/>
      <c r="M371" s="118" t="n"/>
      <c r="N371" s="118" t="n"/>
      <c r="O371" s="118" t="n"/>
      <c r="P371" s="118" t="n"/>
      <c r="Q371" s="118" t="n"/>
      <c r="R371" s="118" t="n"/>
      <c r="S371" s="118" t="n"/>
      <c r="T371" s="117">
        <f>SUM(F371:S371)</f>
        <v/>
      </c>
      <c r="U371" s="190">
        <f>(HLOOKUP(B371,F:T,A371,FALSE)/T371)</f>
        <v/>
      </c>
      <c r="V371" s="159" t="n"/>
      <c r="W371" s="163">
        <f>YEAR(C371)</f>
        <v/>
      </c>
      <c r="X371" s="116">
        <f>MONTH(C371)</f>
        <v/>
      </c>
      <c r="Y371" s="116">
        <f>WEEKNUM(C371,21)</f>
        <v/>
      </c>
      <c r="Z371" s="122" t="n"/>
      <c r="AA371" s="122" t="n"/>
      <c r="AB371" s="122" t="n"/>
      <c r="AC371" s="122" t="n"/>
      <c r="AD371" s="122" t="n"/>
      <c r="AE371" s="122">
        <f>IFERROR(K371/$T371,0)</f>
        <v/>
      </c>
      <c r="AF371" s="122">
        <f>IFERROR(L371/$T371,0)</f>
        <v/>
      </c>
      <c r="AG371" s="122" t="n"/>
      <c r="AH371" s="122" t="n"/>
      <c r="AI371" s="122" t="n"/>
      <c r="AJ371" s="122" t="n"/>
      <c r="AK371" s="122" t="n"/>
      <c r="AL371" s="122" t="n"/>
      <c r="AM371" s="122" t="n"/>
      <c r="AN371" s="122">
        <f>SUM(Z371:AC371)</f>
        <v/>
      </c>
      <c r="AO371" s="122">
        <f>SUM(AD371:AL371)</f>
        <v/>
      </c>
      <c r="AP371" s="122">
        <f>SUM(AM371,AB371)</f>
        <v/>
      </c>
      <c r="AQ371" s="122">
        <f>SUM(AA371)</f>
        <v/>
      </c>
      <c r="AR371" s="121">
        <f>(AP371+AQ371)-3%</f>
        <v/>
      </c>
      <c r="AS371" s="122">
        <f>SUM(AO371+AM371)</f>
        <v/>
      </c>
      <c r="AT371" s="122">
        <f>SUM(AH371+AN371)</f>
        <v/>
      </c>
      <c r="AU371" s="122">
        <f>SUM(AN371+AO371)</f>
        <v/>
      </c>
      <c r="AV371" s="122">
        <f>SUM(AN371+AD371+AE371+AF371+AG371+AH371+AJ371+AK371+AL371)</f>
        <v/>
      </c>
      <c r="AW371" s="122">
        <f>SUM(AD371+AE371+AF371+AG371+AI371+AJ371+AK371+AL371)</f>
        <v/>
      </c>
    </row>
    <row r="372" ht="14.1" customHeight="1" s="259">
      <c r="A372" s="183">
        <f>A371+1</f>
        <v/>
      </c>
      <c r="B372" s="117" t="n"/>
      <c r="C372" s="119" t="n"/>
      <c r="D372" s="117" t="n"/>
      <c r="E372" s="118" t="n"/>
      <c r="F372" s="120" t="n"/>
      <c r="G372" s="118" t="n"/>
      <c r="H372" s="118" t="n"/>
      <c r="I372" s="118" t="n"/>
      <c r="J372" s="118" t="n"/>
      <c r="K372" s="118" t="n"/>
      <c r="L372" s="118" t="n"/>
      <c r="M372" s="118" t="n"/>
      <c r="N372" s="118" t="n"/>
      <c r="O372" s="118" t="n"/>
      <c r="P372" s="118" t="n"/>
      <c r="Q372" s="118" t="n"/>
      <c r="R372" s="118" t="n"/>
      <c r="S372" s="118" t="n"/>
      <c r="T372" s="117">
        <f>SUM(F372:S372)</f>
        <v/>
      </c>
      <c r="U372" s="190">
        <f>(HLOOKUP(B372,F:T,A372,FALSE)/T372)</f>
        <v/>
      </c>
      <c r="V372" s="159" t="n"/>
      <c r="W372" s="163">
        <f>YEAR(C372)</f>
        <v/>
      </c>
      <c r="X372" s="116">
        <f>MONTH(C372)</f>
        <v/>
      </c>
      <c r="Y372" s="116">
        <f>WEEKNUM(C372,21)</f>
        <v/>
      </c>
      <c r="Z372" s="122" t="n"/>
      <c r="AA372" s="122" t="n"/>
      <c r="AB372" s="122" t="n"/>
      <c r="AC372" s="122" t="n"/>
      <c r="AD372" s="122" t="n"/>
      <c r="AE372" s="122">
        <f>IFERROR(K372/$T372,0)</f>
        <v/>
      </c>
      <c r="AF372" s="122">
        <f>IFERROR(L372/$T372,0)</f>
        <v/>
      </c>
      <c r="AG372" s="122" t="n"/>
      <c r="AH372" s="122" t="n"/>
      <c r="AI372" s="122" t="n"/>
      <c r="AJ372" s="122" t="n"/>
      <c r="AK372" s="122" t="n"/>
      <c r="AL372" s="122" t="n"/>
      <c r="AM372" s="122" t="n"/>
      <c r="AN372" s="122">
        <f>SUM(Z372:AC372)</f>
        <v/>
      </c>
      <c r="AO372" s="122">
        <f>SUM(AD372:AL372)</f>
        <v/>
      </c>
      <c r="AP372" s="122">
        <f>SUM(AM372,AB372)</f>
        <v/>
      </c>
      <c r="AQ372" s="122">
        <f>SUM(AA372)</f>
        <v/>
      </c>
      <c r="AR372" s="121">
        <f>(AP372+AQ372)-3%</f>
        <v/>
      </c>
      <c r="AS372" s="122">
        <f>SUM(AO372+AM372)</f>
        <v/>
      </c>
      <c r="AT372" s="122">
        <f>SUM(AH372+AN372)</f>
        <v/>
      </c>
      <c r="AU372" s="122">
        <f>SUM(AN372+AO372)</f>
        <v/>
      </c>
      <c r="AV372" s="122">
        <f>SUM(AN372+AD372+AE372+AF372+AG372+AH372+AJ372+AK372+AL372)</f>
        <v/>
      </c>
      <c r="AW372" s="122">
        <f>SUM(AD372+AE372+AF372+AG372+AI372+AJ372+AK372+AL372)</f>
        <v/>
      </c>
    </row>
    <row r="373" ht="14.1" customHeight="1" s="259">
      <c r="A373" s="183">
        <f>A372+1</f>
        <v/>
      </c>
      <c r="B373" s="117" t="n"/>
      <c r="C373" s="119" t="n"/>
      <c r="D373" s="117" t="n"/>
      <c r="E373" s="118" t="n"/>
      <c r="F373" s="120" t="n"/>
      <c r="G373" s="118" t="n"/>
      <c r="H373" s="118" t="n"/>
      <c r="I373" s="118" t="n"/>
      <c r="J373" s="118" t="n"/>
      <c r="K373" s="118" t="n"/>
      <c r="L373" s="118" t="n"/>
      <c r="M373" s="118" t="n"/>
      <c r="N373" s="118" t="n"/>
      <c r="O373" s="118" t="n"/>
      <c r="P373" s="118" t="n"/>
      <c r="Q373" s="118" t="n"/>
      <c r="R373" s="118" t="n"/>
      <c r="S373" s="118" t="n"/>
      <c r="T373" s="117">
        <f>SUM(F373:S373)</f>
        <v/>
      </c>
      <c r="U373" s="190">
        <f>(HLOOKUP(B373,F:T,A373,FALSE)/T373)</f>
        <v/>
      </c>
      <c r="V373" s="159" t="n"/>
      <c r="W373" s="163">
        <f>YEAR(C373)</f>
        <v/>
      </c>
      <c r="X373" s="116">
        <f>MONTH(C373)</f>
        <v/>
      </c>
      <c r="Y373" s="116">
        <f>WEEKNUM(C373,21)</f>
        <v/>
      </c>
      <c r="Z373" s="122" t="n"/>
      <c r="AA373" s="122" t="n"/>
      <c r="AB373" s="122" t="n"/>
      <c r="AC373" s="122" t="n"/>
      <c r="AD373" s="122" t="n"/>
      <c r="AE373" s="122">
        <f>IFERROR(K373/$T373,0)</f>
        <v/>
      </c>
      <c r="AF373" s="122">
        <f>IFERROR(L373/$T373,0)</f>
        <v/>
      </c>
      <c r="AG373" s="122" t="n"/>
      <c r="AH373" s="122" t="n"/>
      <c r="AI373" s="122" t="n"/>
      <c r="AJ373" s="122" t="n"/>
      <c r="AK373" s="122" t="n"/>
      <c r="AL373" s="122" t="n"/>
      <c r="AM373" s="122" t="n"/>
      <c r="AN373" s="122">
        <f>SUM(Z373:AC373)</f>
        <v/>
      </c>
      <c r="AO373" s="122">
        <f>SUM(AD373:AL373)</f>
        <v/>
      </c>
      <c r="AP373" s="122">
        <f>SUM(AM373,AB373)</f>
        <v/>
      </c>
      <c r="AQ373" s="122">
        <f>SUM(AA373)</f>
        <v/>
      </c>
      <c r="AR373" s="121">
        <f>(AP373+AQ373)-3%</f>
        <v/>
      </c>
      <c r="AS373" s="122">
        <f>SUM(AO373+AM373)</f>
        <v/>
      </c>
      <c r="AT373" s="122">
        <f>SUM(AH373+AN373)</f>
        <v/>
      </c>
      <c r="AU373" s="122">
        <f>SUM(AN373+AO373)</f>
        <v/>
      </c>
      <c r="AV373" s="122">
        <f>SUM(AN373+AD373+AE373+AF373+AG373+AH373+AJ373+AK373+AL373)</f>
        <v/>
      </c>
      <c r="AW373" s="122">
        <f>SUM(AD373+AE373+AF373+AG373+AI373+AJ373+AK373+AL373)</f>
        <v/>
      </c>
    </row>
    <row r="374" ht="14.1" customHeight="1" s="259">
      <c r="A374" s="183">
        <f>A373+1</f>
        <v/>
      </c>
      <c r="B374" s="117" t="n"/>
      <c r="C374" s="119" t="n"/>
      <c r="D374" s="117" t="n"/>
      <c r="E374" s="118" t="n"/>
      <c r="F374" s="120" t="n"/>
      <c r="G374" s="118" t="n"/>
      <c r="H374" s="118" t="n"/>
      <c r="I374" s="118" t="n"/>
      <c r="J374" s="118" t="n"/>
      <c r="K374" s="118" t="n"/>
      <c r="L374" s="118" t="n"/>
      <c r="M374" s="118" t="n"/>
      <c r="N374" s="118" t="n"/>
      <c r="O374" s="118" t="n"/>
      <c r="P374" s="118" t="n"/>
      <c r="Q374" s="118" t="n"/>
      <c r="R374" s="118" t="n"/>
      <c r="S374" s="118" t="n"/>
      <c r="T374" s="117">
        <f>SUM(F374:S374)</f>
        <v/>
      </c>
      <c r="U374" s="190">
        <f>(HLOOKUP(B374,F:T,A374,FALSE)/T374)</f>
        <v/>
      </c>
      <c r="V374" s="159" t="n"/>
      <c r="W374" s="163">
        <f>YEAR(C374)</f>
        <v/>
      </c>
      <c r="X374" s="116">
        <f>MONTH(C374)</f>
        <v/>
      </c>
      <c r="Y374" s="116">
        <f>WEEKNUM(C374,21)</f>
        <v/>
      </c>
      <c r="Z374" s="122" t="n"/>
      <c r="AA374" s="122" t="n"/>
      <c r="AB374" s="122" t="n"/>
      <c r="AC374" s="122" t="n"/>
      <c r="AD374" s="122" t="n"/>
      <c r="AE374" s="122">
        <f>IFERROR(K374/$T374,0)</f>
        <v/>
      </c>
      <c r="AF374" s="122">
        <f>IFERROR(L374/$T374,0)</f>
        <v/>
      </c>
      <c r="AG374" s="122" t="n"/>
      <c r="AH374" s="122" t="n"/>
      <c r="AI374" s="122" t="n"/>
      <c r="AJ374" s="122" t="n"/>
      <c r="AK374" s="122" t="n"/>
      <c r="AL374" s="122" t="n"/>
      <c r="AM374" s="122" t="n"/>
      <c r="AN374" s="122">
        <f>SUM(Z374:AC374)</f>
        <v/>
      </c>
      <c r="AO374" s="122">
        <f>SUM(AD374:AL374)</f>
        <v/>
      </c>
      <c r="AP374" s="122">
        <f>SUM(AM374,AB374)</f>
        <v/>
      </c>
      <c r="AQ374" s="122">
        <f>SUM(AA374)</f>
        <v/>
      </c>
      <c r="AR374" s="121">
        <f>(AP374+AQ374)-3%</f>
        <v/>
      </c>
      <c r="AS374" s="122">
        <f>SUM(AO374+AM374)</f>
        <v/>
      </c>
      <c r="AT374" s="122">
        <f>SUM(AH374+AN374)</f>
        <v/>
      </c>
      <c r="AU374" s="122">
        <f>SUM(AN374+AO374)</f>
        <v/>
      </c>
      <c r="AV374" s="122">
        <f>SUM(AN374+AD374+AE374+AF374+AG374+AH374+AJ374+AK374+AL374)</f>
        <v/>
      </c>
      <c r="AW374" s="122">
        <f>SUM(AD374+AE374+AF374+AG374+AI374+AJ374+AK374+AL374)</f>
        <v/>
      </c>
    </row>
    <row r="375" ht="14.1" customHeight="1" s="259">
      <c r="A375" s="183">
        <f>A374+1</f>
        <v/>
      </c>
      <c r="B375" s="117" t="n"/>
      <c r="C375" s="119" t="n"/>
      <c r="D375" s="117" t="n"/>
      <c r="E375" s="118" t="n"/>
      <c r="F375" s="120" t="n"/>
      <c r="G375" s="118" t="n"/>
      <c r="H375" s="118" t="n"/>
      <c r="I375" s="118" t="n"/>
      <c r="J375" s="118" t="n"/>
      <c r="K375" s="118" t="n"/>
      <c r="L375" s="118" t="n"/>
      <c r="M375" s="118" t="n"/>
      <c r="N375" s="118" t="n"/>
      <c r="O375" s="118" t="n"/>
      <c r="P375" s="118" t="n"/>
      <c r="Q375" s="118" t="n"/>
      <c r="R375" s="118" t="n"/>
      <c r="S375" s="118" t="n"/>
      <c r="T375" s="117">
        <f>SUM(F375:S375)</f>
        <v/>
      </c>
      <c r="U375" s="190">
        <f>(HLOOKUP(B375,F:T,A375,FALSE)/T375)</f>
        <v/>
      </c>
      <c r="V375" s="159" t="n"/>
      <c r="W375" s="163">
        <f>YEAR(C375)</f>
        <v/>
      </c>
      <c r="X375" s="116">
        <f>MONTH(C375)</f>
        <v/>
      </c>
      <c r="Y375" s="116">
        <f>WEEKNUM(C375,21)</f>
        <v/>
      </c>
      <c r="Z375" s="122" t="n"/>
      <c r="AA375" s="122" t="n"/>
      <c r="AB375" s="122" t="n"/>
      <c r="AC375" s="122" t="n"/>
      <c r="AD375" s="122" t="n"/>
      <c r="AE375" s="122">
        <f>IFERROR(K375/$T375,0)</f>
        <v/>
      </c>
      <c r="AF375" s="122">
        <f>IFERROR(L375/$T375,0)</f>
        <v/>
      </c>
      <c r="AG375" s="122" t="n"/>
      <c r="AH375" s="122" t="n"/>
      <c r="AI375" s="122" t="n"/>
      <c r="AJ375" s="122" t="n"/>
      <c r="AK375" s="122" t="n"/>
      <c r="AL375" s="122" t="n"/>
      <c r="AM375" s="122" t="n"/>
      <c r="AN375" s="122">
        <f>SUM(Z375:AC375)</f>
        <v/>
      </c>
      <c r="AO375" s="122">
        <f>SUM(AD375:AL375)</f>
        <v/>
      </c>
      <c r="AP375" s="122">
        <f>SUM(AM375,AB375)</f>
        <v/>
      </c>
      <c r="AQ375" s="122">
        <f>SUM(AA375)</f>
        <v/>
      </c>
      <c r="AR375" s="121">
        <f>(AP375+AQ375)-3%</f>
        <v/>
      </c>
      <c r="AS375" s="122">
        <f>SUM(AO375+AM375)</f>
        <v/>
      </c>
      <c r="AT375" s="122">
        <f>SUM(AH375+AN375)</f>
        <v/>
      </c>
      <c r="AU375" s="122">
        <f>SUM(AN375+AO375)</f>
        <v/>
      </c>
      <c r="AV375" s="122">
        <f>SUM(AN375+AD375+AE375+AF375+AG375+AH375+AJ375+AK375+AL375)</f>
        <v/>
      </c>
      <c r="AW375" s="122">
        <f>SUM(AD375+AE375+AF375+AG375+AI375+AJ375+AK375+AL375)</f>
        <v/>
      </c>
    </row>
    <row r="376" ht="14.1" customHeight="1" s="259">
      <c r="A376" s="183">
        <f>A375+1</f>
        <v/>
      </c>
      <c r="B376" s="117" t="n"/>
      <c r="C376" s="119" t="n"/>
      <c r="D376" s="117" t="n"/>
      <c r="E376" s="118" t="n"/>
      <c r="F376" s="120" t="n"/>
      <c r="G376" s="118" t="n"/>
      <c r="H376" s="118" t="n"/>
      <c r="I376" s="118" t="n"/>
      <c r="J376" s="118" t="n"/>
      <c r="K376" s="118" t="n"/>
      <c r="L376" s="118" t="n"/>
      <c r="M376" s="118" t="n"/>
      <c r="N376" s="118" t="n"/>
      <c r="O376" s="118" t="n"/>
      <c r="P376" s="118" t="n"/>
      <c r="Q376" s="118" t="n"/>
      <c r="R376" s="118" t="n"/>
      <c r="S376" s="118" t="n"/>
      <c r="T376" s="117">
        <f>SUM(F376:S376)</f>
        <v/>
      </c>
      <c r="U376" s="190">
        <f>(HLOOKUP(B376,F:T,A376,FALSE)/T376)</f>
        <v/>
      </c>
      <c r="V376" s="159" t="n"/>
      <c r="W376" s="163">
        <f>YEAR(C376)</f>
        <v/>
      </c>
      <c r="X376" s="116">
        <f>MONTH(C376)</f>
        <v/>
      </c>
      <c r="Y376" s="116">
        <f>WEEKNUM(C376,21)</f>
        <v/>
      </c>
      <c r="Z376" s="122" t="n"/>
      <c r="AA376" s="122" t="n"/>
      <c r="AB376" s="122" t="n"/>
      <c r="AC376" s="122" t="n"/>
      <c r="AD376" s="122" t="n"/>
      <c r="AE376" s="122">
        <f>IFERROR(K376/$T376,0)</f>
        <v/>
      </c>
      <c r="AF376" s="122">
        <f>IFERROR(L376/$T376,0)</f>
        <v/>
      </c>
      <c r="AG376" s="122" t="n"/>
      <c r="AH376" s="122" t="n"/>
      <c r="AI376" s="122" t="n"/>
      <c r="AJ376" s="122" t="n"/>
      <c r="AK376" s="122" t="n"/>
      <c r="AL376" s="122" t="n"/>
      <c r="AM376" s="122" t="n"/>
      <c r="AN376" s="122">
        <f>SUM(Z376:AC376)</f>
        <v/>
      </c>
      <c r="AO376" s="122">
        <f>SUM(AD376:AL376)</f>
        <v/>
      </c>
      <c r="AP376" s="122">
        <f>SUM(AM376,AB376)</f>
        <v/>
      </c>
      <c r="AQ376" s="122">
        <f>SUM(AA376)</f>
        <v/>
      </c>
      <c r="AR376" s="121">
        <f>(AP376+AQ376)-3%</f>
        <v/>
      </c>
      <c r="AS376" s="122">
        <f>SUM(AO376+AM376)</f>
        <v/>
      </c>
      <c r="AT376" s="122">
        <f>SUM(AH376+AN376)</f>
        <v/>
      </c>
      <c r="AU376" s="122">
        <f>SUM(AN376+AO376)</f>
        <v/>
      </c>
      <c r="AV376" s="122">
        <f>SUM(AN376+AD376+AE376+AF376+AG376+AH376+AJ376+AK376+AL376)</f>
        <v/>
      </c>
      <c r="AW376" s="122">
        <f>SUM(AD376+AE376+AF376+AG376+AI376+AJ376+AK376+AL376)</f>
        <v/>
      </c>
    </row>
    <row r="377" ht="14.1" customHeight="1" s="259">
      <c r="A377" s="183">
        <f>A376+1</f>
        <v/>
      </c>
      <c r="B377" s="117" t="n"/>
      <c r="C377" s="119" t="n"/>
      <c r="D377" s="117" t="n"/>
      <c r="E377" s="118" t="n"/>
      <c r="F377" s="120" t="n"/>
      <c r="G377" s="118" t="n"/>
      <c r="H377" s="118" t="n"/>
      <c r="I377" s="118" t="n"/>
      <c r="J377" s="118" t="n"/>
      <c r="K377" s="118" t="n"/>
      <c r="L377" s="118" t="n"/>
      <c r="M377" s="118" t="n"/>
      <c r="N377" s="118" t="n"/>
      <c r="O377" s="118" t="n"/>
      <c r="P377" s="118" t="n"/>
      <c r="Q377" s="118" t="n"/>
      <c r="R377" s="118" t="n"/>
      <c r="S377" s="118" t="n"/>
      <c r="T377" s="117">
        <f>SUM(F377:S377)</f>
        <v/>
      </c>
      <c r="U377" s="190">
        <f>(HLOOKUP(B377,F:T,A377,FALSE)/T377)</f>
        <v/>
      </c>
      <c r="V377" s="159" t="n"/>
      <c r="W377" s="163">
        <f>YEAR(C377)</f>
        <v/>
      </c>
      <c r="X377" s="116">
        <f>MONTH(C377)</f>
        <v/>
      </c>
      <c r="Y377" s="116">
        <f>WEEKNUM(C377,21)</f>
        <v/>
      </c>
      <c r="Z377" s="122" t="n"/>
      <c r="AA377" s="122" t="n"/>
      <c r="AB377" s="122" t="n"/>
      <c r="AC377" s="122" t="n"/>
      <c r="AD377" s="122" t="n"/>
      <c r="AE377" s="122">
        <f>IFERROR(K377/$T377,0)</f>
        <v/>
      </c>
      <c r="AF377" s="122">
        <f>IFERROR(L377/$T377,0)</f>
        <v/>
      </c>
      <c r="AG377" s="122" t="n"/>
      <c r="AH377" s="122" t="n"/>
      <c r="AI377" s="122" t="n"/>
      <c r="AJ377" s="122" t="n"/>
      <c r="AK377" s="122" t="n"/>
      <c r="AL377" s="122" t="n"/>
      <c r="AM377" s="122" t="n"/>
      <c r="AN377" s="122">
        <f>SUM(Z377:AC377)</f>
        <v/>
      </c>
      <c r="AO377" s="122">
        <f>SUM(AD377:AL377)</f>
        <v/>
      </c>
      <c r="AP377" s="122">
        <f>SUM(AM377,AB377)</f>
        <v/>
      </c>
      <c r="AQ377" s="122">
        <f>SUM(AA377)</f>
        <v/>
      </c>
      <c r="AR377" s="121">
        <f>(AP377+AQ377)-3%</f>
        <v/>
      </c>
      <c r="AS377" s="122">
        <f>SUM(AO377+AM377)</f>
        <v/>
      </c>
      <c r="AT377" s="122">
        <f>SUM(AH377+AN377)</f>
        <v/>
      </c>
      <c r="AU377" s="122">
        <f>SUM(AN377+AO377)</f>
        <v/>
      </c>
      <c r="AV377" s="122">
        <f>SUM(AN377+AD377+AE377+AF377+AG377+AH377+AJ377+AK377+AL377)</f>
        <v/>
      </c>
      <c r="AW377" s="122">
        <f>SUM(AD377+AE377+AF377+AG377+AI377+AJ377+AK377+AL377)</f>
        <v/>
      </c>
    </row>
    <row r="378" ht="14.1" customHeight="1" s="259">
      <c r="A378" s="183">
        <f>A377+1</f>
        <v/>
      </c>
      <c r="B378" s="117" t="n"/>
      <c r="C378" s="119" t="n"/>
      <c r="D378" s="117" t="n"/>
      <c r="E378" s="118" t="n"/>
      <c r="F378" s="120" t="n"/>
      <c r="G378" s="118" t="n"/>
      <c r="H378" s="118" t="n"/>
      <c r="I378" s="118" t="n"/>
      <c r="J378" s="118" t="n"/>
      <c r="K378" s="118" t="n"/>
      <c r="L378" s="118" t="n"/>
      <c r="M378" s="118" t="n"/>
      <c r="N378" s="118" t="n"/>
      <c r="O378" s="118" t="n"/>
      <c r="P378" s="118" t="n"/>
      <c r="Q378" s="118" t="n"/>
      <c r="R378" s="118" t="n"/>
      <c r="S378" s="118" t="n"/>
      <c r="T378" s="117">
        <f>SUM(F378:S378)</f>
        <v/>
      </c>
      <c r="U378" s="190">
        <f>(HLOOKUP(B378,F:T,A378,FALSE)/T378)</f>
        <v/>
      </c>
      <c r="V378" s="159" t="n"/>
      <c r="W378" s="163">
        <f>YEAR(C378)</f>
        <v/>
      </c>
      <c r="X378" s="116">
        <f>MONTH(C378)</f>
        <v/>
      </c>
      <c r="Y378" s="116">
        <f>WEEKNUM(C378,21)</f>
        <v/>
      </c>
      <c r="Z378" s="122" t="n"/>
      <c r="AA378" s="122" t="n"/>
      <c r="AB378" s="122" t="n"/>
      <c r="AC378" s="122" t="n"/>
      <c r="AD378" s="122" t="n"/>
      <c r="AE378" s="122">
        <f>IFERROR(K378/$T378,0)</f>
        <v/>
      </c>
      <c r="AF378" s="122">
        <f>IFERROR(L378/$T378,0)</f>
        <v/>
      </c>
      <c r="AG378" s="122" t="n"/>
      <c r="AH378" s="122" t="n"/>
      <c r="AI378" s="122" t="n"/>
      <c r="AJ378" s="122" t="n"/>
      <c r="AK378" s="122" t="n"/>
      <c r="AL378" s="122" t="n"/>
      <c r="AM378" s="122" t="n"/>
      <c r="AN378" s="122">
        <f>SUM(Z378:AC378)</f>
        <v/>
      </c>
      <c r="AO378" s="122">
        <f>SUM(AD378:AL378)</f>
        <v/>
      </c>
      <c r="AP378" s="122">
        <f>SUM(AM378,AB378)</f>
        <v/>
      </c>
      <c r="AQ378" s="122">
        <f>SUM(AA378)</f>
        <v/>
      </c>
      <c r="AR378" s="121">
        <f>(AP378+AQ378)-3%</f>
        <v/>
      </c>
      <c r="AS378" s="122">
        <f>SUM(AO378+AM378)</f>
        <v/>
      </c>
      <c r="AT378" s="122">
        <f>SUM(AH378+AN378)</f>
        <v/>
      </c>
      <c r="AU378" s="122">
        <f>SUM(AN378+AO378)</f>
        <v/>
      </c>
      <c r="AV378" s="122">
        <f>SUM(AN378+AD378+AE378+AF378+AG378+AH378+AJ378+AK378+AL378)</f>
        <v/>
      </c>
      <c r="AW378" s="122">
        <f>SUM(AD378+AE378+AF378+AG378+AI378+AJ378+AK378+AL378)</f>
        <v/>
      </c>
    </row>
    <row r="379" ht="14.1" customHeight="1" s="259">
      <c r="A379" s="183">
        <f>A378+1</f>
        <v/>
      </c>
      <c r="B379" s="117" t="n"/>
      <c r="C379" s="119" t="n"/>
      <c r="D379" s="117" t="n"/>
      <c r="E379" s="118" t="n"/>
      <c r="F379" s="120" t="n"/>
      <c r="G379" s="118" t="n"/>
      <c r="H379" s="118" t="n"/>
      <c r="I379" s="118" t="n"/>
      <c r="J379" s="118" t="n"/>
      <c r="K379" s="118" t="n"/>
      <c r="L379" s="118" t="n"/>
      <c r="M379" s="118" t="n"/>
      <c r="N379" s="118" t="n"/>
      <c r="O379" s="118" t="n"/>
      <c r="P379" s="118" t="n"/>
      <c r="Q379" s="118" t="n"/>
      <c r="R379" s="118" t="n"/>
      <c r="S379" s="118" t="n"/>
      <c r="T379" s="117">
        <f>SUM(F379:S379)</f>
        <v/>
      </c>
      <c r="U379" s="190">
        <f>(HLOOKUP(B379,F:T,A379,FALSE)/T379)</f>
        <v/>
      </c>
      <c r="V379" s="159" t="n"/>
      <c r="W379" s="163">
        <f>YEAR(C379)</f>
        <v/>
      </c>
      <c r="X379" s="116">
        <f>MONTH(C379)</f>
        <v/>
      </c>
      <c r="Y379" s="116">
        <f>WEEKNUM(C379,21)</f>
        <v/>
      </c>
      <c r="Z379" s="122" t="n"/>
      <c r="AA379" s="122" t="n"/>
      <c r="AB379" s="122" t="n"/>
      <c r="AC379" s="122" t="n"/>
      <c r="AD379" s="122" t="n"/>
      <c r="AE379" s="122">
        <f>IFERROR(K379/$T379,0)</f>
        <v/>
      </c>
      <c r="AF379" s="122">
        <f>IFERROR(L379/$T379,0)</f>
        <v/>
      </c>
      <c r="AG379" s="122" t="n"/>
      <c r="AH379" s="122" t="n"/>
      <c r="AI379" s="122" t="n"/>
      <c r="AJ379" s="122" t="n"/>
      <c r="AK379" s="122" t="n"/>
      <c r="AL379" s="122" t="n"/>
      <c r="AM379" s="122" t="n"/>
      <c r="AN379" s="122">
        <f>SUM(Z379:AC379)</f>
        <v/>
      </c>
      <c r="AO379" s="122">
        <f>SUM(AD379:AL379)</f>
        <v/>
      </c>
      <c r="AP379" s="122">
        <f>SUM(AM379,AB379)</f>
        <v/>
      </c>
      <c r="AQ379" s="122">
        <f>SUM(AA379)</f>
        <v/>
      </c>
      <c r="AR379" s="121">
        <f>(AP379+AQ379)-3%</f>
        <v/>
      </c>
      <c r="AS379" s="122">
        <f>SUM(AO379+AM379)</f>
        <v/>
      </c>
      <c r="AT379" s="122">
        <f>SUM(AH379+AN379)</f>
        <v/>
      </c>
      <c r="AU379" s="122">
        <f>SUM(AN379+AO379)</f>
        <v/>
      </c>
      <c r="AV379" s="122">
        <f>SUM(AN379+AD379+AE379+AF379+AG379+AH379+AJ379+AK379+AL379)</f>
        <v/>
      </c>
      <c r="AW379" s="122">
        <f>SUM(AD379+AE379+AF379+AG379+AI379+AJ379+AK379+AL379)</f>
        <v/>
      </c>
    </row>
    <row r="380" ht="14.1" customHeight="1" s="259">
      <c r="A380" s="183">
        <f>A379+1</f>
        <v/>
      </c>
      <c r="B380" s="117" t="n"/>
      <c r="C380" s="119" t="n"/>
      <c r="D380" s="117" t="n"/>
      <c r="E380" s="118" t="n"/>
      <c r="F380" s="120" t="n"/>
      <c r="G380" s="118" t="n"/>
      <c r="H380" s="118" t="n"/>
      <c r="I380" s="118" t="n"/>
      <c r="J380" s="118" t="n"/>
      <c r="K380" s="118" t="n"/>
      <c r="L380" s="118" t="n"/>
      <c r="M380" s="118" t="n"/>
      <c r="N380" s="118" t="n"/>
      <c r="O380" s="118" t="n"/>
      <c r="P380" s="118" t="n"/>
      <c r="Q380" s="118" t="n"/>
      <c r="R380" s="118" t="n"/>
      <c r="S380" s="118" t="n"/>
      <c r="T380" s="117">
        <f>SUM(F380:S380)</f>
        <v/>
      </c>
      <c r="U380" s="190">
        <f>(HLOOKUP(B380,F:T,A380,FALSE)/T380)</f>
        <v/>
      </c>
      <c r="V380" s="159" t="n"/>
      <c r="W380" s="163">
        <f>YEAR(C380)</f>
        <v/>
      </c>
      <c r="X380" s="116">
        <f>MONTH(C380)</f>
        <v/>
      </c>
      <c r="Y380" s="116">
        <f>WEEKNUM(C380,21)</f>
        <v/>
      </c>
      <c r="Z380" s="122" t="n"/>
      <c r="AA380" s="122" t="n"/>
      <c r="AB380" s="122" t="n"/>
      <c r="AC380" s="122" t="n"/>
      <c r="AD380" s="122" t="n"/>
      <c r="AE380" s="122">
        <f>IFERROR(K380/$T380,0)</f>
        <v/>
      </c>
      <c r="AF380" s="122">
        <f>IFERROR(L380/$T380,0)</f>
        <v/>
      </c>
      <c r="AG380" s="122" t="n"/>
      <c r="AH380" s="122" t="n"/>
      <c r="AI380" s="122" t="n"/>
      <c r="AJ380" s="122" t="n"/>
      <c r="AK380" s="122" t="n"/>
      <c r="AL380" s="122" t="n"/>
      <c r="AM380" s="122" t="n"/>
      <c r="AN380" s="122">
        <f>SUM(Z380:AC380)</f>
        <v/>
      </c>
      <c r="AO380" s="122">
        <f>SUM(AD380:AL380)</f>
        <v/>
      </c>
      <c r="AP380" s="122">
        <f>SUM(AM380,AB380)</f>
        <v/>
      </c>
      <c r="AQ380" s="122">
        <f>SUM(AA380)</f>
        <v/>
      </c>
      <c r="AR380" s="121">
        <f>(AP380+AQ380)-3%</f>
        <v/>
      </c>
      <c r="AS380" s="122">
        <f>SUM(AO380+AM380)</f>
        <v/>
      </c>
      <c r="AT380" s="122">
        <f>SUM(AH380+AN380)</f>
        <v/>
      </c>
      <c r="AU380" s="122">
        <f>SUM(AN380+AO380)</f>
        <v/>
      </c>
      <c r="AV380" s="122">
        <f>SUM(AN380+AD380+AE380+AF380+AG380+AH380+AJ380+AK380+AL380)</f>
        <v/>
      </c>
      <c r="AW380" s="122">
        <f>SUM(AD380+AE380+AF380+AG380+AI380+AJ380+AK380+AL380)</f>
        <v/>
      </c>
    </row>
    <row r="381" ht="14.1" customHeight="1" s="259">
      <c r="A381" s="183">
        <f>A380+1</f>
        <v/>
      </c>
      <c r="B381" s="117" t="n"/>
      <c r="C381" s="119" t="n"/>
      <c r="D381" s="117" t="n"/>
      <c r="E381" s="118" t="n"/>
      <c r="F381" s="120" t="n"/>
      <c r="G381" s="118" t="n"/>
      <c r="H381" s="118" t="n"/>
      <c r="I381" s="118" t="n"/>
      <c r="J381" s="118" t="n"/>
      <c r="K381" s="118" t="n"/>
      <c r="L381" s="118" t="n"/>
      <c r="M381" s="118" t="n"/>
      <c r="N381" s="118" t="n"/>
      <c r="O381" s="118" t="n"/>
      <c r="P381" s="118" t="n"/>
      <c r="Q381" s="118" t="n"/>
      <c r="R381" s="118" t="n"/>
      <c r="S381" s="118" t="n"/>
      <c r="T381" s="117">
        <f>SUM(F381:S381)</f>
        <v/>
      </c>
      <c r="U381" s="190">
        <f>(HLOOKUP(B381,F:T,A381,FALSE)/T381)</f>
        <v/>
      </c>
      <c r="V381" s="159" t="n"/>
      <c r="W381" s="163">
        <f>YEAR(C381)</f>
        <v/>
      </c>
      <c r="X381" s="116">
        <f>MONTH(C381)</f>
        <v/>
      </c>
      <c r="Y381" s="116">
        <f>WEEKNUM(C381,21)</f>
        <v/>
      </c>
      <c r="Z381" s="122" t="n"/>
      <c r="AA381" s="122" t="n"/>
      <c r="AB381" s="122" t="n"/>
      <c r="AC381" s="122" t="n"/>
      <c r="AD381" s="122" t="n"/>
      <c r="AE381" s="122">
        <f>IFERROR(K381/$T381,0)</f>
        <v/>
      </c>
      <c r="AF381" s="122">
        <f>IFERROR(L381/$T381,0)</f>
        <v/>
      </c>
      <c r="AG381" s="122" t="n"/>
      <c r="AH381" s="122" t="n"/>
      <c r="AI381" s="122" t="n"/>
      <c r="AJ381" s="122" t="n"/>
      <c r="AK381" s="122" t="n"/>
      <c r="AL381" s="122" t="n"/>
      <c r="AM381" s="122" t="n"/>
      <c r="AN381" s="122">
        <f>SUM(Z381:AC381)</f>
        <v/>
      </c>
      <c r="AO381" s="122">
        <f>SUM(AD381:AL381)</f>
        <v/>
      </c>
      <c r="AP381" s="122">
        <f>SUM(AM381,AB381)</f>
        <v/>
      </c>
      <c r="AQ381" s="122">
        <f>SUM(AA381)</f>
        <v/>
      </c>
      <c r="AR381" s="121">
        <f>(AP381+AQ381)-3%</f>
        <v/>
      </c>
      <c r="AS381" s="122">
        <f>SUM(AO381+AM381)</f>
        <v/>
      </c>
      <c r="AT381" s="122">
        <f>SUM(AH381+AN381)</f>
        <v/>
      </c>
      <c r="AU381" s="122">
        <f>SUM(AN381+AO381)</f>
        <v/>
      </c>
      <c r="AV381" s="122">
        <f>SUM(AN381+AD381+AE381+AF381+AG381+AH381+AJ381+AK381+AL381)</f>
        <v/>
      </c>
      <c r="AW381" s="122">
        <f>SUM(AD381+AE381+AF381+AG381+AI381+AJ381+AK381+AL381)</f>
        <v/>
      </c>
    </row>
    <row r="382" ht="14.1" customHeight="1" s="259">
      <c r="A382" s="183">
        <f>A381+1</f>
        <v/>
      </c>
      <c r="B382" s="117" t="n"/>
      <c r="C382" s="119" t="n"/>
      <c r="D382" s="117" t="n"/>
      <c r="E382" s="118" t="n"/>
      <c r="F382" s="120" t="n"/>
      <c r="G382" s="118" t="n"/>
      <c r="H382" s="118" t="n"/>
      <c r="I382" s="118" t="n"/>
      <c r="J382" s="118" t="n"/>
      <c r="K382" s="118" t="n"/>
      <c r="L382" s="118" t="n"/>
      <c r="M382" s="118" t="n"/>
      <c r="N382" s="118" t="n"/>
      <c r="O382" s="118" t="n"/>
      <c r="P382" s="118" t="n"/>
      <c r="Q382" s="118" t="n"/>
      <c r="R382" s="118" t="n"/>
      <c r="S382" s="118" t="n"/>
      <c r="T382" s="117">
        <f>SUM(F382:S382)</f>
        <v/>
      </c>
      <c r="U382" s="190">
        <f>(HLOOKUP(B382,F:T,A382,FALSE)/T382)</f>
        <v/>
      </c>
      <c r="V382" s="159" t="n"/>
      <c r="W382" s="163">
        <f>YEAR(C382)</f>
        <v/>
      </c>
      <c r="X382" s="116">
        <f>MONTH(C382)</f>
        <v/>
      </c>
      <c r="Y382" s="116">
        <f>WEEKNUM(C382,21)</f>
        <v/>
      </c>
      <c r="Z382" s="122" t="n"/>
      <c r="AA382" s="122" t="n"/>
      <c r="AB382" s="122" t="n"/>
      <c r="AC382" s="122" t="n"/>
      <c r="AD382" s="122" t="n"/>
      <c r="AE382" s="122">
        <f>IFERROR(K382/$T382,0)</f>
        <v/>
      </c>
      <c r="AF382" s="122">
        <f>IFERROR(L382/$T382,0)</f>
        <v/>
      </c>
      <c r="AG382" s="122" t="n"/>
      <c r="AH382" s="122" t="n"/>
      <c r="AI382" s="122" t="n"/>
      <c r="AJ382" s="122" t="n"/>
      <c r="AK382" s="122" t="n"/>
      <c r="AL382" s="122" t="n"/>
      <c r="AM382" s="122" t="n"/>
      <c r="AN382" s="122">
        <f>SUM(Z382:AC382)</f>
        <v/>
      </c>
      <c r="AO382" s="122">
        <f>SUM(AD382:AL382)</f>
        <v/>
      </c>
      <c r="AP382" s="122">
        <f>SUM(AM382,AB382)</f>
        <v/>
      </c>
      <c r="AQ382" s="122">
        <f>SUM(AA382)</f>
        <v/>
      </c>
      <c r="AR382" s="121">
        <f>(AP382+AQ382)-3%</f>
        <v/>
      </c>
      <c r="AS382" s="122">
        <f>SUM(AO382+AM382)</f>
        <v/>
      </c>
      <c r="AT382" s="122">
        <f>SUM(AH382+AN382)</f>
        <v/>
      </c>
      <c r="AU382" s="122">
        <f>SUM(AN382+AO382)</f>
        <v/>
      </c>
      <c r="AV382" s="122">
        <f>SUM(AN382+AD382+AE382+AF382+AG382+AH382+AJ382+AK382+AL382)</f>
        <v/>
      </c>
      <c r="AW382" s="122">
        <f>SUM(AD382+AE382+AF382+AG382+AI382+AJ382+AK382+AL382)</f>
        <v/>
      </c>
    </row>
    <row r="383" ht="14.1" customHeight="1" s="259">
      <c r="A383" s="183">
        <f>A382+1</f>
        <v/>
      </c>
      <c r="B383" s="117" t="n"/>
      <c r="C383" s="119" t="n"/>
      <c r="D383" s="117" t="n"/>
      <c r="E383" s="118" t="n"/>
      <c r="F383" s="120" t="n"/>
      <c r="G383" s="118" t="n"/>
      <c r="H383" s="118" t="n"/>
      <c r="I383" s="118" t="n"/>
      <c r="J383" s="118" t="n"/>
      <c r="K383" s="118" t="n"/>
      <c r="L383" s="118" t="n"/>
      <c r="M383" s="118" t="n"/>
      <c r="N383" s="118" t="n"/>
      <c r="O383" s="118" t="n"/>
      <c r="P383" s="118" t="n"/>
      <c r="Q383" s="118" t="n"/>
      <c r="R383" s="118" t="n"/>
      <c r="S383" s="118" t="n"/>
      <c r="T383" s="117">
        <f>SUM(F383:S383)</f>
        <v/>
      </c>
      <c r="U383" s="190">
        <f>(HLOOKUP(B383,F:T,A383,FALSE)/T383)</f>
        <v/>
      </c>
      <c r="V383" s="159" t="n"/>
      <c r="W383" s="163">
        <f>YEAR(C383)</f>
        <v/>
      </c>
      <c r="X383" s="116">
        <f>MONTH(C383)</f>
        <v/>
      </c>
      <c r="Y383" s="116">
        <f>WEEKNUM(C383,21)</f>
        <v/>
      </c>
      <c r="Z383" s="122" t="n"/>
      <c r="AA383" s="122" t="n"/>
      <c r="AB383" s="122" t="n"/>
      <c r="AC383" s="122" t="n"/>
      <c r="AD383" s="122" t="n"/>
      <c r="AE383" s="122">
        <f>IFERROR(K383/$T383,0)</f>
        <v/>
      </c>
      <c r="AF383" s="122">
        <f>IFERROR(L383/$T383,0)</f>
        <v/>
      </c>
      <c r="AG383" s="122" t="n"/>
      <c r="AH383" s="122" t="n"/>
      <c r="AI383" s="122" t="n"/>
      <c r="AJ383" s="122" t="n"/>
      <c r="AK383" s="122" t="n"/>
      <c r="AL383" s="122" t="n"/>
      <c r="AM383" s="122" t="n"/>
      <c r="AN383" s="122">
        <f>SUM(Z383:AC383)</f>
        <v/>
      </c>
      <c r="AO383" s="122">
        <f>SUM(AD383:AL383)</f>
        <v/>
      </c>
      <c r="AP383" s="122">
        <f>SUM(AM383,AB383)</f>
        <v/>
      </c>
      <c r="AQ383" s="122">
        <f>SUM(AA383)</f>
        <v/>
      </c>
      <c r="AR383" s="121">
        <f>(AP383+AQ383)-3%</f>
        <v/>
      </c>
      <c r="AS383" s="122">
        <f>SUM(AO383+AM383)</f>
        <v/>
      </c>
      <c r="AT383" s="122">
        <f>SUM(AH383+AN383)</f>
        <v/>
      </c>
      <c r="AU383" s="122">
        <f>SUM(AN383+AO383)</f>
        <v/>
      </c>
      <c r="AV383" s="122">
        <f>SUM(AN383+AD383+AE383+AF383+AG383+AH383+AJ383+AK383+AL383)</f>
        <v/>
      </c>
      <c r="AW383" s="122">
        <f>SUM(AD383+AE383+AF383+AG383+AI383+AJ383+AK383+AL383)</f>
        <v/>
      </c>
    </row>
    <row r="384" ht="14.1" customHeight="1" s="259">
      <c r="A384" s="183">
        <f>A383+1</f>
        <v/>
      </c>
      <c r="B384" s="117" t="n"/>
      <c r="C384" s="119" t="n"/>
      <c r="D384" s="117" t="n"/>
      <c r="E384" s="118" t="n"/>
      <c r="F384" s="120" t="n"/>
      <c r="G384" s="118" t="n"/>
      <c r="H384" s="118" t="n"/>
      <c r="I384" s="118" t="n"/>
      <c r="J384" s="118" t="n"/>
      <c r="K384" s="118" t="n"/>
      <c r="L384" s="118" t="n"/>
      <c r="M384" s="118" t="n"/>
      <c r="N384" s="118" t="n"/>
      <c r="O384" s="118" t="n"/>
      <c r="P384" s="118" t="n"/>
      <c r="Q384" s="118" t="n"/>
      <c r="R384" s="118" t="n"/>
      <c r="S384" s="118" t="n"/>
      <c r="T384" s="117">
        <f>SUM(F384:S384)</f>
        <v/>
      </c>
      <c r="U384" s="190">
        <f>(HLOOKUP(B384,F:T,A384,FALSE)/T384)</f>
        <v/>
      </c>
      <c r="V384" s="159" t="n"/>
      <c r="W384" s="163">
        <f>YEAR(C384)</f>
        <v/>
      </c>
      <c r="X384" s="116">
        <f>MONTH(C384)</f>
        <v/>
      </c>
      <c r="Y384" s="116">
        <f>WEEKNUM(C384,21)</f>
        <v/>
      </c>
      <c r="Z384" s="122" t="n"/>
      <c r="AA384" s="122" t="n"/>
      <c r="AB384" s="122" t="n"/>
      <c r="AC384" s="122" t="n"/>
      <c r="AD384" s="122" t="n"/>
      <c r="AE384" s="122">
        <f>IFERROR(K384/$T384,0)</f>
        <v/>
      </c>
      <c r="AF384" s="122">
        <f>IFERROR(L384/$T384,0)</f>
        <v/>
      </c>
      <c r="AG384" s="122" t="n"/>
      <c r="AH384" s="122" t="n"/>
      <c r="AI384" s="122" t="n"/>
      <c r="AJ384" s="122" t="n"/>
      <c r="AK384" s="122" t="n"/>
      <c r="AL384" s="122" t="n"/>
      <c r="AM384" s="122" t="n"/>
      <c r="AN384" s="122">
        <f>SUM(Z384:AC384)</f>
        <v/>
      </c>
      <c r="AO384" s="122">
        <f>SUM(AD384:AL384)</f>
        <v/>
      </c>
      <c r="AP384" s="122">
        <f>SUM(AM384,AB384)</f>
        <v/>
      </c>
      <c r="AQ384" s="122">
        <f>SUM(AA384)</f>
        <v/>
      </c>
      <c r="AR384" s="121">
        <f>(AP384+AQ384)-3%</f>
        <v/>
      </c>
      <c r="AS384" s="122">
        <f>SUM(AO384+AM384)</f>
        <v/>
      </c>
      <c r="AT384" s="122">
        <f>SUM(AH384+AN384)</f>
        <v/>
      </c>
      <c r="AU384" s="122">
        <f>SUM(AN384+AO384)</f>
        <v/>
      </c>
      <c r="AV384" s="122">
        <f>SUM(AN384+AD384+AE384+AF384+AG384+AH384+AJ384+AK384+AL384)</f>
        <v/>
      </c>
      <c r="AW384" s="122">
        <f>SUM(AD384+AE384+AF384+AG384+AI384+AJ384+AK384+AL384)</f>
        <v/>
      </c>
    </row>
    <row r="385" ht="14.1" customHeight="1" s="259">
      <c r="A385" s="183">
        <f>A384+1</f>
        <v/>
      </c>
      <c r="B385" s="117" t="n"/>
      <c r="C385" s="119" t="n"/>
      <c r="D385" s="117" t="n"/>
      <c r="E385" s="118" t="n"/>
      <c r="F385" s="120" t="n"/>
      <c r="G385" s="118" t="n"/>
      <c r="H385" s="118" t="n"/>
      <c r="I385" s="118" t="n"/>
      <c r="J385" s="118" t="n"/>
      <c r="K385" s="118" t="n"/>
      <c r="L385" s="118" t="n"/>
      <c r="M385" s="118" t="n"/>
      <c r="N385" s="118" t="n"/>
      <c r="O385" s="118" t="n"/>
      <c r="P385" s="118" t="n"/>
      <c r="Q385" s="118" t="n"/>
      <c r="R385" s="118" t="n"/>
      <c r="S385" s="118" t="n"/>
      <c r="T385" s="117">
        <f>SUM(F385:S385)</f>
        <v/>
      </c>
      <c r="U385" s="190">
        <f>(HLOOKUP(B385,F:T,A385,FALSE)/T385)</f>
        <v/>
      </c>
      <c r="V385" s="159" t="n"/>
      <c r="W385" s="163">
        <f>YEAR(C385)</f>
        <v/>
      </c>
      <c r="X385" s="116">
        <f>MONTH(C385)</f>
        <v/>
      </c>
      <c r="Y385" s="116">
        <f>WEEKNUM(C385,21)</f>
        <v/>
      </c>
      <c r="Z385" s="122" t="n"/>
      <c r="AA385" s="122" t="n"/>
      <c r="AB385" s="122" t="n"/>
      <c r="AC385" s="122" t="n"/>
      <c r="AD385" s="122" t="n"/>
      <c r="AE385" s="122">
        <f>IFERROR(K385/$T385,0)</f>
        <v/>
      </c>
      <c r="AF385" s="122">
        <f>IFERROR(L385/$T385,0)</f>
        <v/>
      </c>
      <c r="AG385" s="122" t="n"/>
      <c r="AH385" s="122" t="n"/>
      <c r="AI385" s="122" t="n"/>
      <c r="AJ385" s="122" t="n"/>
      <c r="AK385" s="122" t="n"/>
      <c r="AL385" s="122" t="n"/>
      <c r="AM385" s="122" t="n"/>
      <c r="AN385" s="122">
        <f>SUM(Z385:AC385)</f>
        <v/>
      </c>
      <c r="AO385" s="122">
        <f>SUM(AD385:AL385)</f>
        <v/>
      </c>
      <c r="AP385" s="122">
        <f>SUM(AM385,AB385)</f>
        <v/>
      </c>
      <c r="AQ385" s="122">
        <f>SUM(AA385)</f>
        <v/>
      </c>
      <c r="AR385" s="121">
        <f>(AP385+AQ385)-3%</f>
        <v/>
      </c>
      <c r="AS385" s="122">
        <f>SUM(AO385+AM385)</f>
        <v/>
      </c>
      <c r="AT385" s="122">
        <f>SUM(AH385+AN385)</f>
        <v/>
      </c>
      <c r="AU385" s="122">
        <f>SUM(AN385+AO385)</f>
        <v/>
      </c>
      <c r="AV385" s="122">
        <f>SUM(AN385+AD385+AE385+AF385+AG385+AH385+AJ385+AK385+AL385)</f>
        <v/>
      </c>
      <c r="AW385" s="122">
        <f>SUM(AD385+AE385+AF385+AG385+AI385+AJ385+AK385+AL385)</f>
        <v/>
      </c>
    </row>
    <row r="386" ht="14.1" customHeight="1" s="259">
      <c r="A386" s="183">
        <f>A385+1</f>
        <v/>
      </c>
      <c r="B386" s="117" t="n"/>
      <c r="C386" s="119" t="n"/>
      <c r="D386" s="117" t="n"/>
      <c r="E386" s="118" t="n"/>
      <c r="F386" s="120" t="n"/>
      <c r="G386" s="118" t="n"/>
      <c r="H386" s="118" t="n"/>
      <c r="I386" s="118" t="n"/>
      <c r="J386" s="118" t="n"/>
      <c r="K386" s="118" t="n"/>
      <c r="L386" s="118" t="n"/>
      <c r="M386" s="118" t="n"/>
      <c r="N386" s="118" t="n"/>
      <c r="O386" s="118" t="n"/>
      <c r="P386" s="118" t="n"/>
      <c r="Q386" s="118" t="n"/>
      <c r="R386" s="118" t="n"/>
      <c r="S386" s="118" t="n"/>
      <c r="T386" s="117">
        <f>SUM(F386:S386)</f>
        <v/>
      </c>
      <c r="U386" s="190">
        <f>(HLOOKUP(B386,F:T,A386,FALSE)/T386)</f>
        <v/>
      </c>
      <c r="V386" s="159" t="n"/>
      <c r="W386" s="163">
        <f>YEAR(C386)</f>
        <v/>
      </c>
      <c r="X386" s="116">
        <f>MONTH(C386)</f>
        <v/>
      </c>
      <c r="Y386" s="116">
        <f>WEEKNUM(C386,21)</f>
        <v/>
      </c>
      <c r="Z386" s="122" t="n"/>
      <c r="AA386" s="122" t="n"/>
      <c r="AB386" s="122" t="n"/>
      <c r="AC386" s="122" t="n"/>
      <c r="AD386" s="122" t="n"/>
      <c r="AE386" s="122">
        <f>IFERROR(K386/$T386,0)</f>
        <v/>
      </c>
      <c r="AF386" s="122">
        <f>IFERROR(L386/$T386,0)</f>
        <v/>
      </c>
      <c r="AG386" s="122" t="n"/>
      <c r="AH386" s="122" t="n"/>
      <c r="AI386" s="122" t="n"/>
      <c r="AJ386" s="122" t="n"/>
      <c r="AK386" s="122" t="n"/>
      <c r="AL386" s="122" t="n"/>
      <c r="AM386" s="122" t="n"/>
      <c r="AN386" s="122">
        <f>SUM(Z386:AC386)</f>
        <v/>
      </c>
      <c r="AO386" s="122">
        <f>SUM(AD386:AL386)</f>
        <v/>
      </c>
      <c r="AP386" s="122">
        <f>SUM(AM386,AB386)</f>
        <v/>
      </c>
      <c r="AQ386" s="122">
        <f>SUM(AA386)</f>
        <v/>
      </c>
      <c r="AR386" s="121">
        <f>(AP386+AQ386)-3%</f>
        <v/>
      </c>
      <c r="AS386" s="122">
        <f>SUM(AO386+AM386)</f>
        <v/>
      </c>
      <c r="AT386" s="122">
        <f>SUM(AH386+AN386)</f>
        <v/>
      </c>
      <c r="AU386" s="122">
        <f>SUM(AN386+AO386)</f>
        <v/>
      </c>
      <c r="AV386" s="122">
        <f>SUM(AN386+AD386+AE386+AF386+AG386+AH386+AJ386+AK386+AL386)</f>
        <v/>
      </c>
      <c r="AW386" s="122">
        <f>SUM(AD386+AE386+AF386+AG386+AI386+AJ386+AK386+AL386)</f>
        <v/>
      </c>
    </row>
    <row r="387" ht="14.1" customHeight="1" s="259">
      <c r="A387" s="183">
        <f>A386+1</f>
        <v/>
      </c>
      <c r="B387" s="117" t="n"/>
      <c r="C387" s="119" t="n"/>
      <c r="D387" s="117" t="n"/>
      <c r="E387" s="118" t="n"/>
      <c r="F387" s="120" t="n"/>
      <c r="G387" s="118" t="n"/>
      <c r="H387" s="118" t="n"/>
      <c r="I387" s="118" t="n"/>
      <c r="J387" s="118" t="n"/>
      <c r="K387" s="118" t="n"/>
      <c r="L387" s="118" t="n"/>
      <c r="M387" s="118" t="n"/>
      <c r="N387" s="118" t="n"/>
      <c r="O387" s="118" t="n"/>
      <c r="P387" s="118" t="n"/>
      <c r="Q387" s="118" t="n"/>
      <c r="R387" s="118" t="n"/>
      <c r="S387" s="118" t="n"/>
      <c r="T387" s="117">
        <f>SUM(F387:S387)</f>
        <v/>
      </c>
      <c r="U387" s="190">
        <f>(HLOOKUP(B387,F:T,A387,FALSE)/T387)</f>
        <v/>
      </c>
      <c r="V387" s="159" t="n"/>
      <c r="W387" s="163">
        <f>YEAR(C387)</f>
        <v/>
      </c>
      <c r="X387" s="116">
        <f>MONTH(C387)</f>
        <v/>
      </c>
      <c r="Y387" s="116">
        <f>WEEKNUM(C387,21)</f>
        <v/>
      </c>
      <c r="Z387" s="122" t="n"/>
      <c r="AA387" s="122" t="n"/>
      <c r="AB387" s="122" t="n"/>
      <c r="AC387" s="122" t="n"/>
      <c r="AD387" s="122" t="n"/>
      <c r="AE387" s="122">
        <f>IFERROR(K387/$T387,0)</f>
        <v/>
      </c>
      <c r="AF387" s="122">
        <f>IFERROR(L387/$T387,0)</f>
        <v/>
      </c>
      <c r="AG387" s="122" t="n"/>
      <c r="AH387" s="122" t="n"/>
      <c r="AI387" s="122" t="n"/>
      <c r="AJ387" s="122" t="n"/>
      <c r="AK387" s="122" t="n"/>
      <c r="AL387" s="122" t="n"/>
      <c r="AM387" s="122" t="n"/>
      <c r="AN387" s="122">
        <f>SUM(Z387:AC387)</f>
        <v/>
      </c>
      <c r="AO387" s="122">
        <f>SUM(AD387:AL387)</f>
        <v/>
      </c>
      <c r="AP387" s="122">
        <f>SUM(AM387,AB387)</f>
        <v/>
      </c>
      <c r="AQ387" s="122">
        <f>SUM(AA387)</f>
        <v/>
      </c>
      <c r="AR387" s="121">
        <f>(AP387+AQ387)-3%</f>
        <v/>
      </c>
      <c r="AS387" s="122">
        <f>SUM(AO387+AM387)</f>
        <v/>
      </c>
      <c r="AT387" s="122">
        <f>SUM(AH387+AN387)</f>
        <v/>
      </c>
      <c r="AU387" s="122">
        <f>SUM(AN387+AO387)</f>
        <v/>
      </c>
      <c r="AV387" s="122">
        <f>SUM(AN387+AD387+AE387+AF387+AG387+AH387+AJ387+AK387+AL387)</f>
        <v/>
      </c>
      <c r="AW387" s="122">
        <f>SUM(AD387+AE387+AF387+AG387+AI387+AJ387+AK387+AL387)</f>
        <v/>
      </c>
    </row>
    <row r="388" ht="14.1" customHeight="1" s="259">
      <c r="A388" s="183">
        <f>A387+1</f>
        <v/>
      </c>
      <c r="B388" s="117" t="n"/>
      <c r="C388" s="119" t="n"/>
      <c r="D388" s="117" t="n"/>
      <c r="E388" s="118" t="n"/>
      <c r="F388" s="120" t="n"/>
      <c r="G388" s="118" t="n"/>
      <c r="H388" s="118" t="n"/>
      <c r="I388" s="118" t="n"/>
      <c r="J388" s="118" t="n"/>
      <c r="K388" s="118" t="n"/>
      <c r="L388" s="118" t="n"/>
      <c r="M388" s="118" t="n"/>
      <c r="N388" s="118" t="n"/>
      <c r="O388" s="118" t="n"/>
      <c r="P388" s="118" t="n"/>
      <c r="Q388" s="118" t="n"/>
      <c r="R388" s="118" t="n"/>
      <c r="S388" s="118" t="n"/>
      <c r="T388" s="117">
        <f>SUM(F388:S388)</f>
        <v/>
      </c>
      <c r="U388" s="190">
        <f>(HLOOKUP(B388,F:T,A388,FALSE)/T388)</f>
        <v/>
      </c>
      <c r="V388" s="159" t="n"/>
      <c r="W388" s="163">
        <f>YEAR(C388)</f>
        <v/>
      </c>
      <c r="X388" s="116">
        <f>MONTH(C388)</f>
        <v/>
      </c>
      <c r="Y388" s="116">
        <f>WEEKNUM(C388,21)</f>
        <v/>
      </c>
      <c r="Z388" s="122" t="n"/>
      <c r="AA388" s="122" t="n"/>
      <c r="AB388" s="122" t="n"/>
      <c r="AC388" s="122" t="n"/>
      <c r="AD388" s="122" t="n"/>
      <c r="AE388" s="122">
        <f>IFERROR(K388/$T388,0)</f>
        <v/>
      </c>
      <c r="AF388" s="122">
        <f>IFERROR(L388/$T388,0)</f>
        <v/>
      </c>
      <c r="AG388" s="122" t="n"/>
      <c r="AH388" s="122" t="n"/>
      <c r="AI388" s="122" t="n"/>
      <c r="AJ388" s="122" t="n"/>
      <c r="AK388" s="122" t="n"/>
      <c r="AL388" s="122" t="n"/>
      <c r="AM388" s="122" t="n"/>
      <c r="AN388" s="122">
        <f>SUM(Z388:AC388)</f>
        <v/>
      </c>
      <c r="AO388" s="122">
        <f>SUM(AD388:AL388)</f>
        <v/>
      </c>
      <c r="AP388" s="122">
        <f>SUM(AM388,AB388)</f>
        <v/>
      </c>
      <c r="AQ388" s="122">
        <f>SUM(AA388)</f>
        <v/>
      </c>
      <c r="AR388" s="121">
        <f>(AP388+AQ388)-3%</f>
        <v/>
      </c>
      <c r="AS388" s="122">
        <f>SUM(AO388+AM388)</f>
        <v/>
      </c>
      <c r="AT388" s="122">
        <f>SUM(AH388+AN388)</f>
        <v/>
      </c>
      <c r="AU388" s="122">
        <f>SUM(AN388+AO388)</f>
        <v/>
      </c>
      <c r="AV388" s="122">
        <f>SUM(AN388+AD388+AE388+AF388+AG388+AH388+AJ388+AK388+AL388)</f>
        <v/>
      </c>
      <c r="AW388" s="122">
        <f>SUM(AD388+AE388+AF388+AG388+AI388+AJ388+AK388+AL388)</f>
        <v/>
      </c>
    </row>
    <row r="389" ht="14.1" customHeight="1" s="259">
      <c r="A389" s="183">
        <f>A388+1</f>
        <v/>
      </c>
      <c r="B389" s="117" t="n"/>
      <c r="C389" s="119" t="n"/>
      <c r="D389" s="117" t="n"/>
      <c r="E389" s="118" t="n"/>
      <c r="F389" s="120" t="n"/>
      <c r="G389" s="118" t="n"/>
      <c r="H389" s="118" t="n"/>
      <c r="I389" s="118" t="n"/>
      <c r="J389" s="118" t="n"/>
      <c r="K389" s="118" t="n"/>
      <c r="L389" s="118" t="n"/>
      <c r="M389" s="118" t="n"/>
      <c r="N389" s="118" t="n"/>
      <c r="O389" s="118" t="n"/>
      <c r="P389" s="118" t="n"/>
      <c r="Q389" s="118" t="n"/>
      <c r="R389" s="118" t="n"/>
      <c r="S389" s="118" t="n"/>
      <c r="T389" s="117">
        <f>SUM(F389:S389)</f>
        <v/>
      </c>
      <c r="U389" s="190">
        <f>(HLOOKUP(B389,F:T,A389,FALSE)/T389)</f>
        <v/>
      </c>
      <c r="V389" s="159" t="n"/>
      <c r="W389" s="163">
        <f>YEAR(C389)</f>
        <v/>
      </c>
      <c r="X389" s="116">
        <f>MONTH(C389)</f>
        <v/>
      </c>
      <c r="Y389" s="116">
        <f>WEEKNUM(C389,21)</f>
        <v/>
      </c>
      <c r="Z389" s="122" t="n"/>
      <c r="AA389" s="122" t="n"/>
      <c r="AB389" s="122" t="n"/>
      <c r="AC389" s="122" t="n"/>
      <c r="AD389" s="122" t="n"/>
      <c r="AE389" s="122">
        <f>IFERROR(K389/$T389,0)</f>
        <v/>
      </c>
      <c r="AF389" s="122">
        <f>IFERROR(L389/$T389,0)</f>
        <v/>
      </c>
      <c r="AG389" s="122" t="n"/>
      <c r="AH389" s="122" t="n"/>
      <c r="AI389" s="122" t="n"/>
      <c r="AJ389" s="122" t="n"/>
      <c r="AK389" s="122" t="n"/>
      <c r="AL389" s="122" t="n"/>
      <c r="AM389" s="122" t="n"/>
      <c r="AN389" s="122">
        <f>SUM(Z389:AC389)</f>
        <v/>
      </c>
      <c r="AO389" s="122">
        <f>SUM(AD389:AL389)</f>
        <v/>
      </c>
      <c r="AP389" s="122">
        <f>SUM(AM389,AB389)</f>
        <v/>
      </c>
      <c r="AQ389" s="122">
        <f>SUM(AA389)</f>
        <v/>
      </c>
      <c r="AR389" s="121">
        <f>(AP389+AQ389)-3%</f>
        <v/>
      </c>
      <c r="AS389" s="122">
        <f>SUM(AO389+AM389)</f>
        <v/>
      </c>
      <c r="AT389" s="122">
        <f>SUM(AH389+AN389)</f>
        <v/>
      </c>
      <c r="AU389" s="122">
        <f>SUM(AN389+AO389)</f>
        <v/>
      </c>
      <c r="AV389" s="122">
        <f>SUM(AN389+AD389+AE389+AF389+AG389+AH389+AJ389+AK389+AL389)</f>
        <v/>
      </c>
      <c r="AW389" s="122">
        <f>SUM(AD389+AE389+AF389+AG389+AI389+AJ389+AK389+AL389)</f>
        <v/>
      </c>
    </row>
    <row r="390" ht="14.1" customHeight="1" s="259">
      <c r="A390" s="183">
        <f>A389+1</f>
        <v/>
      </c>
      <c r="B390" s="117" t="n"/>
      <c r="C390" s="119" t="n"/>
      <c r="D390" s="117" t="n"/>
      <c r="E390" s="118" t="n"/>
      <c r="F390" s="120" t="n"/>
      <c r="G390" s="118" t="n"/>
      <c r="H390" s="118" t="n"/>
      <c r="I390" s="118" t="n"/>
      <c r="J390" s="118" t="n"/>
      <c r="K390" s="118" t="n"/>
      <c r="L390" s="118" t="n"/>
      <c r="M390" s="118" t="n"/>
      <c r="N390" s="118" t="n"/>
      <c r="O390" s="118" t="n"/>
      <c r="P390" s="118" t="n"/>
      <c r="Q390" s="118" t="n"/>
      <c r="R390" s="118" t="n"/>
      <c r="S390" s="118" t="n"/>
      <c r="T390" s="117">
        <f>SUM(F390:S390)</f>
        <v/>
      </c>
      <c r="U390" s="190">
        <f>(HLOOKUP(B390,F:T,A390,FALSE)/T390)</f>
        <v/>
      </c>
      <c r="V390" s="159" t="n"/>
      <c r="W390" s="163">
        <f>YEAR(C390)</f>
        <v/>
      </c>
      <c r="X390" s="116">
        <f>MONTH(C390)</f>
        <v/>
      </c>
      <c r="Y390" s="116">
        <f>WEEKNUM(C390,21)</f>
        <v/>
      </c>
      <c r="Z390" s="122" t="n"/>
      <c r="AA390" s="122" t="n"/>
      <c r="AB390" s="122" t="n"/>
      <c r="AC390" s="122" t="n"/>
      <c r="AD390" s="122" t="n"/>
      <c r="AE390" s="122">
        <f>IFERROR(K390/$T390,0)</f>
        <v/>
      </c>
      <c r="AF390" s="122">
        <f>IFERROR(L390/$T390,0)</f>
        <v/>
      </c>
      <c r="AG390" s="122" t="n"/>
      <c r="AH390" s="122" t="n"/>
      <c r="AI390" s="122" t="n"/>
      <c r="AJ390" s="122" t="n"/>
      <c r="AK390" s="122" t="n"/>
      <c r="AL390" s="122" t="n"/>
      <c r="AM390" s="122" t="n"/>
      <c r="AN390" s="122">
        <f>SUM(Z390:AC390)</f>
        <v/>
      </c>
      <c r="AO390" s="122">
        <f>SUM(AD390:AL390)</f>
        <v/>
      </c>
      <c r="AP390" s="122">
        <f>SUM(AM390,AB390)</f>
        <v/>
      </c>
      <c r="AQ390" s="122">
        <f>SUM(AA390)</f>
        <v/>
      </c>
      <c r="AR390" s="121">
        <f>(AP390+AQ390)-3%</f>
        <v/>
      </c>
      <c r="AS390" s="122">
        <f>SUM(AO390+AM390)</f>
        <v/>
      </c>
      <c r="AT390" s="122">
        <f>SUM(AH390+AN390)</f>
        <v/>
      </c>
      <c r="AU390" s="122">
        <f>SUM(AN390+AO390)</f>
        <v/>
      </c>
      <c r="AV390" s="122">
        <f>SUM(AN390+AD390+AE390+AF390+AG390+AH390+AJ390+AK390+AL390)</f>
        <v/>
      </c>
      <c r="AW390" s="122">
        <f>SUM(AD390+AE390+AF390+AG390+AI390+AJ390+AK390+AL390)</f>
        <v/>
      </c>
    </row>
    <row r="391" ht="14.1" customHeight="1" s="259">
      <c r="A391" s="183">
        <f>A390+1</f>
        <v/>
      </c>
      <c r="B391" s="117" t="n"/>
      <c r="C391" s="119" t="n"/>
      <c r="D391" s="117" t="n"/>
      <c r="E391" s="118" t="n"/>
      <c r="F391" s="120" t="n"/>
      <c r="G391" s="118" t="n"/>
      <c r="H391" s="118" t="n"/>
      <c r="I391" s="118" t="n"/>
      <c r="J391" s="118" t="n"/>
      <c r="K391" s="118" t="n"/>
      <c r="L391" s="118" t="n"/>
      <c r="M391" s="118" t="n"/>
      <c r="N391" s="118" t="n"/>
      <c r="O391" s="118" t="n"/>
      <c r="P391" s="118" t="n"/>
      <c r="Q391" s="118" t="n"/>
      <c r="R391" s="118" t="n"/>
      <c r="S391" s="118" t="n"/>
      <c r="T391" s="117">
        <f>SUM(F391:S391)</f>
        <v/>
      </c>
      <c r="U391" s="190">
        <f>(HLOOKUP(B391,F:T,A391,FALSE)/T391)</f>
        <v/>
      </c>
      <c r="V391" s="159" t="n"/>
      <c r="W391" s="163">
        <f>YEAR(C391)</f>
        <v/>
      </c>
      <c r="X391" s="116">
        <f>MONTH(C391)</f>
        <v/>
      </c>
      <c r="Y391" s="116">
        <f>WEEKNUM(C391,21)</f>
        <v/>
      </c>
      <c r="Z391" s="122" t="n"/>
      <c r="AA391" s="122" t="n"/>
      <c r="AB391" s="122" t="n"/>
      <c r="AC391" s="122" t="n"/>
      <c r="AD391" s="122" t="n"/>
      <c r="AE391" s="122">
        <f>IFERROR(K391/$T391,0)</f>
        <v/>
      </c>
      <c r="AF391" s="122">
        <f>IFERROR(L391/$T391,0)</f>
        <v/>
      </c>
      <c r="AG391" s="122" t="n"/>
      <c r="AH391" s="122" t="n"/>
      <c r="AI391" s="122" t="n"/>
      <c r="AJ391" s="122" t="n"/>
      <c r="AK391" s="122" t="n"/>
      <c r="AL391" s="122" t="n"/>
      <c r="AM391" s="122" t="n"/>
      <c r="AN391" s="122">
        <f>SUM(Z391:AC391)</f>
        <v/>
      </c>
      <c r="AO391" s="122">
        <f>SUM(AD391:AL391)</f>
        <v/>
      </c>
      <c r="AP391" s="122">
        <f>SUM(AM391,AB391)</f>
        <v/>
      </c>
      <c r="AQ391" s="122">
        <f>SUM(AA391)</f>
        <v/>
      </c>
      <c r="AR391" s="121">
        <f>(AP391+AQ391)-3%</f>
        <v/>
      </c>
      <c r="AS391" s="122">
        <f>SUM(AO391+AM391)</f>
        <v/>
      </c>
      <c r="AT391" s="122">
        <f>SUM(AH391+AN391)</f>
        <v/>
      </c>
      <c r="AU391" s="122">
        <f>SUM(AN391+AO391)</f>
        <v/>
      </c>
      <c r="AV391" s="122">
        <f>SUM(AN391+AD391+AE391+AF391+AG391+AH391+AJ391+AK391+AL391)</f>
        <v/>
      </c>
      <c r="AW391" s="122">
        <f>SUM(AD391+AE391+AF391+AG391+AI391+AJ391+AK391+AL391)</f>
        <v/>
      </c>
    </row>
    <row r="392" ht="14.1" customHeight="1" s="259">
      <c r="A392" s="183">
        <f>A391+1</f>
        <v/>
      </c>
      <c r="B392" s="117" t="n"/>
      <c r="C392" s="119" t="n"/>
      <c r="D392" s="117" t="n"/>
      <c r="E392" s="118" t="n"/>
      <c r="F392" s="120" t="n"/>
      <c r="G392" s="118" t="n"/>
      <c r="H392" s="118" t="n"/>
      <c r="I392" s="118" t="n"/>
      <c r="J392" s="118" t="n"/>
      <c r="K392" s="118" t="n"/>
      <c r="L392" s="118" t="n"/>
      <c r="M392" s="118" t="n"/>
      <c r="N392" s="118" t="n"/>
      <c r="O392" s="118" t="n"/>
      <c r="P392" s="118" t="n"/>
      <c r="Q392" s="118" t="n"/>
      <c r="R392" s="118" t="n"/>
      <c r="S392" s="118" t="n"/>
      <c r="T392" s="117">
        <f>SUM(F392:S392)</f>
        <v/>
      </c>
      <c r="U392" s="190">
        <f>(HLOOKUP(B392,F:T,A392,FALSE)/T392)</f>
        <v/>
      </c>
      <c r="V392" s="159" t="n"/>
      <c r="W392" s="163">
        <f>YEAR(C392)</f>
        <v/>
      </c>
      <c r="X392" s="116">
        <f>MONTH(C392)</f>
        <v/>
      </c>
      <c r="Y392" s="116">
        <f>WEEKNUM(C392,21)</f>
        <v/>
      </c>
      <c r="Z392" s="122" t="n"/>
      <c r="AA392" s="122" t="n"/>
      <c r="AB392" s="122" t="n"/>
      <c r="AC392" s="122" t="n"/>
      <c r="AD392" s="122" t="n"/>
      <c r="AE392" s="122">
        <f>IFERROR(K392/$T392,0)</f>
        <v/>
      </c>
      <c r="AF392" s="122">
        <f>IFERROR(L392/$T392,0)</f>
        <v/>
      </c>
      <c r="AG392" s="122" t="n"/>
      <c r="AH392" s="122" t="n"/>
      <c r="AI392" s="122" t="n"/>
      <c r="AJ392" s="122" t="n"/>
      <c r="AK392" s="122" t="n"/>
      <c r="AL392" s="122" t="n"/>
      <c r="AM392" s="122" t="n"/>
      <c r="AN392" s="122">
        <f>SUM(Z392:AC392)</f>
        <v/>
      </c>
      <c r="AO392" s="122">
        <f>SUM(AD392:AL392)</f>
        <v/>
      </c>
      <c r="AP392" s="122">
        <f>SUM(AM392,AB392)</f>
        <v/>
      </c>
      <c r="AQ392" s="122">
        <f>SUM(AA392)</f>
        <v/>
      </c>
      <c r="AR392" s="121">
        <f>(AP392+AQ392)-3%</f>
        <v/>
      </c>
      <c r="AS392" s="122">
        <f>SUM(AO392+AM392)</f>
        <v/>
      </c>
      <c r="AT392" s="122">
        <f>SUM(AH392+AN392)</f>
        <v/>
      </c>
      <c r="AU392" s="122">
        <f>SUM(AN392+AO392)</f>
        <v/>
      </c>
      <c r="AV392" s="122">
        <f>SUM(AN392+AD392+AE392+AF392+AG392+AH392+AJ392+AK392+AL392)</f>
        <v/>
      </c>
      <c r="AW392" s="122">
        <f>SUM(AD392+AE392+AF392+AG392+AI392+AJ392+AK392+AL392)</f>
        <v/>
      </c>
    </row>
    <row r="393" ht="14.1" customHeight="1" s="259">
      <c r="A393" s="183">
        <f>A392+1</f>
        <v/>
      </c>
      <c r="B393" s="117" t="n"/>
      <c r="C393" s="119" t="n"/>
      <c r="D393" s="117" t="n"/>
      <c r="E393" s="118" t="n"/>
      <c r="F393" s="120" t="n"/>
      <c r="G393" s="118" t="n"/>
      <c r="H393" s="118" t="n"/>
      <c r="I393" s="118" t="n"/>
      <c r="J393" s="118" t="n"/>
      <c r="K393" s="118" t="n"/>
      <c r="L393" s="118" t="n"/>
      <c r="M393" s="118" t="n"/>
      <c r="N393" s="118" t="n"/>
      <c r="O393" s="118" t="n"/>
      <c r="P393" s="118" t="n"/>
      <c r="Q393" s="118" t="n"/>
      <c r="R393" s="118" t="n"/>
      <c r="S393" s="118" t="n"/>
      <c r="T393" s="117">
        <f>SUM(F393:S393)</f>
        <v/>
      </c>
      <c r="U393" s="190">
        <f>(HLOOKUP(B393,F:T,A393,FALSE)/T393)</f>
        <v/>
      </c>
      <c r="V393" s="159" t="n"/>
      <c r="W393" s="163">
        <f>YEAR(C393)</f>
        <v/>
      </c>
      <c r="X393" s="116">
        <f>MONTH(C393)</f>
        <v/>
      </c>
      <c r="Y393" s="116">
        <f>WEEKNUM(C393,21)</f>
        <v/>
      </c>
      <c r="Z393" s="122" t="n"/>
      <c r="AA393" s="122" t="n"/>
      <c r="AB393" s="122" t="n"/>
      <c r="AC393" s="122" t="n"/>
      <c r="AD393" s="122" t="n"/>
      <c r="AE393" s="122">
        <f>IFERROR(K393/$T393,0)</f>
        <v/>
      </c>
      <c r="AF393" s="122">
        <f>IFERROR(L393/$T393,0)</f>
        <v/>
      </c>
      <c r="AG393" s="122" t="n"/>
      <c r="AH393" s="122" t="n"/>
      <c r="AI393" s="122" t="n"/>
      <c r="AJ393" s="122" t="n"/>
      <c r="AK393" s="122" t="n"/>
      <c r="AL393" s="122" t="n"/>
      <c r="AM393" s="122" t="n"/>
      <c r="AN393" s="122">
        <f>SUM(Z393:AC393)</f>
        <v/>
      </c>
      <c r="AO393" s="122">
        <f>SUM(AD393:AL393)</f>
        <v/>
      </c>
      <c r="AP393" s="122">
        <f>SUM(AM393,AB393)</f>
        <v/>
      </c>
      <c r="AQ393" s="122">
        <f>SUM(AA393)</f>
        <v/>
      </c>
      <c r="AR393" s="121">
        <f>(AP393+AQ393)-3%</f>
        <v/>
      </c>
      <c r="AS393" s="122">
        <f>SUM(AO393+AM393)</f>
        <v/>
      </c>
      <c r="AT393" s="122">
        <f>SUM(AH393+AN393)</f>
        <v/>
      </c>
      <c r="AU393" s="122">
        <f>SUM(AN393+AO393)</f>
        <v/>
      </c>
      <c r="AV393" s="122">
        <f>SUM(AN393+AD393+AE393+AF393+AG393+AH393+AJ393+AK393+AL393)</f>
        <v/>
      </c>
      <c r="AW393" s="122">
        <f>SUM(AD393+AE393+AF393+AG393+AI393+AJ393+AK393+AL393)</f>
        <v/>
      </c>
    </row>
    <row r="394" ht="14.1" customHeight="1" s="259">
      <c r="A394" s="183">
        <f>A393+1</f>
        <v/>
      </c>
      <c r="B394" s="117" t="n"/>
      <c r="C394" s="119" t="n"/>
      <c r="D394" s="117" t="n"/>
      <c r="E394" s="118" t="n"/>
      <c r="F394" s="120" t="n"/>
      <c r="G394" s="118" t="n"/>
      <c r="H394" s="118" t="n"/>
      <c r="I394" s="118" t="n"/>
      <c r="J394" s="118" t="n"/>
      <c r="K394" s="118" t="n"/>
      <c r="L394" s="118" t="n"/>
      <c r="M394" s="118" t="n"/>
      <c r="N394" s="118" t="n"/>
      <c r="O394" s="118" t="n"/>
      <c r="P394" s="118" t="n"/>
      <c r="Q394" s="118" t="n"/>
      <c r="R394" s="118" t="n"/>
      <c r="S394" s="118" t="n"/>
      <c r="T394" s="117">
        <f>SUM(F394:S394)</f>
        <v/>
      </c>
      <c r="U394" s="190">
        <f>(HLOOKUP(B394,F:T,A394,FALSE)/T394)</f>
        <v/>
      </c>
      <c r="V394" s="159" t="n"/>
      <c r="W394" s="163">
        <f>YEAR(C394)</f>
        <v/>
      </c>
      <c r="X394" s="116">
        <f>MONTH(C394)</f>
        <v/>
      </c>
      <c r="Y394" s="116">
        <f>WEEKNUM(C394,21)</f>
        <v/>
      </c>
      <c r="Z394" s="122" t="n"/>
      <c r="AA394" s="122" t="n"/>
      <c r="AB394" s="122" t="n"/>
      <c r="AC394" s="122" t="n"/>
      <c r="AD394" s="122" t="n"/>
      <c r="AE394" s="122">
        <f>IFERROR(K394/$T394,0)</f>
        <v/>
      </c>
      <c r="AF394" s="122">
        <f>IFERROR(L394/$T394,0)</f>
        <v/>
      </c>
      <c r="AG394" s="122" t="n"/>
      <c r="AH394" s="122" t="n"/>
      <c r="AI394" s="122" t="n"/>
      <c r="AJ394" s="122" t="n"/>
      <c r="AK394" s="122" t="n"/>
      <c r="AL394" s="122" t="n"/>
      <c r="AM394" s="122" t="n"/>
      <c r="AN394" s="122">
        <f>SUM(Z394:AC394)</f>
        <v/>
      </c>
      <c r="AO394" s="122">
        <f>SUM(AD394:AL394)</f>
        <v/>
      </c>
      <c r="AP394" s="122">
        <f>SUM(AM394,AB394)</f>
        <v/>
      </c>
      <c r="AQ394" s="122">
        <f>SUM(AA394)</f>
        <v/>
      </c>
      <c r="AR394" s="121">
        <f>(AP394+AQ394)-3%</f>
        <v/>
      </c>
      <c r="AS394" s="122">
        <f>SUM(AO394+AM394)</f>
        <v/>
      </c>
      <c r="AT394" s="122">
        <f>SUM(AH394+AN394)</f>
        <v/>
      </c>
      <c r="AU394" s="122">
        <f>SUM(AN394+AO394)</f>
        <v/>
      </c>
      <c r="AV394" s="122">
        <f>SUM(AN394+AD394+AE394+AF394+AG394+AH394+AJ394+AK394+AL394)</f>
        <v/>
      </c>
      <c r="AW394" s="122">
        <f>SUM(AD394+AE394+AF394+AG394+AI394+AJ394+AK394+AL394)</f>
        <v/>
      </c>
    </row>
    <row r="395" ht="14.1" customHeight="1" s="259">
      <c r="A395" s="183">
        <f>A394+1</f>
        <v/>
      </c>
      <c r="B395" s="117" t="n"/>
      <c r="C395" s="119" t="n"/>
      <c r="D395" s="117" t="n"/>
      <c r="E395" s="118" t="n"/>
      <c r="F395" s="120" t="n"/>
      <c r="G395" s="118" t="n"/>
      <c r="H395" s="118" t="n"/>
      <c r="I395" s="118" t="n"/>
      <c r="J395" s="118" t="n"/>
      <c r="K395" s="118" t="n"/>
      <c r="L395" s="118" t="n"/>
      <c r="M395" s="118" t="n"/>
      <c r="N395" s="118" t="n"/>
      <c r="O395" s="118" t="n"/>
      <c r="P395" s="118" t="n"/>
      <c r="Q395" s="118" t="n"/>
      <c r="R395" s="118" t="n"/>
      <c r="S395" s="118" t="n"/>
      <c r="T395" s="117">
        <f>SUM(F395:S395)</f>
        <v/>
      </c>
      <c r="U395" s="190">
        <f>(HLOOKUP(B395,F:T,A395,FALSE)/T395)</f>
        <v/>
      </c>
      <c r="V395" s="159" t="n"/>
      <c r="W395" s="163">
        <f>YEAR(C395)</f>
        <v/>
      </c>
      <c r="X395" s="116">
        <f>MONTH(C395)</f>
        <v/>
      </c>
      <c r="Y395" s="116">
        <f>WEEKNUM(C395,21)</f>
        <v/>
      </c>
      <c r="Z395" s="122" t="n"/>
      <c r="AA395" s="122" t="n"/>
      <c r="AB395" s="122" t="n"/>
      <c r="AC395" s="122" t="n"/>
      <c r="AD395" s="122" t="n"/>
      <c r="AE395" s="122">
        <f>IFERROR(K395/$T395,0)</f>
        <v/>
      </c>
      <c r="AF395" s="122">
        <f>IFERROR(L395/$T395,0)</f>
        <v/>
      </c>
      <c r="AG395" s="122" t="n"/>
      <c r="AH395" s="122" t="n"/>
      <c r="AI395" s="122" t="n"/>
      <c r="AJ395" s="122" t="n"/>
      <c r="AK395" s="122" t="n"/>
      <c r="AL395" s="122" t="n"/>
      <c r="AM395" s="122" t="n"/>
      <c r="AN395" s="122">
        <f>SUM(Z395:AC395)</f>
        <v/>
      </c>
      <c r="AO395" s="122">
        <f>SUM(AD395:AL395)</f>
        <v/>
      </c>
      <c r="AP395" s="122">
        <f>SUM(AM395,AB395)</f>
        <v/>
      </c>
      <c r="AQ395" s="122">
        <f>SUM(AA395)</f>
        <v/>
      </c>
      <c r="AR395" s="121">
        <f>(AP395+AQ395)-3%</f>
        <v/>
      </c>
      <c r="AS395" s="122">
        <f>SUM(AO395+AM395)</f>
        <v/>
      </c>
      <c r="AT395" s="122">
        <f>SUM(AH395+AN395)</f>
        <v/>
      </c>
      <c r="AU395" s="122">
        <f>SUM(AN395+AO395)</f>
        <v/>
      </c>
      <c r="AV395" s="122">
        <f>SUM(AN395+AD395+AE395+AF395+AG395+AH395+AJ395+AK395+AL395)</f>
        <v/>
      </c>
      <c r="AW395" s="122">
        <f>SUM(AD395+AE395+AF395+AG395+AI395+AJ395+AK395+AL395)</f>
        <v/>
      </c>
    </row>
    <row r="396" ht="14.1" customHeight="1" s="259">
      <c r="A396" s="183">
        <f>A395+1</f>
        <v/>
      </c>
      <c r="B396" s="117" t="n"/>
      <c r="C396" s="119" t="n"/>
      <c r="D396" s="117" t="n"/>
      <c r="E396" s="118" t="n"/>
      <c r="F396" s="120" t="n"/>
      <c r="G396" s="118" t="n"/>
      <c r="H396" s="118" t="n"/>
      <c r="I396" s="118" t="n"/>
      <c r="J396" s="118" t="n"/>
      <c r="K396" s="118" t="n"/>
      <c r="L396" s="118" t="n"/>
      <c r="M396" s="118" t="n"/>
      <c r="N396" s="118" t="n"/>
      <c r="O396" s="118" t="n"/>
      <c r="P396" s="118" t="n"/>
      <c r="Q396" s="118" t="n"/>
      <c r="R396" s="118" t="n"/>
      <c r="S396" s="118" t="n"/>
      <c r="T396" s="117">
        <f>SUM(F396:S396)</f>
        <v/>
      </c>
      <c r="U396" s="190">
        <f>(HLOOKUP(B396,F:T,A396,FALSE)/T396)</f>
        <v/>
      </c>
      <c r="V396" s="159" t="n"/>
      <c r="W396" s="163">
        <f>YEAR(C396)</f>
        <v/>
      </c>
      <c r="X396" s="116">
        <f>MONTH(C396)</f>
        <v/>
      </c>
      <c r="Y396" s="116">
        <f>WEEKNUM(C396,21)</f>
        <v/>
      </c>
      <c r="Z396" s="122" t="n"/>
      <c r="AA396" s="122" t="n"/>
      <c r="AB396" s="122" t="n"/>
      <c r="AC396" s="122" t="n"/>
      <c r="AD396" s="122" t="n"/>
      <c r="AE396" s="122">
        <f>IFERROR(K396/$T396,0)</f>
        <v/>
      </c>
      <c r="AF396" s="122">
        <f>IFERROR(L396/$T396,0)</f>
        <v/>
      </c>
      <c r="AG396" s="122" t="n"/>
      <c r="AH396" s="122" t="n"/>
      <c r="AI396" s="122" t="n"/>
      <c r="AJ396" s="122" t="n"/>
      <c r="AK396" s="122" t="n"/>
      <c r="AL396" s="122" t="n"/>
      <c r="AM396" s="122" t="n"/>
      <c r="AN396" s="122">
        <f>SUM(Z396:AC396)</f>
        <v/>
      </c>
      <c r="AO396" s="122">
        <f>SUM(AD396:AL396)</f>
        <v/>
      </c>
      <c r="AP396" s="122">
        <f>SUM(AM396,AB396)</f>
        <v/>
      </c>
      <c r="AQ396" s="122">
        <f>SUM(AA396)</f>
        <v/>
      </c>
      <c r="AR396" s="121">
        <f>(AP396+AQ396)-3%</f>
        <v/>
      </c>
      <c r="AS396" s="122">
        <f>SUM(AO396+AM396)</f>
        <v/>
      </c>
      <c r="AT396" s="122">
        <f>SUM(AH396+AN396)</f>
        <v/>
      </c>
      <c r="AU396" s="122">
        <f>SUM(AN396+AO396)</f>
        <v/>
      </c>
      <c r="AV396" s="122">
        <f>SUM(AN396+AD396+AE396+AF396+AG396+AH396+AJ396+AK396+AL396)</f>
        <v/>
      </c>
      <c r="AW396" s="122">
        <f>SUM(AD396+AE396+AF396+AG396+AI396+AJ396+AK396+AL396)</f>
        <v/>
      </c>
    </row>
    <row r="397" ht="14.1" customHeight="1" s="259">
      <c r="A397" s="183">
        <f>A396+1</f>
        <v/>
      </c>
      <c r="B397" s="117" t="n"/>
      <c r="C397" s="119" t="n"/>
      <c r="D397" s="117" t="n"/>
      <c r="E397" s="118" t="n"/>
      <c r="F397" s="120" t="n"/>
      <c r="G397" s="118" t="n"/>
      <c r="H397" s="118" t="n"/>
      <c r="I397" s="118" t="n"/>
      <c r="J397" s="118" t="n"/>
      <c r="K397" s="118" t="n"/>
      <c r="L397" s="118" t="n"/>
      <c r="M397" s="118" t="n"/>
      <c r="N397" s="118" t="n"/>
      <c r="O397" s="118" t="n"/>
      <c r="P397" s="118" t="n"/>
      <c r="Q397" s="118" t="n"/>
      <c r="R397" s="118" t="n"/>
      <c r="S397" s="118" t="n"/>
      <c r="T397" s="117">
        <f>SUM(F397:S397)</f>
        <v/>
      </c>
      <c r="U397" s="190">
        <f>(HLOOKUP(B397,F:T,A397,FALSE)/T397)</f>
        <v/>
      </c>
      <c r="V397" s="159" t="n"/>
      <c r="W397" s="163">
        <f>YEAR(C397)</f>
        <v/>
      </c>
      <c r="X397" s="116">
        <f>MONTH(C397)</f>
        <v/>
      </c>
      <c r="Y397" s="116">
        <f>WEEKNUM(C397,21)</f>
        <v/>
      </c>
      <c r="Z397" s="122" t="n"/>
      <c r="AA397" s="122" t="n"/>
      <c r="AB397" s="122" t="n"/>
      <c r="AC397" s="122" t="n"/>
      <c r="AD397" s="122" t="n"/>
      <c r="AE397" s="122">
        <f>IFERROR(K397/$T397,0)</f>
        <v/>
      </c>
      <c r="AF397" s="122">
        <f>IFERROR(L397/$T397,0)</f>
        <v/>
      </c>
      <c r="AG397" s="122" t="n"/>
      <c r="AH397" s="122" t="n"/>
      <c r="AI397" s="122" t="n"/>
      <c r="AJ397" s="122" t="n"/>
      <c r="AK397" s="122" t="n"/>
      <c r="AL397" s="122" t="n"/>
      <c r="AM397" s="122" t="n"/>
      <c r="AN397" s="122">
        <f>SUM(Z397:AC397)</f>
        <v/>
      </c>
      <c r="AO397" s="122">
        <f>SUM(AD397:AL397)</f>
        <v/>
      </c>
      <c r="AP397" s="122">
        <f>SUM(AM397,AB397)</f>
        <v/>
      </c>
      <c r="AQ397" s="122">
        <f>SUM(AA397)</f>
        <v/>
      </c>
      <c r="AR397" s="121">
        <f>(AP397+AQ397)-3%</f>
        <v/>
      </c>
      <c r="AS397" s="122">
        <f>SUM(AO397+AM397)</f>
        <v/>
      </c>
      <c r="AT397" s="122">
        <f>SUM(AH397+AN397)</f>
        <v/>
      </c>
      <c r="AU397" s="122">
        <f>SUM(AN397+AO397)</f>
        <v/>
      </c>
      <c r="AV397" s="122">
        <f>SUM(AN397+AD397+AE397+AF397+AG397+AH397+AJ397+AK397+AL397)</f>
        <v/>
      </c>
      <c r="AW397" s="122">
        <f>SUM(AD397+AE397+AF397+AG397+AI397+AJ397+AK397+AL397)</f>
        <v/>
      </c>
    </row>
    <row r="398" ht="14.1" customHeight="1" s="259">
      <c r="A398" s="183">
        <f>A397+1</f>
        <v/>
      </c>
      <c r="B398" s="117" t="n"/>
      <c r="C398" s="119" t="n"/>
      <c r="D398" s="117" t="n"/>
      <c r="E398" s="118" t="n"/>
      <c r="F398" s="120" t="n"/>
      <c r="G398" s="118" t="n"/>
      <c r="H398" s="118" t="n"/>
      <c r="I398" s="118" t="n"/>
      <c r="J398" s="118" t="n"/>
      <c r="K398" s="118" t="n"/>
      <c r="L398" s="118" t="n"/>
      <c r="M398" s="118" t="n"/>
      <c r="N398" s="118" t="n"/>
      <c r="O398" s="118" t="n"/>
      <c r="P398" s="118" t="n"/>
      <c r="Q398" s="118" t="n"/>
      <c r="R398" s="118" t="n"/>
      <c r="S398" s="118" t="n"/>
      <c r="T398" s="117">
        <f>SUM(F398:S398)</f>
        <v/>
      </c>
      <c r="U398" s="190">
        <f>(HLOOKUP(B398,F:T,A398,FALSE)/T398)</f>
        <v/>
      </c>
      <c r="V398" s="159" t="n"/>
      <c r="W398" s="163">
        <f>YEAR(C398)</f>
        <v/>
      </c>
      <c r="X398" s="116">
        <f>MONTH(C398)</f>
        <v/>
      </c>
      <c r="Y398" s="116">
        <f>WEEKNUM(C398,21)</f>
        <v/>
      </c>
      <c r="Z398" s="122" t="n"/>
      <c r="AA398" s="122" t="n"/>
      <c r="AB398" s="122" t="n"/>
      <c r="AC398" s="122" t="n"/>
      <c r="AD398" s="122" t="n"/>
      <c r="AE398" s="122">
        <f>IFERROR(K398/$T398,0)</f>
        <v/>
      </c>
      <c r="AF398" s="122">
        <f>IFERROR(L398/$T398,0)</f>
        <v/>
      </c>
      <c r="AG398" s="122" t="n"/>
      <c r="AH398" s="122" t="n"/>
      <c r="AI398" s="122" t="n"/>
      <c r="AJ398" s="122" t="n"/>
      <c r="AK398" s="122" t="n"/>
      <c r="AL398" s="122" t="n"/>
      <c r="AM398" s="122" t="n"/>
      <c r="AN398" s="122">
        <f>SUM(Z398:AC398)</f>
        <v/>
      </c>
      <c r="AO398" s="122">
        <f>SUM(AD398:AL398)</f>
        <v/>
      </c>
      <c r="AP398" s="122">
        <f>SUM(AM398,AB398)</f>
        <v/>
      </c>
      <c r="AQ398" s="122">
        <f>SUM(AA398)</f>
        <v/>
      </c>
      <c r="AR398" s="121">
        <f>(AP398+AQ398)-3%</f>
        <v/>
      </c>
      <c r="AS398" s="122">
        <f>SUM(AO398+AM398)</f>
        <v/>
      </c>
      <c r="AT398" s="122">
        <f>SUM(AH398+AN398)</f>
        <v/>
      </c>
      <c r="AU398" s="122">
        <f>SUM(AN398+AO398)</f>
        <v/>
      </c>
      <c r="AV398" s="122">
        <f>SUM(AN398+AD398+AE398+AF398+AG398+AH398+AJ398+AK398+AL398)</f>
        <v/>
      </c>
      <c r="AW398" s="122">
        <f>SUM(AD398+AE398+AF398+AG398+AI398+AJ398+AK398+AL398)</f>
        <v/>
      </c>
    </row>
    <row r="399" ht="14.1" customHeight="1" s="259">
      <c r="A399" s="183">
        <f>A398+1</f>
        <v/>
      </c>
      <c r="B399" s="117" t="n"/>
      <c r="C399" s="119" t="n"/>
      <c r="D399" s="117" t="n"/>
      <c r="E399" s="118" t="n"/>
      <c r="F399" s="120" t="n"/>
      <c r="G399" s="118" t="n"/>
      <c r="H399" s="118" t="n"/>
      <c r="I399" s="118" t="n"/>
      <c r="J399" s="118" t="n"/>
      <c r="K399" s="118" t="n"/>
      <c r="L399" s="118" t="n"/>
      <c r="M399" s="118" t="n"/>
      <c r="N399" s="118" t="n"/>
      <c r="O399" s="118" t="n"/>
      <c r="P399" s="118" t="n"/>
      <c r="Q399" s="118" t="n"/>
      <c r="R399" s="118" t="n"/>
      <c r="S399" s="118" t="n"/>
      <c r="T399" s="117">
        <f>SUM(F399:S399)</f>
        <v/>
      </c>
      <c r="U399" s="190">
        <f>(HLOOKUP(B399,F:T,A399,FALSE)/T399)</f>
        <v/>
      </c>
      <c r="V399" s="159" t="n"/>
      <c r="W399" s="163">
        <f>YEAR(C399)</f>
        <v/>
      </c>
      <c r="X399" s="116">
        <f>MONTH(C399)</f>
        <v/>
      </c>
      <c r="Y399" s="116">
        <f>WEEKNUM(C399,21)</f>
        <v/>
      </c>
      <c r="Z399" s="122" t="n"/>
      <c r="AA399" s="122" t="n"/>
      <c r="AB399" s="122" t="n"/>
      <c r="AC399" s="122" t="n"/>
      <c r="AD399" s="122" t="n"/>
      <c r="AE399" s="122">
        <f>IFERROR(K399/$T399,0)</f>
        <v/>
      </c>
      <c r="AF399" s="122">
        <f>IFERROR(L399/$T399,0)</f>
        <v/>
      </c>
      <c r="AG399" s="122" t="n"/>
      <c r="AH399" s="122" t="n"/>
      <c r="AI399" s="122" t="n"/>
      <c r="AJ399" s="122" t="n"/>
      <c r="AK399" s="122" t="n"/>
      <c r="AL399" s="122" t="n"/>
      <c r="AM399" s="122" t="n"/>
      <c r="AN399" s="122">
        <f>SUM(Z399:AC399)</f>
        <v/>
      </c>
      <c r="AO399" s="122">
        <f>SUM(AD399:AL399)</f>
        <v/>
      </c>
      <c r="AP399" s="122">
        <f>SUM(AM399,AB399)</f>
        <v/>
      </c>
      <c r="AQ399" s="122">
        <f>SUM(AA399)</f>
        <v/>
      </c>
      <c r="AR399" s="121">
        <f>(AP399+AQ399)-3%</f>
        <v/>
      </c>
      <c r="AS399" s="122">
        <f>SUM(AO399+AM399)</f>
        <v/>
      </c>
      <c r="AT399" s="122">
        <f>SUM(AH399+AN399)</f>
        <v/>
      </c>
      <c r="AU399" s="122">
        <f>SUM(AN399+AO399)</f>
        <v/>
      </c>
      <c r="AV399" s="122">
        <f>SUM(AN399+AD399+AE399+AF399+AG399+AH399+AJ399+AK399+AL399)</f>
        <v/>
      </c>
      <c r="AW399" s="122">
        <f>SUM(AD399+AE399+AF399+AG399+AI399+AJ399+AK399+AL399)</f>
        <v/>
      </c>
    </row>
    <row r="400" ht="14.1" customHeight="1" s="259">
      <c r="A400" s="183">
        <f>A399+1</f>
        <v/>
      </c>
      <c r="B400" s="117" t="n"/>
      <c r="C400" s="119" t="n"/>
      <c r="D400" s="117" t="n"/>
      <c r="E400" s="118" t="n"/>
      <c r="F400" s="120" t="n"/>
      <c r="G400" s="118" t="n"/>
      <c r="H400" s="118" t="n"/>
      <c r="I400" s="118" t="n"/>
      <c r="J400" s="118" t="n"/>
      <c r="K400" s="118" t="n"/>
      <c r="L400" s="118" t="n"/>
      <c r="M400" s="118" t="n"/>
      <c r="N400" s="118" t="n"/>
      <c r="O400" s="118" t="n"/>
      <c r="P400" s="118" t="n"/>
      <c r="Q400" s="118" t="n"/>
      <c r="R400" s="118" t="n"/>
      <c r="S400" s="118" t="n"/>
      <c r="T400" s="117">
        <f>SUM(F400:S400)</f>
        <v/>
      </c>
      <c r="U400" s="190">
        <f>(HLOOKUP(B400,F:T,A400,FALSE)/T400)</f>
        <v/>
      </c>
      <c r="V400" s="159" t="n"/>
      <c r="W400" s="163">
        <f>YEAR(C400)</f>
        <v/>
      </c>
      <c r="X400" s="116">
        <f>MONTH(C400)</f>
        <v/>
      </c>
      <c r="Y400" s="116">
        <f>WEEKNUM(C400,21)</f>
        <v/>
      </c>
      <c r="Z400" s="122" t="n"/>
      <c r="AA400" s="122" t="n"/>
      <c r="AB400" s="122" t="n"/>
      <c r="AC400" s="122" t="n"/>
      <c r="AD400" s="122" t="n"/>
      <c r="AE400" s="122">
        <f>IFERROR(K400/$T400,0)</f>
        <v/>
      </c>
      <c r="AF400" s="122">
        <f>IFERROR(L400/$T400,0)</f>
        <v/>
      </c>
      <c r="AG400" s="122" t="n"/>
      <c r="AH400" s="122" t="n"/>
      <c r="AI400" s="122" t="n"/>
      <c r="AJ400" s="122" t="n"/>
      <c r="AK400" s="122" t="n"/>
      <c r="AL400" s="122" t="n"/>
      <c r="AM400" s="122" t="n"/>
      <c r="AN400" s="122">
        <f>SUM(Z400:AC400)</f>
        <v/>
      </c>
      <c r="AO400" s="122">
        <f>SUM(AD400:AL400)</f>
        <v/>
      </c>
      <c r="AP400" s="122">
        <f>SUM(AM400,AB400)</f>
        <v/>
      </c>
      <c r="AQ400" s="122">
        <f>SUM(AA400)</f>
        <v/>
      </c>
      <c r="AR400" s="121">
        <f>(AP400+AQ400)-3%</f>
        <v/>
      </c>
      <c r="AS400" s="122">
        <f>SUM(AO400+AM400)</f>
        <v/>
      </c>
      <c r="AT400" s="122">
        <f>SUM(AH400+AN400)</f>
        <v/>
      </c>
      <c r="AU400" s="122">
        <f>SUM(AN400+AO400)</f>
        <v/>
      </c>
      <c r="AV400" s="122">
        <f>SUM(AN400+AD400+AE400+AF400+AG400+AH400+AJ400+AK400+AL400)</f>
        <v/>
      </c>
      <c r="AW400" s="122">
        <f>SUM(AD400+AE400+AF400+AG400+AI400+AJ400+AK400+AL400)</f>
        <v/>
      </c>
    </row>
    <row r="401" ht="14.1" customHeight="1" s="259">
      <c r="A401" s="183">
        <f>A400+1</f>
        <v/>
      </c>
      <c r="B401" s="117" t="n"/>
      <c r="C401" s="119" t="n"/>
      <c r="D401" s="117" t="n"/>
      <c r="E401" s="118" t="n"/>
      <c r="F401" s="120" t="n"/>
      <c r="G401" s="118" t="n"/>
      <c r="H401" s="118" t="n"/>
      <c r="I401" s="118" t="n"/>
      <c r="J401" s="118" t="n"/>
      <c r="K401" s="118" t="n"/>
      <c r="L401" s="118" t="n"/>
      <c r="M401" s="118" t="n"/>
      <c r="N401" s="118" t="n"/>
      <c r="O401" s="118" t="n"/>
      <c r="P401" s="118" t="n"/>
      <c r="Q401" s="118" t="n"/>
      <c r="R401" s="118" t="n"/>
      <c r="S401" s="118" t="n"/>
      <c r="T401" s="117">
        <f>SUM(F401:S401)</f>
        <v/>
      </c>
      <c r="U401" s="190">
        <f>(HLOOKUP(B401,F:T,A401,FALSE)/T401)</f>
        <v/>
      </c>
      <c r="V401" s="159" t="n"/>
      <c r="W401" s="163">
        <f>YEAR(C401)</f>
        <v/>
      </c>
      <c r="X401" s="116">
        <f>MONTH(C401)</f>
        <v/>
      </c>
      <c r="Y401" s="116">
        <f>WEEKNUM(C401,21)</f>
        <v/>
      </c>
      <c r="Z401" s="122" t="n"/>
      <c r="AA401" s="122" t="n"/>
      <c r="AB401" s="122" t="n"/>
      <c r="AC401" s="122" t="n"/>
      <c r="AD401" s="122" t="n"/>
      <c r="AE401" s="122">
        <f>IFERROR(K401/$T401,0)</f>
        <v/>
      </c>
      <c r="AF401" s="122">
        <f>IFERROR(L401/$T401,0)</f>
        <v/>
      </c>
      <c r="AG401" s="122" t="n"/>
      <c r="AH401" s="122" t="n"/>
      <c r="AI401" s="122" t="n"/>
      <c r="AJ401" s="122" t="n"/>
      <c r="AK401" s="122" t="n"/>
      <c r="AL401" s="122" t="n"/>
      <c r="AM401" s="122" t="n"/>
      <c r="AN401" s="122">
        <f>SUM(Z401:AC401)</f>
        <v/>
      </c>
      <c r="AO401" s="122">
        <f>SUM(AD401:AL401)</f>
        <v/>
      </c>
      <c r="AP401" s="122">
        <f>SUM(AM401,AB401)</f>
        <v/>
      </c>
      <c r="AQ401" s="122">
        <f>SUM(AA401)</f>
        <v/>
      </c>
      <c r="AR401" s="121">
        <f>(AP401+AQ401)-3%</f>
        <v/>
      </c>
      <c r="AS401" s="122">
        <f>SUM(AO401+AM401)</f>
        <v/>
      </c>
      <c r="AT401" s="122">
        <f>SUM(AH401+AN401)</f>
        <v/>
      </c>
      <c r="AU401" s="122">
        <f>SUM(AN401+AO401)</f>
        <v/>
      </c>
      <c r="AV401" s="122">
        <f>SUM(AN401+AD401+AE401+AF401+AG401+AH401+AJ401+AK401+AL401)</f>
        <v/>
      </c>
      <c r="AW401" s="122">
        <f>SUM(AD401+AE401+AF401+AG401+AI401+AJ401+AK401+AL401)</f>
        <v/>
      </c>
    </row>
    <row r="402" ht="14.1" customHeight="1" s="259">
      <c r="A402" s="183">
        <f>A401+1</f>
        <v/>
      </c>
      <c r="B402" s="117" t="n"/>
      <c r="C402" s="119" t="n"/>
      <c r="D402" s="117" t="n"/>
      <c r="E402" s="118" t="n"/>
      <c r="F402" s="120" t="n"/>
      <c r="G402" s="118" t="n"/>
      <c r="H402" s="118" t="n"/>
      <c r="I402" s="118" t="n"/>
      <c r="J402" s="118" t="n"/>
      <c r="K402" s="118" t="n"/>
      <c r="L402" s="118" t="n"/>
      <c r="M402" s="118" t="n"/>
      <c r="N402" s="118" t="n"/>
      <c r="O402" s="118" t="n"/>
      <c r="P402" s="118" t="n"/>
      <c r="Q402" s="118" t="n"/>
      <c r="R402" s="118" t="n"/>
      <c r="S402" s="118" t="n"/>
      <c r="T402" s="117">
        <f>SUM(F402:S402)</f>
        <v/>
      </c>
      <c r="U402" s="190">
        <f>(HLOOKUP(B402,F:T,A402,FALSE)/T402)</f>
        <v/>
      </c>
      <c r="V402" s="159" t="n"/>
      <c r="W402" s="163">
        <f>YEAR(C402)</f>
        <v/>
      </c>
      <c r="X402" s="116">
        <f>MONTH(C402)</f>
        <v/>
      </c>
      <c r="Y402" s="116">
        <f>WEEKNUM(C402,21)</f>
        <v/>
      </c>
      <c r="Z402" s="122" t="n"/>
      <c r="AA402" s="122" t="n"/>
      <c r="AB402" s="122" t="n"/>
      <c r="AC402" s="122" t="n"/>
      <c r="AD402" s="122" t="n"/>
      <c r="AE402" s="122">
        <f>IFERROR(K402/$T402,0)</f>
        <v/>
      </c>
      <c r="AF402" s="122">
        <f>IFERROR(L402/$T402,0)</f>
        <v/>
      </c>
      <c r="AG402" s="122" t="n"/>
      <c r="AH402" s="122" t="n"/>
      <c r="AI402" s="122" t="n"/>
      <c r="AJ402" s="122" t="n"/>
      <c r="AK402" s="122" t="n"/>
      <c r="AL402" s="122" t="n"/>
      <c r="AM402" s="122" t="n"/>
      <c r="AN402" s="122">
        <f>SUM(Z402:AC402)</f>
        <v/>
      </c>
      <c r="AO402" s="122">
        <f>SUM(AD402:AL402)</f>
        <v/>
      </c>
      <c r="AP402" s="122">
        <f>SUM(AM402,AB402)</f>
        <v/>
      </c>
      <c r="AQ402" s="122">
        <f>SUM(AA402)</f>
        <v/>
      </c>
      <c r="AR402" s="121">
        <f>(AP402+AQ402)-3%</f>
        <v/>
      </c>
      <c r="AS402" s="122">
        <f>SUM(AO402+AM402)</f>
        <v/>
      </c>
      <c r="AT402" s="122">
        <f>SUM(AH402+AN402)</f>
        <v/>
      </c>
      <c r="AU402" s="122">
        <f>SUM(AN402+AO402)</f>
        <v/>
      </c>
      <c r="AV402" s="122">
        <f>SUM(AN402+AD402+AE402+AF402+AG402+AH402+AJ402+AK402+AL402)</f>
        <v/>
      </c>
      <c r="AW402" s="122">
        <f>SUM(AD402+AE402+AF402+AG402+AI402+AJ402+AK402+AL402)</f>
        <v/>
      </c>
    </row>
    <row r="403" ht="14.1" customHeight="1" s="259">
      <c r="A403" s="183">
        <f>A402+1</f>
        <v/>
      </c>
      <c r="B403" s="117" t="n"/>
      <c r="C403" s="119" t="n"/>
      <c r="D403" s="117" t="n"/>
      <c r="E403" s="118" t="n"/>
      <c r="F403" s="120" t="n"/>
      <c r="G403" s="118" t="n"/>
      <c r="H403" s="118" t="n"/>
      <c r="I403" s="118" t="n"/>
      <c r="J403" s="118" t="n"/>
      <c r="K403" s="118" t="n"/>
      <c r="L403" s="118" t="n"/>
      <c r="M403" s="118" t="n"/>
      <c r="N403" s="118" t="n"/>
      <c r="O403" s="118" t="n"/>
      <c r="P403" s="118" t="n"/>
      <c r="Q403" s="118" t="n"/>
      <c r="R403" s="118" t="n"/>
      <c r="S403" s="118" t="n"/>
      <c r="T403" s="117">
        <f>SUM(F403:S403)</f>
        <v/>
      </c>
      <c r="U403" s="190">
        <f>(HLOOKUP(B403,F:T,A403,FALSE)/T403)</f>
        <v/>
      </c>
      <c r="V403" s="159" t="n"/>
      <c r="W403" s="163">
        <f>YEAR(C403)</f>
        <v/>
      </c>
      <c r="X403" s="116">
        <f>MONTH(C403)</f>
        <v/>
      </c>
      <c r="Y403" s="116">
        <f>WEEKNUM(C403,21)</f>
        <v/>
      </c>
      <c r="Z403" s="122" t="n"/>
      <c r="AA403" s="122" t="n"/>
      <c r="AB403" s="122" t="n"/>
      <c r="AC403" s="122" t="n"/>
      <c r="AD403" s="122" t="n"/>
      <c r="AE403" s="122">
        <f>IFERROR(K403/$T403,0)</f>
        <v/>
      </c>
      <c r="AF403" s="122">
        <f>IFERROR(L403/$T403,0)</f>
        <v/>
      </c>
      <c r="AG403" s="122" t="n"/>
      <c r="AH403" s="122" t="n"/>
      <c r="AI403" s="122" t="n"/>
      <c r="AJ403" s="122" t="n"/>
      <c r="AK403" s="122" t="n"/>
      <c r="AL403" s="122" t="n"/>
      <c r="AM403" s="122" t="n"/>
      <c r="AN403" s="122">
        <f>SUM(Z403:AC403)</f>
        <v/>
      </c>
      <c r="AO403" s="122">
        <f>SUM(AD403:AL403)</f>
        <v/>
      </c>
      <c r="AP403" s="122">
        <f>SUM(AM403,AB403)</f>
        <v/>
      </c>
      <c r="AQ403" s="122">
        <f>SUM(AA403)</f>
        <v/>
      </c>
      <c r="AR403" s="121">
        <f>(AP403+AQ403)-3%</f>
        <v/>
      </c>
      <c r="AS403" s="122">
        <f>SUM(AO403+AM403)</f>
        <v/>
      </c>
      <c r="AT403" s="122">
        <f>SUM(AH403+AN403)</f>
        <v/>
      </c>
      <c r="AU403" s="122">
        <f>SUM(AN403+AO403)</f>
        <v/>
      </c>
      <c r="AV403" s="122">
        <f>SUM(AN403+AD403+AE403+AF403+AG403+AH403+AJ403+AK403+AL403)</f>
        <v/>
      </c>
      <c r="AW403" s="122">
        <f>SUM(AD403+AE403+AF403+AG403+AI403+AJ403+AK403+AL403)</f>
        <v/>
      </c>
    </row>
    <row r="404" ht="14.1" customHeight="1" s="259">
      <c r="A404" s="183">
        <f>A403+1</f>
        <v/>
      </c>
      <c r="B404" s="117" t="n"/>
      <c r="C404" s="119" t="n"/>
      <c r="D404" s="117" t="n"/>
      <c r="E404" s="118" t="n"/>
      <c r="F404" s="120" t="n"/>
      <c r="G404" s="118" t="n"/>
      <c r="H404" s="118" t="n"/>
      <c r="I404" s="118" t="n"/>
      <c r="J404" s="118" t="n"/>
      <c r="K404" s="118" t="n"/>
      <c r="L404" s="118" t="n"/>
      <c r="M404" s="118" t="n"/>
      <c r="N404" s="118" t="n"/>
      <c r="O404" s="118" t="n"/>
      <c r="P404" s="118" t="n"/>
      <c r="Q404" s="118" t="n"/>
      <c r="R404" s="118" t="n"/>
      <c r="S404" s="118" t="n"/>
      <c r="T404" s="117">
        <f>SUM(F404:S404)</f>
        <v/>
      </c>
      <c r="U404" s="190">
        <f>(HLOOKUP(B404,F:T,A404,FALSE)/T404)</f>
        <v/>
      </c>
      <c r="V404" s="159" t="n"/>
      <c r="W404" s="163">
        <f>YEAR(C404)</f>
        <v/>
      </c>
      <c r="X404" s="116">
        <f>MONTH(C404)</f>
        <v/>
      </c>
      <c r="Y404" s="116">
        <f>WEEKNUM(C404,21)</f>
        <v/>
      </c>
      <c r="Z404" s="122" t="n"/>
      <c r="AA404" s="122" t="n"/>
      <c r="AB404" s="122" t="n"/>
      <c r="AC404" s="122" t="n"/>
      <c r="AD404" s="122" t="n"/>
      <c r="AE404" s="122">
        <f>IFERROR(K404/$T404,0)</f>
        <v/>
      </c>
      <c r="AF404" s="122">
        <f>IFERROR(L404/$T404,0)</f>
        <v/>
      </c>
      <c r="AG404" s="122" t="n"/>
      <c r="AH404" s="122" t="n"/>
      <c r="AI404" s="122" t="n"/>
      <c r="AJ404" s="122" t="n"/>
      <c r="AK404" s="122" t="n"/>
      <c r="AL404" s="122" t="n"/>
      <c r="AM404" s="122" t="n"/>
      <c r="AN404" s="122">
        <f>SUM(Z404:AC404)</f>
        <v/>
      </c>
      <c r="AO404" s="122">
        <f>SUM(AD404:AL404)</f>
        <v/>
      </c>
      <c r="AP404" s="122">
        <f>SUM(AM404,AB404)</f>
        <v/>
      </c>
      <c r="AQ404" s="122">
        <f>SUM(AA404)</f>
        <v/>
      </c>
      <c r="AR404" s="121">
        <f>(AP404+AQ404)-3%</f>
        <v/>
      </c>
      <c r="AS404" s="122">
        <f>SUM(AO404+AM404)</f>
        <v/>
      </c>
      <c r="AT404" s="122">
        <f>SUM(AH404+AN404)</f>
        <v/>
      </c>
      <c r="AU404" s="122">
        <f>SUM(AN404+AO404)</f>
        <v/>
      </c>
      <c r="AV404" s="122">
        <f>SUM(AN404+AD404+AE404+AF404+AG404+AH404+AJ404+AK404+AL404)</f>
        <v/>
      </c>
      <c r="AW404" s="122">
        <f>SUM(AD404+AE404+AF404+AG404+AI404+AJ404+AK404+AL404)</f>
        <v/>
      </c>
    </row>
    <row r="405" ht="14.1" customHeight="1" s="259">
      <c r="A405" s="183">
        <f>A404+1</f>
        <v/>
      </c>
      <c r="B405" s="117" t="n"/>
      <c r="C405" s="119" t="n"/>
      <c r="D405" s="117" t="n"/>
      <c r="E405" s="118" t="n"/>
      <c r="F405" s="120" t="n"/>
      <c r="G405" s="118" t="n"/>
      <c r="H405" s="118" t="n"/>
      <c r="I405" s="118" t="n"/>
      <c r="J405" s="118" t="n"/>
      <c r="K405" s="118" t="n"/>
      <c r="L405" s="118" t="n"/>
      <c r="M405" s="118" t="n"/>
      <c r="N405" s="118" t="n"/>
      <c r="O405" s="118" t="n"/>
      <c r="P405" s="118" t="n"/>
      <c r="Q405" s="118" t="n"/>
      <c r="R405" s="118" t="n"/>
      <c r="S405" s="118" t="n"/>
      <c r="T405" s="117">
        <f>SUM(F405:S405)</f>
        <v/>
      </c>
      <c r="U405" s="190">
        <f>(HLOOKUP(B405,F:T,A405,FALSE)/T405)</f>
        <v/>
      </c>
      <c r="V405" s="159" t="n"/>
      <c r="W405" s="163">
        <f>YEAR(C405)</f>
        <v/>
      </c>
      <c r="X405" s="116">
        <f>MONTH(C405)</f>
        <v/>
      </c>
      <c r="Y405" s="116">
        <f>WEEKNUM(C405,21)</f>
        <v/>
      </c>
      <c r="Z405" s="122" t="n"/>
      <c r="AA405" s="122" t="n"/>
      <c r="AB405" s="122" t="n"/>
      <c r="AC405" s="122" t="n"/>
      <c r="AD405" s="122" t="n"/>
      <c r="AE405" s="122">
        <f>IFERROR(K405/$T405,0)</f>
        <v/>
      </c>
      <c r="AF405" s="122">
        <f>IFERROR(L405/$T405,0)</f>
        <v/>
      </c>
      <c r="AG405" s="122" t="n"/>
      <c r="AH405" s="122" t="n"/>
      <c r="AI405" s="122" t="n"/>
      <c r="AJ405" s="122" t="n"/>
      <c r="AK405" s="122" t="n"/>
      <c r="AL405" s="122" t="n"/>
      <c r="AM405" s="122" t="n"/>
      <c r="AN405" s="122">
        <f>SUM(Z405:AC405)</f>
        <v/>
      </c>
      <c r="AO405" s="122">
        <f>SUM(AD405:AL405)</f>
        <v/>
      </c>
      <c r="AP405" s="122">
        <f>SUM(AM405,AB405)</f>
        <v/>
      </c>
      <c r="AQ405" s="122">
        <f>SUM(AA405)</f>
        <v/>
      </c>
      <c r="AR405" s="121">
        <f>(AP405+AQ405)-3%</f>
        <v/>
      </c>
      <c r="AS405" s="122">
        <f>SUM(AO405+AM405)</f>
        <v/>
      </c>
      <c r="AT405" s="122">
        <f>SUM(AH405+AN405)</f>
        <v/>
      </c>
      <c r="AU405" s="122">
        <f>SUM(AN405+AO405)</f>
        <v/>
      </c>
      <c r="AV405" s="122">
        <f>SUM(AN405+AD405+AE405+AF405+AG405+AH405+AJ405+AK405+AL405)</f>
        <v/>
      </c>
      <c r="AW405" s="122">
        <f>SUM(AD405+AE405+AF405+AG405+AI405+AJ405+AK405+AL405)</f>
        <v/>
      </c>
    </row>
    <row r="406" ht="14.1" customHeight="1" s="259">
      <c r="A406" s="183">
        <f>A405+1</f>
        <v/>
      </c>
      <c r="B406" s="117" t="n"/>
      <c r="C406" s="119" t="n"/>
      <c r="D406" s="117" t="n"/>
      <c r="E406" s="118" t="n"/>
      <c r="F406" s="120" t="n"/>
      <c r="G406" s="118" t="n"/>
      <c r="H406" s="118" t="n"/>
      <c r="I406" s="118" t="n"/>
      <c r="J406" s="118" t="n"/>
      <c r="K406" s="118" t="n"/>
      <c r="L406" s="118" t="n"/>
      <c r="M406" s="118" t="n"/>
      <c r="N406" s="118" t="n"/>
      <c r="O406" s="118" t="n"/>
      <c r="P406" s="118" t="n"/>
      <c r="Q406" s="118" t="n"/>
      <c r="R406" s="118" t="n"/>
      <c r="S406" s="118" t="n"/>
      <c r="T406" s="117">
        <f>SUM(F406:S406)</f>
        <v/>
      </c>
      <c r="U406" s="190">
        <f>(HLOOKUP(B406,F:T,A406,FALSE)/T406)</f>
        <v/>
      </c>
      <c r="V406" s="159" t="n"/>
      <c r="W406" s="163">
        <f>YEAR(C406)</f>
        <v/>
      </c>
      <c r="X406" s="116">
        <f>MONTH(C406)</f>
        <v/>
      </c>
      <c r="Y406" s="116">
        <f>WEEKNUM(C406,21)</f>
        <v/>
      </c>
      <c r="Z406" s="122" t="n"/>
      <c r="AA406" s="122" t="n"/>
      <c r="AB406" s="122" t="n"/>
      <c r="AC406" s="122" t="n"/>
      <c r="AD406" s="122" t="n"/>
      <c r="AE406" s="122">
        <f>IFERROR(K406/$T406,0)</f>
        <v/>
      </c>
      <c r="AF406" s="122">
        <f>IFERROR(L406/$T406,0)</f>
        <v/>
      </c>
      <c r="AG406" s="122" t="n"/>
      <c r="AH406" s="122" t="n"/>
      <c r="AI406" s="122" t="n"/>
      <c r="AJ406" s="122" t="n"/>
      <c r="AK406" s="122" t="n"/>
      <c r="AL406" s="122" t="n"/>
      <c r="AM406" s="122" t="n"/>
      <c r="AN406" s="122">
        <f>SUM(Z406:AC406)</f>
        <v/>
      </c>
      <c r="AO406" s="122">
        <f>SUM(AD406:AL406)</f>
        <v/>
      </c>
      <c r="AP406" s="122">
        <f>SUM(AM406,AB406)</f>
        <v/>
      </c>
      <c r="AQ406" s="122">
        <f>SUM(AA406)</f>
        <v/>
      </c>
      <c r="AR406" s="121">
        <f>(AP406+AQ406)-3%</f>
        <v/>
      </c>
      <c r="AS406" s="122">
        <f>SUM(AO406+AM406)</f>
        <v/>
      </c>
      <c r="AT406" s="122">
        <f>SUM(AH406+AN406)</f>
        <v/>
      </c>
      <c r="AU406" s="122">
        <f>SUM(AN406+AO406)</f>
        <v/>
      </c>
      <c r="AV406" s="122">
        <f>SUM(AN406+AD406+AE406+AF406+AG406+AH406+AJ406+AK406+AL406)</f>
        <v/>
      </c>
      <c r="AW406" s="122">
        <f>SUM(AD406+AE406+AF406+AG406+AI406+AJ406+AK406+AL406)</f>
        <v/>
      </c>
    </row>
    <row r="407" ht="14.1" customHeight="1" s="259">
      <c r="A407" s="183">
        <f>A406+1</f>
        <v/>
      </c>
      <c r="B407" s="117" t="n"/>
      <c r="C407" s="119" t="n"/>
      <c r="D407" s="117" t="n"/>
      <c r="E407" s="118" t="n"/>
      <c r="F407" s="120" t="n"/>
      <c r="G407" s="118" t="n"/>
      <c r="H407" s="118" t="n"/>
      <c r="I407" s="118" t="n"/>
      <c r="J407" s="118" t="n"/>
      <c r="K407" s="118" t="n"/>
      <c r="L407" s="118" t="n"/>
      <c r="M407" s="118" t="n"/>
      <c r="N407" s="118" t="n"/>
      <c r="O407" s="118" t="n"/>
      <c r="P407" s="118" t="n"/>
      <c r="Q407" s="118" t="n"/>
      <c r="R407" s="118" t="n"/>
      <c r="S407" s="118" t="n"/>
      <c r="T407" s="117">
        <f>SUM(F407:S407)</f>
        <v/>
      </c>
      <c r="U407" s="190">
        <f>(HLOOKUP(B407,F:T,A407,FALSE)/T407)</f>
        <v/>
      </c>
      <c r="V407" s="159" t="n"/>
      <c r="W407" s="163">
        <f>YEAR(C407)</f>
        <v/>
      </c>
      <c r="X407" s="116">
        <f>MONTH(C407)</f>
        <v/>
      </c>
      <c r="Y407" s="116">
        <f>WEEKNUM(C407,21)</f>
        <v/>
      </c>
      <c r="Z407" s="122" t="n"/>
      <c r="AA407" s="122" t="n"/>
      <c r="AB407" s="122" t="n"/>
      <c r="AC407" s="122" t="n"/>
      <c r="AD407" s="122" t="n"/>
      <c r="AE407" s="122">
        <f>IFERROR(K407/$T407,0)</f>
        <v/>
      </c>
      <c r="AF407" s="122">
        <f>IFERROR(L407/$T407,0)</f>
        <v/>
      </c>
      <c r="AG407" s="122" t="n"/>
      <c r="AH407" s="122" t="n"/>
      <c r="AI407" s="122" t="n"/>
      <c r="AJ407" s="122" t="n"/>
      <c r="AK407" s="122" t="n"/>
      <c r="AL407" s="122" t="n"/>
      <c r="AM407" s="122" t="n"/>
      <c r="AN407" s="122">
        <f>SUM(Z407:AC407)</f>
        <v/>
      </c>
      <c r="AO407" s="122">
        <f>SUM(AD407:AL407)</f>
        <v/>
      </c>
      <c r="AP407" s="122">
        <f>SUM(AM407,AB407)</f>
        <v/>
      </c>
      <c r="AQ407" s="122">
        <f>SUM(AA407)</f>
        <v/>
      </c>
      <c r="AR407" s="121">
        <f>(AP407+AQ407)-3%</f>
        <v/>
      </c>
      <c r="AS407" s="122">
        <f>SUM(AO407+AM407)</f>
        <v/>
      </c>
      <c r="AT407" s="122">
        <f>SUM(AH407+AN407)</f>
        <v/>
      </c>
      <c r="AU407" s="122">
        <f>SUM(AN407+AO407)</f>
        <v/>
      </c>
      <c r="AV407" s="122">
        <f>SUM(AN407+AD407+AE407+AF407+AG407+AH407+AJ407+AK407+AL407)</f>
        <v/>
      </c>
      <c r="AW407" s="122">
        <f>SUM(AD407+AE407+AF407+AG407+AI407+AJ407+AK407+AL407)</f>
        <v/>
      </c>
    </row>
    <row r="408" ht="14.1" customHeight="1" s="259">
      <c r="A408" s="183">
        <f>A407+1</f>
        <v/>
      </c>
      <c r="B408" s="117" t="n"/>
      <c r="C408" s="119" t="n"/>
      <c r="D408" s="117" t="n"/>
      <c r="E408" s="118" t="n"/>
      <c r="F408" s="120" t="n"/>
      <c r="G408" s="118" t="n"/>
      <c r="H408" s="118" t="n"/>
      <c r="I408" s="118" t="n"/>
      <c r="J408" s="118" t="n"/>
      <c r="K408" s="118" t="n"/>
      <c r="L408" s="118" t="n"/>
      <c r="M408" s="118" t="n"/>
      <c r="N408" s="118" t="n"/>
      <c r="O408" s="118" t="n"/>
      <c r="P408" s="118" t="n"/>
      <c r="Q408" s="118" t="n"/>
      <c r="R408" s="118" t="n"/>
      <c r="S408" s="118" t="n"/>
      <c r="T408" s="117">
        <f>SUM(F408:S408)</f>
        <v/>
      </c>
      <c r="U408" s="190">
        <f>(HLOOKUP(B408,F:T,A408,FALSE)/T408)</f>
        <v/>
      </c>
      <c r="V408" s="159" t="n"/>
      <c r="W408" s="163">
        <f>YEAR(C408)</f>
        <v/>
      </c>
      <c r="X408" s="116">
        <f>MONTH(C408)</f>
        <v/>
      </c>
      <c r="Y408" s="116">
        <f>WEEKNUM(C408,21)</f>
        <v/>
      </c>
      <c r="Z408" s="122" t="n"/>
      <c r="AA408" s="122" t="n"/>
      <c r="AB408" s="122" t="n"/>
      <c r="AC408" s="122" t="n"/>
      <c r="AD408" s="122" t="n"/>
      <c r="AE408" s="122">
        <f>IFERROR(K408/$T408,0)</f>
        <v/>
      </c>
      <c r="AF408" s="122">
        <f>IFERROR(L408/$T408,0)</f>
        <v/>
      </c>
      <c r="AG408" s="122" t="n"/>
      <c r="AH408" s="122" t="n"/>
      <c r="AI408" s="122" t="n"/>
      <c r="AJ408" s="122" t="n"/>
      <c r="AK408" s="122" t="n"/>
      <c r="AL408" s="122" t="n"/>
      <c r="AM408" s="122" t="n"/>
      <c r="AN408" s="122">
        <f>SUM(Z408:AC408)</f>
        <v/>
      </c>
      <c r="AO408" s="122">
        <f>SUM(AD408:AL408)</f>
        <v/>
      </c>
      <c r="AP408" s="122">
        <f>SUM(AM408,AB408)</f>
        <v/>
      </c>
      <c r="AQ408" s="122">
        <f>SUM(AA408)</f>
        <v/>
      </c>
      <c r="AR408" s="121">
        <f>(AP408+AQ408)-3%</f>
        <v/>
      </c>
      <c r="AS408" s="122">
        <f>SUM(AO408+AM408)</f>
        <v/>
      </c>
      <c r="AT408" s="122">
        <f>SUM(AH408+AN408)</f>
        <v/>
      </c>
      <c r="AU408" s="122">
        <f>SUM(AN408+AO408)</f>
        <v/>
      </c>
      <c r="AV408" s="122">
        <f>SUM(AN408+AD408+AE408+AF408+AG408+AH408+AJ408+AK408+AL408)</f>
        <v/>
      </c>
      <c r="AW408" s="122">
        <f>SUM(AD408+AE408+AF408+AG408+AI408+AJ408+AK408+AL408)</f>
        <v/>
      </c>
    </row>
    <row r="409" ht="14.1" customHeight="1" s="259">
      <c r="A409" s="183">
        <f>A408+1</f>
        <v/>
      </c>
      <c r="B409" s="117" t="n"/>
      <c r="C409" s="119" t="n"/>
      <c r="D409" s="117" t="n"/>
      <c r="E409" s="118" t="n"/>
      <c r="F409" s="120" t="n"/>
      <c r="G409" s="118" t="n"/>
      <c r="H409" s="118" t="n"/>
      <c r="I409" s="118" t="n"/>
      <c r="J409" s="118" t="n"/>
      <c r="K409" s="118" t="n"/>
      <c r="L409" s="118" t="n"/>
      <c r="M409" s="118" t="n"/>
      <c r="N409" s="118" t="n"/>
      <c r="O409" s="118" t="n"/>
      <c r="P409" s="118" t="n"/>
      <c r="Q409" s="118" t="n"/>
      <c r="R409" s="118" t="n"/>
      <c r="S409" s="118" t="n"/>
      <c r="T409" s="117">
        <f>SUM(F409:S409)</f>
        <v/>
      </c>
      <c r="U409" s="190">
        <f>(HLOOKUP(B409,F:T,A409,FALSE)/T409)</f>
        <v/>
      </c>
      <c r="V409" s="159" t="n"/>
      <c r="W409" s="163">
        <f>YEAR(C409)</f>
        <v/>
      </c>
      <c r="X409" s="116">
        <f>MONTH(C409)</f>
        <v/>
      </c>
      <c r="Y409" s="116">
        <f>WEEKNUM(C409,21)</f>
        <v/>
      </c>
      <c r="Z409" s="122" t="n"/>
      <c r="AA409" s="122" t="n"/>
      <c r="AB409" s="122" t="n"/>
      <c r="AC409" s="122" t="n"/>
      <c r="AD409" s="122" t="n"/>
      <c r="AE409" s="122">
        <f>IFERROR(K409/$T409,0)</f>
        <v/>
      </c>
      <c r="AF409" s="122">
        <f>IFERROR(L409/$T409,0)</f>
        <v/>
      </c>
      <c r="AG409" s="122" t="n"/>
      <c r="AH409" s="122" t="n"/>
      <c r="AI409" s="122" t="n"/>
      <c r="AJ409" s="122" t="n"/>
      <c r="AK409" s="122" t="n"/>
      <c r="AL409" s="122" t="n"/>
      <c r="AM409" s="122" t="n"/>
      <c r="AN409" s="122">
        <f>SUM(Z409:AC409)</f>
        <v/>
      </c>
      <c r="AO409" s="122">
        <f>SUM(AD409:AL409)</f>
        <v/>
      </c>
      <c r="AP409" s="122">
        <f>SUM(AM409,AB409)</f>
        <v/>
      </c>
      <c r="AQ409" s="122">
        <f>SUM(AA409)</f>
        <v/>
      </c>
      <c r="AR409" s="121">
        <f>(AP409+AQ409)-3%</f>
        <v/>
      </c>
      <c r="AS409" s="122">
        <f>SUM(AO409+AM409)</f>
        <v/>
      </c>
      <c r="AT409" s="122">
        <f>SUM(AH409+AN409)</f>
        <v/>
      </c>
      <c r="AU409" s="122">
        <f>SUM(AN409+AO409)</f>
        <v/>
      </c>
      <c r="AV409" s="122">
        <f>SUM(AN409+AD409+AE409+AF409+AG409+AH409+AJ409+AK409+AL409)</f>
        <v/>
      </c>
      <c r="AW409" s="122">
        <f>SUM(AD409+AE409+AF409+AG409+AI409+AJ409+AK409+AL409)</f>
        <v/>
      </c>
    </row>
    <row r="410" ht="14.1" customHeight="1" s="259">
      <c r="A410" s="183">
        <f>A409+1</f>
        <v/>
      </c>
      <c r="B410" s="115" t="n"/>
      <c r="C410" s="123" t="n"/>
      <c r="D410" s="115" t="n"/>
      <c r="E410" s="124" t="n"/>
      <c r="F410" s="125" t="n"/>
      <c r="G410" s="124" t="n"/>
      <c r="H410" s="124" t="n"/>
      <c r="I410" s="124" t="n"/>
      <c r="J410" s="124" t="n"/>
      <c r="K410" s="124" t="n"/>
      <c r="L410" s="124" t="n"/>
      <c r="M410" s="124" t="n"/>
      <c r="N410" s="124" t="n"/>
      <c r="O410" s="124" t="n"/>
      <c r="P410" s="124" t="n"/>
      <c r="Q410" s="124" t="n"/>
      <c r="R410" s="124" t="n"/>
      <c r="S410" s="124" t="n"/>
      <c r="T410" s="115">
        <f>SUM(F410:S410)</f>
        <v/>
      </c>
      <c r="U410" s="191">
        <f>(HLOOKUP(B410,F:T,A410,FALSE)/T410)</f>
        <v/>
      </c>
      <c r="V410" s="159" t="n"/>
      <c r="W410" s="163">
        <f>YEAR(C410)</f>
        <v/>
      </c>
      <c r="X410" s="116">
        <f>MONTH(C410)</f>
        <v/>
      </c>
      <c r="Y410" s="116">
        <f>WEEKNUM(C410,21)</f>
        <v/>
      </c>
      <c r="Z410" s="122" t="n"/>
      <c r="AA410" s="122" t="n"/>
      <c r="AB410" s="122" t="n"/>
      <c r="AC410" s="122" t="n"/>
      <c r="AD410" s="122" t="n"/>
      <c r="AE410" s="122">
        <f>IFERROR(K410/$T410,0)</f>
        <v/>
      </c>
      <c r="AF410" s="122">
        <f>IFERROR(L410/$T410,0)</f>
        <v/>
      </c>
      <c r="AG410" s="122" t="n"/>
      <c r="AH410" s="122" t="n"/>
      <c r="AI410" s="122" t="n"/>
      <c r="AJ410" s="122" t="n"/>
      <c r="AK410" s="122" t="n"/>
      <c r="AL410" s="122" t="n"/>
      <c r="AM410" s="122" t="n"/>
      <c r="AN410" s="122">
        <f>SUM(Z410:AC410)</f>
        <v/>
      </c>
      <c r="AO410" s="122">
        <f>SUM(AD410:AL410)</f>
        <v/>
      </c>
      <c r="AP410" s="122">
        <f>SUM(AM410,AB410)</f>
        <v/>
      </c>
      <c r="AQ410" s="122">
        <f>SUM(AA410)</f>
        <v/>
      </c>
      <c r="AR410" s="121">
        <f>(AP410+AQ410)-3%</f>
        <v/>
      </c>
      <c r="AS410" s="122">
        <f>SUM(AO410+AM410)</f>
        <v/>
      </c>
      <c r="AT410" s="122">
        <f>SUM(AH410+AN410)</f>
        <v/>
      </c>
      <c r="AU410" s="122">
        <f>SUM(AN410+AO410)</f>
        <v/>
      </c>
      <c r="AV410" s="122">
        <f>SUM(AN410+AD410+AE410+AF410+AG410+AH410+AJ410+AK410+AL410)</f>
        <v/>
      </c>
      <c r="AW410" s="122">
        <f>SUM(AD410+AE410+AF410+AG410+AI410+AJ410+AK410+AL410)</f>
        <v/>
      </c>
    </row>
  </sheetData>
  <pageMargins left="0.7" right="0.7" top="0.75" bottom="0.75" header="0.3" footer="0.3"/>
  <pageSetup orientation="portrait" paperSize="9" verticalDpi="0"/>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codeName="Feuil1">
    <tabColor rgb="FFFFC000"/>
    <outlinePr summaryBelow="1" summaryRight="1"/>
    <pageSetUpPr/>
  </sheetPr>
  <dimension ref="B2:O12"/>
  <sheetViews>
    <sheetView workbookViewId="0">
      <selection activeCell="D3" sqref="D3"/>
    </sheetView>
  </sheetViews>
  <sheetFormatPr baseColWidth="10" defaultColWidth="10.85546875" defaultRowHeight="15"/>
  <cols>
    <col width="10.85546875" customWidth="1" style="252" min="1" max="1"/>
    <col width="34" customWidth="1" style="252" min="2" max="2"/>
    <col width="32.42578125" customWidth="1" style="252" min="3" max="5"/>
    <col width="16.28515625" customWidth="1" style="252" min="6" max="6"/>
    <col width="10.85546875" customWidth="1" style="252" min="7" max="7"/>
    <col width="18.28515625" customWidth="1" style="252" min="8" max="8"/>
    <col width="10.85546875" customWidth="1" style="252" min="9" max="17"/>
    <col width="10.85546875" customWidth="1" style="252" min="18" max="16384"/>
  </cols>
  <sheetData>
    <row r="2" ht="47.25" customHeight="1" s="259">
      <c r="B2" s="251" t="inlineStr">
        <is>
          <t xml:space="preserve">CARACTERISATIONS ERIC </t>
        </is>
      </c>
      <c r="G2" s="180" t="n"/>
    </row>
    <row r="3" ht="23.25" customHeight="1" s="259">
      <c r="D3" s="166" t="n"/>
      <c r="E3" s="169" t="n"/>
    </row>
    <row r="4" ht="23.25" customHeight="1" s="259">
      <c r="D4" s="166" t="n"/>
      <c r="E4" s="169" t="n"/>
    </row>
    <row r="5" ht="37.5" customHeight="1" s="259">
      <c r="B5" s="167" t="inlineStr">
        <is>
          <t>Semaine</t>
        </is>
      </c>
      <c r="C5" s="253" t="inlineStr">
        <is>
          <t>Matin</t>
        </is>
      </c>
      <c r="D5" s="248" t="n"/>
      <c r="E5" s="254" t="inlineStr">
        <is>
          <t>Après-Midi</t>
        </is>
      </c>
      <c r="F5" s="249" t="n"/>
    </row>
    <row r="6" ht="39.75" customHeight="1" s="259">
      <c r="B6" s="168" t="inlineStr">
        <is>
          <t>Lundi</t>
        </is>
      </c>
      <c r="C6" s="255" t="inlineStr">
        <is>
          <t>JRM</t>
        </is>
      </c>
      <c r="D6" s="255" t="inlineStr">
        <is>
          <t>EMR</t>
        </is>
      </c>
      <c r="E6" s="255" t="inlineStr">
        <is>
          <t>GM</t>
        </is>
      </c>
      <c r="F6" s="255" t="inlineStr">
        <is>
          <t>ELA</t>
        </is>
      </c>
      <c r="M6" s="181" t="n"/>
      <c r="N6" s="181" t="n"/>
      <c r="O6" s="181" t="n"/>
    </row>
    <row r="7" ht="42.75" customHeight="1" s="259">
      <c r="B7" s="168" t="inlineStr">
        <is>
          <t>Mardi</t>
        </is>
      </c>
      <c r="C7" s="250" t="inlineStr">
        <is>
          <t>Q4</t>
        </is>
      </c>
      <c r="D7" s="250" t="inlineStr">
        <is>
          <t>Flux dev</t>
        </is>
      </c>
      <c r="E7" s="249" t="n"/>
      <c r="F7" s="250" t="inlineStr">
        <is>
          <t>PE/PP</t>
        </is>
      </c>
      <c r="M7" s="181" t="n"/>
      <c r="N7" s="181" t="n"/>
      <c r="O7" s="181" t="n"/>
    </row>
    <row r="8" ht="42" customHeight="1" s="259">
      <c r="B8" s="168" t="inlineStr">
        <is>
          <t>Mercredi</t>
        </is>
      </c>
      <c r="C8" s="255" t="inlineStr">
        <is>
          <t>DECLASSEMENT</t>
        </is>
      </c>
      <c r="D8" s="249" t="n"/>
      <c r="E8" s="255" t="inlineStr">
        <is>
          <t>REFUS ou FILM</t>
        </is>
      </c>
      <c r="F8" s="249" t="n"/>
      <c r="M8" s="181" t="n"/>
      <c r="N8" s="181" t="n"/>
      <c r="O8" s="181" t="n"/>
    </row>
    <row r="9" ht="40.5" customHeight="1" s="259">
      <c r="B9" s="168" t="inlineStr">
        <is>
          <t>Jeudi</t>
        </is>
      </c>
      <c r="C9" s="247" t="inlineStr">
        <is>
          <t>Caract Client</t>
        </is>
      </c>
      <c r="D9" s="248" t="n"/>
      <c r="E9" s="248" t="n"/>
      <c r="F9" s="249" t="n"/>
      <c r="M9" s="181" t="n"/>
      <c r="N9" s="181" t="n"/>
      <c r="O9" s="181" t="n"/>
    </row>
    <row r="10" ht="36" customHeight="1" s="259">
      <c r="B10" s="168" t="inlineStr">
        <is>
          <t>Vendredi</t>
        </is>
      </c>
      <c r="C10" s="247" t="inlineStr">
        <is>
          <t>Caract Client</t>
        </is>
      </c>
      <c r="D10" s="248" t="n"/>
      <c r="E10" s="248" t="n"/>
      <c r="F10" s="249" t="n"/>
      <c r="M10" s="181" t="n"/>
      <c r="N10" s="181" t="n"/>
      <c r="O10" s="181" t="n"/>
    </row>
    <row r="11">
      <c r="M11" s="181" t="n"/>
      <c r="N11" s="181" t="n"/>
      <c r="O11" s="181" t="n"/>
    </row>
    <row r="12">
      <c r="M12" s="181" t="n"/>
      <c r="N12" s="181" t="n"/>
      <c r="O12" s="181" t="n"/>
    </row>
  </sheetData>
  <mergeCells count="8">
    <mergeCell ref="C9:F9"/>
    <mergeCell ref="D7:E7"/>
    <mergeCell ref="B2:F2"/>
    <mergeCell ref="C5:D5"/>
    <mergeCell ref="E5:F5"/>
    <mergeCell ref="C10:F10"/>
    <mergeCell ref="E8:F8"/>
    <mergeCell ref="C8:D8"/>
  </mergeCells>
  <pageMargins left="0.7" right="0.7" top="0.75" bottom="0.75" header="0.3" footer="0.3"/>
  <pageSetup orientation="landscape" paperSize="9"/>
</worksheet>
</file>

<file path=xl/worksheets/sheet3.xml><?xml version="1.0" encoding="utf-8"?>
<worksheet xmlns="http://schemas.openxmlformats.org/spreadsheetml/2006/main">
  <sheetPr codeName="Feuil2">
    <tabColor rgb="FFFFFF00"/>
    <outlinePr summaryBelow="1" summaryRight="1"/>
    <pageSetUpPr fitToPage="1"/>
  </sheetPr>
  <dimension ref="A1:BX102"/>
  <sheetViews>
    <sheetView view="pageBreakPreview" topLeftCell="R69" zoomScale="58" zoomScaleNormal="40" zoomScaleSheetLayoutView="76" workbookViewId="0">
      <selection activeCell="N235" sqref="N235"/>
    </sheetView>
  </sheetViews>
  <sheetFormatPr baseColWidth="10" defaultRowHeight="12.75"/>
  <cols>
    <col width="14.7109375" customWidth="1" style="259" min="3" max="3"/>
    <col width="17.7109375" customWidth="1" style="259" min="4" max="4"/>
    <col width="13.7109375" customWidth="1" style="259" min="5" max="5"/>
    <col width="1.140625" customWidth="1" style="259" min="6" max="6"/>
    <col width="16.42578125" customWidth="1" style="259" min="8" max="8"/>
    <col width="15.42578125" customWidth="1" style="259" min="9" max="9"/>
    <col width="15.28515625" customWidth="1" style="259" min="10" max="10"/>
    <col width="1" customWidth="1" style="259" min="11" max="11"/>
    <col width="14.85546875" customWidth="1" style="259" min="13" max="13"/>
    <col width="13.85546875" customWidth="1" style="259" min="14" max="14"/>
    <col width="17.42578125" customWidth="1" style="259" min="15" max="15"/>
    <col width="1.7109375" customWidth="1" style="259" min="16" max="16"/>
    <col width="7.7109375" customWidth="1" style="259" min="17" max="17"/>
    <col width="14.85546875" customWidth="1" style="259" min="18" max="18"/>
    <col width="15.42578125" customWidth="1" style="259" min="19" max="19"/>
    <col width="1.42578125" customWidth="1" style="259" min="21" max="21"/>
    <col width="15.42578125" customWidth="1" style="259" min="23" max="23"/>
    <col width="14.7109375" customWidth="1" style="259" min="24" max="24"/>
    <col width="1.140625" customWidth="1" style="259" min="26" max="26"/>
    <col width="17.42578125" customWidth="1" style="259" min="28" max="28"/>
    <col width="14.140625" customWidth="1" style="259" min="29" max="29"/>
    <col width="17.140625" customWidth="1" style="259" min="30" max="30"/>
    <col width="1.42578125" customWidth="1" style="259" min="31" max="31"/>
    <col width="15.28515625" customWidth="1" style="259" min="33" max="33"/>
    <col width="16.7109375" customWidth="1" style="259" min="34" max="34"/>
    <col width="15.42578125" customWidth="1" style="259" min="35" max="35"/>
    <col width="1.85546875" customWidth="1" style="259" min="36" max="36"/>
    <col width="10.7109375" customWidth="1" style="259" min="37" max="37"/>
    <col width="17.28515625" customWidth="1" style="259" min="38" max="38"/>
    <col width="15.42578125" customWidth="1" style="259" min="39" max="39"/>
    <col width="17.28515625" customWidth="1" style="259" min="40" max="40"/>
    <col width="0.85546875" customWidth="1" style="259" min="41" max="41"/>
    <col width="16.140625" customWidth="1" style="259" min="43" max="43"/>
    <col width="13.42578125" customWidth="1" style="259" min="44" max="44"/>
    <col width="14.42578125" customWidth="1" style="259" min="45" max="46"/>
    <col width="1.28515625" customWidth="1" style="259" min="47" max="47"/>
    <col width="16.42578125" customWidth="1" style="259" min="49" max="49"/>
    <col width="16.85546875" customWidth="1" style="259" min="50" max="50"/>
    <col width="13.42578125" customWidth="1" style="259" min="51" max="51"/>
    <col width="1" customWidth="1" style="259" min="52" max="52"/>
    <col width="14" customWidth="1" style="259" min="54" max="55"/>
    <col width="19.85546875" customWidth="1" style="259" min="56" max="56"/>
    <col width="1.42578125" customWidth="1" style="259" min="57" max="57"/>
    <col width="14.28515625" customWidth="1" style="259" min="59" max="59"/>
    <col width="12.7109375" customWidth="1" style="259" min="60" max="60"/>
    <col width="16.42578125" customWidth="1" style="259" min="61" max="61"/>
    <col width="1.28515625" customWidth="1" style="259" min="62" max="62"/>
    <col width="15.7109375" customWidth="1" style="259" min="64" max="64"/>
    <col width="17.7109375" customWidth="1" style="259" min="66" max="66"/>
    <col width="1.42578125" customWidth="1" style="259" min="67" max="67"/>
    <col width="14.140625" customWidth="1" style="259" min="69" max="69"/>
    <col width="17.7109375" customWidth="1" style="259" min="70" max="70"/>
    <col width="15.42578125" customWidth="1" style="259" min="71" max="71"/>
  </cols>
  <sheetData>
    <row r="1" ht="13.5" customHeight="1" s="259" thickBot="1">
      <c r="C1" t="n">
        <v>2</v>
      </c>
      <c r="D1" t="n">
        <v>3</v>
      </c>
      <c r="E1" t="n">
        <v>4</v>
      </c>
      <c r="H1" t="n">
        <v>2</v>
      </c>
      <c r="I1" t="n">
        <v>3</v>
      </c>
      <c r="J1" t="n">
        <v>4</v>
      </c>
      <c r="M1" t="n">
        <v>2</v>
      </c>
      <c r="N1" t="n">
        <v>3</v>
      </c>
      <c r="O1" t="n">
        <v>4</v>
      </c>
      <c r="R1" t="n">
        <v>2</v>
      </c>
      <c r="S1" t="n">
        <v>3</v>
      </c>
      <c r="T1" t="n">
        <v>4</v>
      </c>
      <c r="W1" t="n">
        <v>2</v>
      </c>
      <c r="X1" t="n">
        <v>3</v>
      </c>
      <c r="Y1" t="n">
        <v>4</v>
      </c>
      <c r="AB1" t="n">
        <v>2</v>
      </c>
      <c r="AC1" t="n">
        <v>3</v>
      </c>
      <c r="AD1" t="n">
        <v>4</v>
      </c>
      <c r="AG1" t="n">
        <v>2</v>
      </c>
      <c r="AH1" t="n">
        <v>3</v>
      </c>
      <c r="AI1" t="n">
        <v>4</v>
      </c>
      <c r="AL1" t="n">
        <v>2</v>
      </c>
      <c r="AM1" t="n">
        <v>3</v>
      </c>
      <c r="AN1" t="n">
        <v>4</v>
      </c>
      <c r="AQ1" t="n">
        <v>2</v>
      </c>
      <c r="AR1" t="n">
        <v>3</v>
      </c>
      <c r="AS1" t="n">
        <v>4</v>
      </c>
      <c r="AT1" t="n">
        <v>5</v>
      </c>
      <c r="AW1" t="n">
        <v>2</v>
      </c>
      <c r="AX1" t="n">
        <v>3</v>
      </c>
      <c r="AY1" t="n">
        <v>4</v>
      </c>
      <c r="BB1" t="n">
        <v>2</v>
      </c>
      <c r="BC1" t="n">
        <v>3</v>
      </c>
      <c r="BD1" t="n">
        <v>4</v>
      </c>
      <c r="BG1" t="n">
        <v>2</v>
      </c>
      <c r="BH1" t="n">
        <v>3</v>
      </c>
      <c r="BI1" t="n">
        <v>4</v>
      </c>
      <c r="BL1" t="n">
        <v>2</v>
      </c>
      <c r="BM1" t="n">
        <v>3</v>
      </c>
      <c r="BN1" t="n">
        <v>4</v>
      </c>
      <c r="BQ1" t="n">
        <v>2</v>
      </c>
      <c r="BR1" t="n">
        <v>3</v>
      </c>
      <c r="BS1" t="n">
        <v>4</v>
      </c>
    </row>
    <row r="2" ht="18" customHeight="1" s="259">
      <c r="B2" s="263" t="inlineStr">
        <is>
          <t>JRM</t>
        </is>
      </c>
      <c r="C2" s="257" t="n"/>
      <c r="D2" s="257" t="n"/>
      <c r="E2" s="262" t="n"/>
      <c r="F2" s="287" t="n"/>
      <c r="G2" s="270" t="inlineStr">
        <is>
          <t>EMR</t>
        </is>
      </c>
      <c r="H2" s="257" t="n"/>
      <c r="I2" s="257" t="n"/>
      <c r="J2" s="262" t="n"/>
      <c r="L2" s="263" t="inlineStr">
        <is>
          <t>CARTON</t>
        </is>
      </c>
      <c r="M2" s="257" t="n"/>
      <c r="N2" s="257" t="n"/>
      <c r="O2" s="262" t="n"/>
      <c r="Q2" s="263" t="inlineStr">
        <is>
          <t>GM</t>
        </is>
      </c>
      <c r="R2" s="257" t="n"/>
      <c r="S2" s="257" t="n"/>
      <c r="T2" s="262" t="n"/>
      <c r="V2" s="261" t="inlineStr">
        <is>
          <t>Q9</t>
        </is>
      </c>
      <c r="W2" s="257" t="n"/>
      <c r="X2" s="257" t="n"/>
      <c r="Y2" s="262" t="n"/>
      <c r="AA2" s="261" t="inlineStr">
        <is>
          <t>FLUX DEV</t>
        </is>
      </c>
      <c r="AB2" s="257" t="n"/>
      <c r="AC2" s="257" t="n"/>
      <c r="AD2" s="262" t="n"/>
      <c r="AF2" s="261" t="inlineStr">
        <is>
          <t>PET B</t>
        </is>
      </c>
      <c r="AG2" s="257" t="n"/>
      <c r="AH2" s="257" t="n"/>
      <c r="AI2" s="262" t="n"/>
      <c r="AK2" s="261" t="inlineStr">
        <is>
          <t>PEPP</t>
        </is>
      </c>
      <c r="AL2" s="257" t="n"/>
      <c r="AM2" s="257" t="n"/>
      <c r="AN2" s="262" t="n"/>
      <c r="AP2" s="256" t="inlineStr">
        <is>
          <t>ELA</t>
        </is>
      </c>
      <c r="AQ2" s="257" t="n"/>
      <c r="AR2" s="257" t="n"/>
      <c r="AS2" s="257" t="n"/>
      <c r="AT2" s="213" t="n"/>
      <c r="AV2" s="261" t="inlineStr">
        <is>
          <t>FILM</t>
        </is>
      </c>
      <c r="AW2" s="257" t="n"/>
      <c r="AX2" s="257" t="n"/>
      <c r="AY2" s="262" t="n"/>
      <c r="BA2" s="265" t="inlineStr">
        <is>
          <t>ACIER</t>
        </is>
      </c>
      <c r="BB2" s="257" t="n"/>
      <c r="BC2" s="257" t="n"/>
      <c r="BD2" s="262" t="n"/>
      <c r="BF2" s="268" t="inlineStr">
        <is>
          <t>ALU</t>
        </is>
      </c>
      <c r="BG2" s="257" t="n"/>
      <c r="BH2" s="257" t="n"/>
      <c r="BI2" s="262" t="n"/>
      <c r="BK2" s="265" t="inlineStr">
        <is>
          <t>PETIT ALU</t>
        </is>
      </c>
      <c r="BL2" s="257" t="n"/>
      <c r="BM2" s="257" t="n"/>
      <c r="BN2" s="262" t="n"/>
      <c r="BP2" s="273" t="inlineStr">
        <is>
          <t>REFUS</t>
        </is>
      </c>
      <c r="BQ2" s="257" t="n"/>
      <c r="BR2" s="257" t="n"/>
      <c r="BS2" s="262" t="n"/>
      <c r="BU2" s="186" t="n"/>
      <c r="BV2" s="186" t="n"/>
      <c r="BW2" s="186" t="n"/>
      <c r="BX2" s="186" t="n"/>
    </row>
    <row r="3">
      <c r="B3" s="220" t="inlineStr">
        <is>
          <t>Semaine</t>
        </is>
      </c>
      <c r="C3" s="287" t="inlineStr">
        <is>
          <t>Taux de pureté</t>
        </is>
      </c>
      <c r="D3" s="94" t="inlineStr">
        <is>
          <t>Contaminant A</t>
        </is>
      </c>
      <c r="E3" s="221" t="inlineStr">
        <is>
          <t>Objectif JRM</t>
        </is>
      </c>
      <c r="G3" s="220" t="inlineStr">
        <is>
          <t>Semaine</t>
        </is>
      </c>
      <c r="H3" s="287" t="inlineStr">
        <is>
          <t>Taux de pureté</t>
        </is>
      </c>
      <c r="I3" s="94" t="inlineStr">
        <is>
          <t xml:space="preserve">CC + REFUS </t>
        </is>
      </c>
      <c r="J3" s="221" t="inlineStr">
        <is>
          <t>Objectif EMR</t>
        </is>
      </c>
      <c r="L3" s="220" t="inlineStr">
        <is>
          <t>Semaine</t>
        </is>
      </c>
      <c r="M3" s="287" t="inlineStr">
        <is>
          <t>Taux de pureté</t>
        </is>
      </c>
      <c r="N3" s="94" t="inlineStr">
        <is>
          <t xml:space="preserve">CC + REFUS </t>
        </is>
      </c>
      <c r="O3" s="221" t="inlineStr">
        <is>
          <t>Objectif CARTON</t>
        </is>
      </c>
      <c r="Q3" s="220" t="inlineStr">
        <is>
          <t>Semaine</t>
        </is>
      </c>
      <c r="R3" s="287" t="inlineStr">
        <is>
          <t>Taux de pureté</t>
        </is>
      </c>
      <c r="S3" s="94" t="inlineStr">
        <is>
          <t xml:space="preserve">CC + REFUS </t>
        </is>
      </c>
      <c r="T3" s="229" t="inlineStr">
        <is>
          <t>Objectif GM</t>
        </is>
      </c>
      <c r="V3" s="220" t="inlineStr">
        <is>
          <t>Semaine</t>
        </is>
      </c>
      <c r="W3" s="287" t="inlineStr">
        <is>
          <t>Taux de pureté</t>
        </is>
      </c>
      <c r="X3" s="94" t="inlineStr">
        <is>
          <t>PET B</t>
        </is>
      </c>
      <c r="Y3" s="229" t="inlineStr">
        <is>
          <t>Objectif Q9</t>
        </is>
      </c>
      <c r="AA3" s="220" t="inlineStr">
        <is>
          <t>Semaine</t>
        </is>
      </c>
      <c r="AB3" s="287" t="inlineStr">
        <is>
          <t>Taux de pureté</t>
        </is>
      </c>
      <c r="AC3" s="94" t="inlineStr">
        <is>
          <t>PET Q9</t>
        </is>
      </c>
      <c r="AD3" s="229" t="inlineStr">
        <is>
          <t>Objectif FLUX DEV</t>
        </is>
      </c>
      <c r="AF3" s="220" t="inlineStr">
        <is>
          <t>Semaine</t>
        </is>
      </c>
      <c r="AG3" s="287" t="inlineStr">
        <is>
          <t>Taux de pureté</t>
        </is>
      </c>
      <c r="AH3" s="287" t="inlineStr">
        <is>
          <t xml:space="preserve">Contaminant </t>
        </is>
      </c>
      <c r="AI3" s="229" t="inlineStr">
        <is>
          <t>Objectif PET B</t>
        </is>
      </c>
      <c r="AK3" s="220" t="inlineStr">
        <is>
          <t>Semaine</t>
        </is>
      </c>
      <c r="AL3" s="287" t="inlineStr">
        <is>
          <t>Taux de pureté</t>
        </is>
      </c>
      <c r="AM3" s="94" t="inlineStr">
        <is>
          <t>FIBREUX + ELA</t>
        </is>
      </c>
      <c r="AN3" s="229" t="inlineStr">
        <is>
          <t>Objectif PEPP</t>
        </is>
      </c>
      <c r="AP3" s="220" t="inlineStr">
        <is>
          <t>Semaine</t>
        </is>
      </c>
      <c r="AQ3" s="287" t="inlineStr">
        <is>
          <t>Taux de pureté</t>
        </is>
      </c>
      <c r="AR3" s="94" t="inlineStr">
        <is>
          <t>FIBREUX</t>
        </is>
      </c>
      <c r="AS3" s="94" t="inlineStr">
        <is>
          <t>Objectif ELA</t>
        </is>
      </c>
      <c r="AT3" s="229" t="inlineStr">
        <is>
          <t>CC</t>
        </is>
      </c>
      <c r="AV3" s="220" t="inlineStr">
        <is>
          <t>Semaine</t>
        </is>
      </c>
      <c r="AW3" s="287" t="inlineStr">
        <is>
          <t>Taux de pureté</t>
        </is>
      </c>
      <c r="AX3" s="94" t="inlineStr">
        <is>
          <t xml:space="preserve">FIBREUX + CC </t>
        </is>
      </c>
      <c r="AY3" s="229" t="inlineStr">
        <is>
          <t>Objectif FILM</t>
        </is>
      </c>
      <c r="BA3" s="220" t="inlineStr">
        <is>
          <t>Semaine</t>
        </is>
      </c>
      <c r="BB3" s="287" t="inlineStr">
        <is>
          <t>Taux de pureté</t>
        </is>
      </c>
      <c r="BC3" s="287" t="inlineStr">
        <is>
          <t xml:space="preserve">Contaminant </t>
        </is>
      </c>
      <c r="BD3" s="229" t="inlineStr">
        <is>
          <t>Objectif ACIER</t>
        </is>
      </c>
      <c r="BF3" s="230" t="inlineStr">
        <is>
          <t>Semaine</t>
        </is>
      </c>
      <c r="BG3" s="111" t="inlineStr">
        <is>
          <t>Taux de pureté</t>
        </is>
      </c>
      <c r="BH3" s="111" t="inlineStr">
        <is>
          <t xml:space="preserve">Contaminant </t>
        </is>
      </c>
      <c r="BI3" s="231" t="inlineStr">
        <is>
          <t>Objectif ALU</t>
        </is>
      </c>
      <c r="BK3" s="220" t="inlineStr">
        <is>
          <t>Semaine</t>
        </is>
      </c>
      <c r="BL3" s="287" t="inlineStr">
        <is>
          <t>Taux de pureté</t>
        </is>
      </c>
      <c r="BM3" s="94" t="inlineStr">
        <is>
          <t>ALU</t>
        </is>
      </c>
      <c r="BN3" s="229" t="inlineStr">
        <is>
          <t>Objectif PEPP</t>
        </is>
      </c>
      <c r="BP3" s="220" t="inlineStr">
        <is>
          <t>Semaine</t>
        </is>
      </c>
      <c r="BQ3" s="287" t="inlineStr">
        <is>
          <t>Taux de pureté</t>
        </is>
      </c>
      <c r="BR3" s="94" t="inlineStr">
        <is>
          <t xml:space="preserve">FIBREUX + CC </t>
        </is>
      </c>
      <c r="BS3" s="229" t="inlineStr">
        <is>
          <t>Objectif REFUS</t>
        </is>
      </c>
      <c r="BU3" s="60" t="n"/>
      <c r="BV3" s="60" t="n"/>
      <c r="BW3" s="60" t="n"/>
      <c r="BX3" s="188" t="n"/>
    </row>
    <row r="4">
      <c r="A4">
        <f>A5-1</f>
        <v/>
      </c>
      <c r="B4" s="220">
        <f>$A4</f>
        <v/>
      </c>
      <c r="C4" s="222">
        <f>VLOOKUP($B4,$B$13:$E$64,C$1,0)</f>
        <v/>
      </c>
      <c r="D4" s="111">
        <f>VLOOKUP($B4,$B$13:$E$64,D$1,0)</f>
        <v/>
      </c>
      <c r="E4" s="223">
        <f>VLOOKUP($B4,$B$13:$E$64,E$1,0)</f>
        <v/>
      </c>
      <c r="F4" s="60" t="n"/>
      <c r="G4" s="220">
        <f>$A4</f>
        <v/>
      </c>
      <c r="H4" s="111">
        <f>VLOOKUP($G4,$G$13:$J$64,H$1,0)</f>
        <v/>
      </c>
      <c r="I4" s="111">
        <f>VLOOKUP($G4,$G$13:$J$64,I$1,0)</f>
        <v/>
      </c>
      <c r="J4" s="223">
        <f>VLOOKUP($G4,$G$13:$J$64,J$1,0)</f>
        <v/>
      </c>
      <c r="L4" s="220">
        <f>$A4</f>
        <v/>
      </c>
      <c r="M4" s="111">
        <f>VLOOKUP($G4,$L$13:$O$64,M$1,0)</f>
        <v/>
      </c>
      <c r="N4" s="111">
        <f>VLOOKUP($G4,$L$13:$O$64,N$1,0)</f>
        <v/>
      </c>
      <c r="O4" s="223">
        <f>VLOOKUP($G4,$L$13:$O$64,O$1,0)</f>
        <v/>
      </c>
      <c r="Q4" s="220">
        <f>$A4</f>
        <v/>
      </c>
      <c r="R4" s="111">
        <f>VLOOKUP($G4,$Q$12:$T$63,R$1,0)</f>
        <v/>
      </c>
      <c r="S4" s="111">
        <f>VLOOKUP($G4,$Q$13:$T$64,S$1,0)</f>
        <v/>
      </c>
      <c r="T4" s="223">
        <f>VLOOKUP($G4,$Q$13:$T$64,T$1,0)</f>
        <v/>
      </c>
      <c r="V4" s="220">
        <f>$A4</f>
        <v/>
      </c>
      <c r="W4" s="111">
        <f>VLOOKUP($A4,$V$12:$Y$63,W$1,0)</f>
        <v/>
      </c>
      <c r="X4" s="111">
        <f>VLOOKUP($G4,$V$13:$Y$64,X$1,0)</f>
        <v/>
      </c>
      <c r="Y4" s="223">
        <f>VLOOKUP($G4,$V$13:$Y$64,Y$1,0)</f>
        <v/>
      </c>
      <c r="AA4" s="220">
        <f>$A4</f>
        <v/>
      </c>
      <c r="AB4" s="111">
        <f>VLOOKUP($G4,$AA$13:$AD$64,AB$1,0)</f>
        <v/>
      </c>
      <c r="AC4" s="111">
        <f>VLOOKUP($G4,$AA$13:$AD$64,AC$1,0)</f>
        <v/>
      </c>
      <c r="AD4" s="223">
        <f>VLOOKUP($G4,$AA$13:$AD$64,AD$1,0)</f>
        <v/>
      </c>
      <c r="AF4" s="220">
        <f>$A4</f>
        <v/>
      </c>
      <c r="AG4" s="111">
        <f>VLOOKUP($G4,$AF$13:$AI$64,AG$1,0)</f>
        <v/>
      </c>
      <c r="AH4" s="111">
        <f>VLOOKUP($G4,$AF$13:$AI$64,AH$1,0)</f>
        <v/>
      </c>
      <c r="AI4" s="223">
        <f>VLOOKUP($G4,$AF$13:$AI$64,AI$1,0)</f>
        <v/>
      </c>
      <c r="AK4" s="220">
        <f>$A4</f>
        <v/>
      </c>
      <c r="AL4" s="111">
        <f>VLOOKUP($G4,$AK$13:$AN$64,AL$1,0)</f>
        <v/>
      </c>
      <c r="AM4" s="111">
        <f>VLOOKUP($G4,$AK$13:$AN$64,AM$1,0)</f>
        <v/>
      </c>
      <c r="AN4" s="223">
        <f>VLOOKUP($G4,$AF$13:$AI$64,AN$1,0)</f>
        <v/>
      </c>
      <c r="AP4" s="220">
        <f>$A4</f>
        <v/>
      </c>
      <c r="AQ4" s="111">
        <f>VLOOKUP($G4,$AP$13:$AT$64,AQ$1,0)</f>
        <v/>
      </c>
      <c r="AR4" s="111">
        <f>VLOOKUP($G4,$AP$13:$AT$64,AR$1,0)</f>
        <v/>
      </c>
      <c r="AS4" s="111">
        <f>VLOOKUP($G4,$AF$13:$AI$64,AS$1,0)</f>
        <v/>
      </c>
      <c r="AT4" s="223">
        <f>VLOOKUP($G4,$AP$13:$AT$64,AT$1,0)</f>
        <v/>
      </c>
      <c r="AV4" s="220">
        <f>$A4</f>
        <v/>
      </c>
      <c r="AW4" s="111">
        <f>VLOOKUP($G4,$AV$13:$AY$64,AW$1,0)</f>
        <v/>
      </c>
      <c r="AX4" s="111">
        <f>VLOOKUP($G4,$AV$13:$AY$64,AX$1,0)</f>
        <v/>
      </c>
      <c r="AY4" s="223">
        <f>VLOOKUP($G4,$AF$13:$AI$64,AY$1,0)</f>
        <v/>
      </c>
      <c r="BA4" s="220">
        <f>$A4</f>
        <v/>
      </c>
      <c r="BB4" s="111">
        <f>VLOOKUP($G4,$BA$13:$BD$64,BB$1,0)</f>
        <v/>
      </c>
      <c r="BC4" s="111">
        <f>VLOOKUP($G4,$BA$13:$BD$64,BC$1,0)</f>
        <v/>
      </c>
      <c r="BD4" s="223">
        <f>VLOOKUP($G4,$AF$13:$AI$64,BD$1,0)</f>
        <v/>
      </c>
      <c r="BF4" s="232">
        <f>$A4</f>
        <v/>
      </c>
      <c r="BG4" s="111">
        <f>VLOOKUP($G4,$BF$13:$BI$64,BG$1,0)</f>
        <v/>
      </c>
      <c r="BH4" s="111">
        <f>VLOOKUP($G4,$BF$13:$BI$64,BH$1,0)</f>
        <v/>
      </c>
      <c r="BI4" s="223">
        <f>VLOOKUP($G4,$AF$13:$AI$64,BI$1,0)</f>
        <v/>
      </c>
      <c r="BK4" s="220">
        <f>$A4</f>
        <v/>
      </c>
      <c r="BL4" s="111">
        <f>VLOOKUP($G4,$BK$13:$BN$64,BG$1,0)</f>
        <v/>
      </c>
      <c r="BM4" s="111">
        <f>VLOOKUP($G4,$BK$13:$BN$64,BM$1,0)</f>
        <v/>
      </c>
      <c r="BN4" s="223">
        <f>VLOOKUP($G4,$AF$13:$AI$64,BN$1,0)</f>
        <v/>
      </c>
      <c r="BP4" s="220">
        <f>$A4</f>
        <v/>
      </c>
      <c r="BQ4" s="111">
        <f>VLOOKUP($G4,$BP$13:$BS$64,BQ$1,0)</f>
        <v/>
      </c>
      <c r="BR4" s="111">
        <f>VLOOKUP($G4,$BP$13:$BS$64,BR$1,0)</f>
        <v/>
      </c>
      <c r="BS4" s="223">
        <f>VLOOKUP($G4,$AF$13:$AI$64,BS$1,0)</f>
        <v/>
      </c>
      <c r="BU4" s="187" t="n"/>
      <c r="BV4" s="60" t="n"/>
      <c r="BW4" s="60" t="n"/>
      <c r="BX4" s="60" t="n"/>
    </row>
    <row r="5">
      <c r="A5">
        <f>A6-1</f>
        <v/>
      </c>
      <c r="B5" s="220">
        <f>$A5</f>
        <v/>
      </c>
      <c r="C5" s="111">
        <f>VLOOKUP($B5,$B$13:$E$64,C$1,0)</f>
        <v/>
      </c>
      <c r="D5" s="111">
        <f>VLOOKUP($B5,$B$13:$E$64,D$1,0)</f>
        <v/>
      </c>
      <c r="E5" s="223">
        <f>VLOOKUP($B5,$B$13:$E$64,E$1,0)</f>
        <v/>
      </c>
      <c r="F5" s="60" t="n"/>
      <c r="G5" s="220">
        <f>$A5</f>
        <v/>
      </c>
      <c r="H5" s="111">
        <f>VLOOKUP($G5,$G$13:$J$64,H$1,0)</f>
        <v/>
      </c>
      <c r="I5" s="111">
        <f>VLOOKUP($G5,$G$13:$J$64,I$1,0)</f>
        <v/>
      </c>
      <c r="J5" s="223">
        <f>VLOOKUP($G5,$G$13:$J$64,J$1,0)</f>
        <v/>
      </c>
      <c r="L5" s="220">
        <f>$A5</f>
        <v/>
      </c>
      <c r="M5" s="111">
        <f>VLOOKUP($G5,$L$13:$O$64,M$1,0)</f>
        <v/>
      </c>
      <c r="N5" s="111">
        <f>VLOOKUP($G5,$L$13:$O$64,N$1,0)</f>
        <v/>
      </c>
      <c r="O5" s="223">
        <f>VLOOKUP($G5,$L$13:$O$64,O$1,0)</f>
        <v/>
      </c>
      <c r="Q5" s="220">
        <f>$A5</f>
        <v/>
      </c>
      <c r="R5" s="111">
        <f>VLOOKUP($G5,$Q$12:$T$63,R$1,0)</f>
        <v/>
      </c>
      <c r="S5" s="111">
        <f>VLOOKUP($G5,$Q$13:$T$64,S$1,0)</f>
        <v/>
      </c>
      <c r="T5" s="223">
        <f>VLOOKUP($G5,$Q$13:$T$64,T$1,0)</f>
        <v/>
      </c>
      <c r="V5" s="220">
        <f>$A5</f>
        <v/>
      </c>
      <c r="W5" s="111">
        <f>VLOOKUP($G5,$V$12:$Y$63,W$1,0)</f>
        <v/>
      </c>
      <c r="X5" s="111">
        <f>VLOOKUP($G5,$V$13:$Y$64,X$1,0)</f>
        <v/>
      </c>
      <c r="Y5" s="223">
        <f>VLOOKUP($G5,$V$13:$Y$64,Y$1,0)</f>
        <v/>
      </c>
      <c r="AA5" s="220">
        <f>$A5</f>
        <v/>
      </c>
      <c r="AB5" s="111">
        <f>VLOOKUP($G5,$AA$13:$AD$64,AB$1,0)</f>
        <v/>
      </c>
      <c r="AC5" s="111">
        <f>VLOOKUP($G5,$AA$13:$AD$64,AC$1,0)</f>
        <v/>
      </c>
      <c r="AD5" s="223">
        <f>VLOOKUP($G5,$AA$13:$AD$64,AD$1,0)</f>
        <v/>
      </c>
      <c r="AF5" s="220">
        <f>$A5</f>
        <v/>
      </c>
      <c r="AG5" s="111">
        <f>VLOOKUP($G5,$AF$13:$AI$64,AG$1,0)</f>
        <v/>
      </c>
      <c r="AH5" s="111">
        <f>VLOOKUP($G5,$AF$13:$AI$64,AH$1,0)</f>
        <v/>
      </c>
      <c r="AI5" s="223">
        <f>VLOOKUP($G5,$AF$13:$AI$64,AI$1,0)</f>
        <v/>
      </c>
      <c r="AK5" s="220">
        <f>$A5</f>
        <v/>
      </c>
      <c r="AL5" s="111">
        <f>VLOOKUP($G5,$AK$13:$AN$64,AL$1,0)</f>
        <v/>
      </c>
      <c r="AM5" s="111">
        <f>VLOOKUP($G5,$AK$13:$AN$64,AM$1,0)</f>
        <v/>
      </c>
      <c r="AN5" s="223">
        <f>VLOOKUP($G5,$AF$13:$AI$64,AN$1,0)</f>
        <v/>
      </c>
      <c r="AP5" s="220">
        <f>$A5</f>
        <v/>
      </c>
      <c r="AQ5" s="111">
        <f>VLOOKUP($G5,$AP$13:$AT$64,AQ$1,0)</f>
        <v/>
      </c>
      <c r="AR5" s="111">
        <f>VLOOKUP($G5,$AP$13:$AT$64,AR$1,0)</f>
        <v/>
      </c>
      <c r="AS5" s="111">
        <f>VLOOKUP($G5,$AF$13:$AI$64,AS$1,0)</f>
        <v/>
      </c>
      <c r="AT5" s="223">
        <f>VLOOKUP($G5,$AP$13:$AT$64,AT$1,0)</f>
        <v/>
      </c>
      <c r="AV5" s="220">
        <f>$A5</f>
        <v/>
      </c>
      <c r="AW5" s="111">
        <f>VLOOKUP($G5,$AV$13:$AY$64,AW$1,0)</f>
        <v/>
      </c>
      <c r="AX5" s="111">
        <f>VLOOKUP($G5,$AV$13:$AY$64,AX$1,0)</f>
        <v/>
      </c>
      <c r="AY5" s="223">
        <f>VLOOKUP($G5,$AF$13:$AI$64,AY$1,0)</f>
        <v/>
      </c>
      <c r="BA5" s="220">
        <f>$A5</f>
        <v/>
      </c>
      <c r="BB5" s="111">
        <f>VLOOKUP($G5,$BA$13:$BD$64,BB$1,0)</f>
        <v/>
      </c>
      <c r="BC5" s="111">
        <f>VLOOKUP($G5,$BA$13:$BD$64,BC$1,0)</f>
        <v/>
      </c>
      <c r="BD5" s="223">
        <f>VLOOKUP($G5,$AF$13:$AI$64,BD$1,0)</f>
        <v/>
      </c>
      <c r="BF5" s="232">
        <f>$A5</f>
        <v/>
      </c>
      <c r="BG5" s="111">
        <f>VLOOKUP($G5,$BF$13:$BI$64,BG$1,0)</f>
        <v/>
      </c>
      <c r="BH5" s="111">
        <f>VLOOKUP($G5,$BF$13:$BI$64,BH$1,0)</f>
        <v/>
      </c>
      <c r="BI5" s="223">
        <f>VLOOKUP($G5,$AF$13:$AI$64,BI$1,0)</f>
        <v/>
      </c>
      <c r="BK5" s="220">
        <f>$A5</f>
        <v/>
      </c>
      <c r="BL5" s="111">
        <f>VLOOKUP($G5,$BK$13:$BN$64,BG$1,0)</f>
        <v/>
      </c>
      <c r="BM5" s="111">
        <f>VLOOKUP($G5,$BK$13:$BN$64,BM$1,0)</f>
        <v/>
      </c>
      <c r="BN5" s="223">
        <f>VLOOKUP($G5,$AF$13:$AI$64,BN$1,0)</f>
        <v/>
      </c>
      <c r="BP5" s="220">
        <f>$A5</f>
        <v/>
      </c>
      <c r="BQ5" s="111">
        <f>VLOOKUP($G5,$BP$13:$BS$64,BQ$1,0)</f>
        <v/>
      </c>
      <c r="BR5" s="111">
        <f>VLOOKUP($G5,$BP$13:$BS$64,BR$1,0)</f>
        <v/>
      </c>
      <c r="BS5" s="223">
        <f>VLOOKUP($G5,$AF$13:$AI$64,BS$1,0)</f>
        <v/>
      </c>
      <c r="BU5" s="187" t="n"/>
      <c r="BV5" s="60" t="n"/>
      <c r="BW5" s="60" t="n"/>
      <c r="BX5" s="60" t="n"/>
    </row>
    <row r="6">
      <c r="A6">
        <f>A7-1</f>
        <v/>
      </c>
      <c r="B6" s="220">
        <f>$A6</f>
        <v/>
      </c>
      <c r="C6" s="222">
        <f>VLOOKUP($B6,$B$13:$E$64,C$1,0)</f>
        <v/>
      </c>
      <c r="D6" s="111">
        <f>VLOOKUP($B6,$B$13:$E$64,D$1,0)</f>
        <v/>
      </c>
      <c r="E6" s="223">
        <f>VLOOKUP($B6,$B$13:$E$64,E$1,0)</f>
        <v/>
      </c>
      <c r="F6" s="60" t="n"/>
      <c r="G6" s="220">
        <f>$A6</f>
        <v/>
      </c>
      <c r="H6" s="111">
        <f>VLOOKUP($G6,$G$13:$J$64,H$1,0)</f>
        <v/>
      </c>
      <c r="I6" s="111">
        <f>VLOOKUP($G6,$G$13:$J$64,I$1,0)</f>
        <v/>
      </c>
      <c r="J6" s="223">
        <f>VLOOKUP($G6,$G$13:$J$64,J$1,0)</f>
        <v/>
      </c>
      <c r="L6" s="220">
        <f>$A6</f>
        <v/>
      </c>
      <c r="M6" s="111">
        <f>VLOOKUP($G6,$L$13:$O$64,M$1,0)</f>
        <v/>
      </c>
      <c r="N6" s="111">
        <f>VLOOKUP($G6,$L$13:$O$64,N$1,0)</f>
        <v/>
      </c>
      <c r="O6" s="223">
        <f>VLOOKUP($G6,$L$13:$O$64,O$1,0)</f>
        <v/>
      </c>
      <c r="Q6" s="220">
        <f>$A6</f>
        <v/>
      </c>
      <c r="R6" s="111">
        <f>VLOOKUP($G6,$Q$12:$T$63,R$1,0)</f>
        <v/>
      </c>
      <c r="S6" s="111">
        <f>VLOOKUP($G6,$Q$13:$T$64,S$1,0)</f>
        <v/>
      </c>
      <c r="T6" s="223">
        <f>VLOOKUP($G6,$Q$13:$T$64,T$1,0)</f>
        <v/>
      </c>
      <c r="V6" s="220">
        <f>$A6</f>
        <v/>
      </c>
      <c r="W6" s="111">
        <f>VLOOKUP($G6,$V$12:$Y$63,W$1,0)</f>
        <v/>
      </c>
      <c r="X6" s="111">
        <f>VLOOKUP($G6,$V$13:$Y$64,X$1,0)</f>
        <v/>
      </c>
      <c r="Y6" s="223">
        <f>VLOOKUP($G6,$V$13:$Y$64,Y$1,0)</f>
        <v/>
      </c>
      <c r="AA6" s="220">
        <f>$A6</f>
        <v/>
      </c>
      <c r="AB6" s="111">
        <f>VLOOKUP($G6,$AA$13:$AD$64,AB$1,0)</f>
        <v/>
      </c>
      <c r="AC6" s="111">
        <f>VLOOKUP($G6,$AA$13:$AD$64,AC$1,0)</f>
        <v/>
      </c>
      <c r="AD6" s="223">
        <f>VLOOKUP($G6,$AA$13:$AD$64,AD$1,0)</f>
        <v/>
      </c>
      <c r="AF6" s="220">
        <f>$A6</f>
        <v/>
      </c>
      <c r="AG6" s="111">
        <f>VLOOKUP($G6,$AF$13:$AI$64,AG$1,0)</f>
        <v/>
      </c>
      <c r="AH6" s="111">
        <f>VLOOKUP($G6,$AF$13:$AI$64,AH$1,0)</f>
        <v/>
      </c>
      <c r="AI6" s="223">
        <f>VLOOKUP($G6,$AF$13:$AI$64,AI$1,0)</f>
        <v/>
      </c>
      <c r="AK6" s="220">
        <f>$A6</f>
        <v/>
      </c>
      <c r="AL6" s="111">
        <f>VLOOKUP($G6,$AK$13:$AN$64,AL$1,0)</f>
        <v/>
      </c>
      <c r="AM6" s="111">
        <f>VLOOKUP($G6,$AK$13:$AN$64,AM$1,0)</f>
        <v/>
      </c>
      <c r="AN6" s="223">
        <f>VLOOKUP($G6,$AF$13:$AI$64,AN$1,0)</f>
        <v/>
      </c>
      <c r="AP6" s="220">
        <f>$A6</f>
        <v/>
      </c>
      <c r="AQ6" s="111">
        <f>VLOOKUP($G6,$AP$13:$AT$64,AQ$1,0)</f>
        <v/>
      </c>
      <c r="AR6" s="111">
        <f>VLOOKUP($G6,$AP$13:$AT$64,AR$1,0)</f>
        <v/>
      </c>
      <c r="AS6" s="111">
        <f>VLOOKUP($G6,$AF$13:$AI$64,AS$1,0)</f>
        <v/>
      </c>
      <c r="AT6" s="223">
        <f>VLOOKUP($G6,$AP$13:$AT$64,AT$1,0)</f>
        <v/>
      </c>
      <c r="AV6" s="220">
        <f>$A6</f>
        <v/>
      </c>
      <c r="AW6" s="111">
        <f>VLOOKUP($G6,$AV$13:$AY$64,AW$1,0)</f>
        <v/>
      </c>
      <c r="AX6" s="111">
        <f>VLOOKUP($G6,$AV$13:$AY$64,AX$1,0)</f>
        <v/>
      </c>
      <c r="AY6" s="223">
        <f>VLOOKUP($G6,$AF$13:$AI$64,AY$1,0)</f>
        <v/>
      </c>
      <c r="BA6" s="220">
        <f>$A6</f>
        <v/>
      </c>
      <c r="BB6" s="111">
        <f>VLOOKUP($G6,$BA$13:$BD$64,BB$1,0)</f>
        <v/>
      </c>
      <c r="BC6" s="111">
        <f>VLOOKUP($G6,$BA$13:$BD$64,BC$1,0)</f>
        <v/>
      </c>
      <c r="BD6" s="223">
        <f>VLOOKUP($G6,$AF$13:$AI$64,BD$1,0)</f>
        <v/>
      </c>
      <c r="BF6" s="232">
        <f>$A6</f>
        <v/>
      </c>
      <c r="BG6" s="111">
        <f>VLOOKUP($G6,$BF$13:$BI$64,BG$1,0)</f>
        <v/>
      </c>
      <c r="BH6" s="111">
        <f>VLOOKUP($G6,$BF$13:$BI$64,BH$1,0)</f>
        <v/>
      </c>
      <c r="BI6" s="223">
        <f>VLOOKUP($G6,$AF$13:$AI$64,BI$1,0)</f>
        <v/>
      </c>
      <c r="BK6" s="220">
        <f>$A6</f>
        <v/>
      </c>
      <c r="BL6" s="111">
        <f>VLOOKUP($G6,$BK$13:$BN$64,BG$1,0)</f>
        <v/>
      </c>
      <c r="BM6" s="111">
        <f>VLOOKUP($G6,$BK$13:$BN$64,BM$1,0)</f>
        <v/>
      </c>
      <c r="BN6" s="223">
        <f>VLOOKUP($G6,$AF$13:$AI$64,BN$1,0)</f>
        <v/>
      </c>
      <c r="BP6" s="220">
        <f>$A6</f>
        <v/>
      </c>
      <c r="BQ6" s="111">
        <f>VLOOKUP($G6,$BP$13:$BS$64,BQ$1,0)</f>
        <v/>
      </c>
      <c r="BR6" s="111">
        <f>VLOOKUP($G6,$BP$13:$BS$64,BR$1,0)</f>
        <v/>
      </c>
      <c r="BS6" s="223">
        <f>VLOOKUP($G6,$AF$13:$AI$64,BS$1,0)</f>
        <v/>
      </c>
      <c r="BU6" s="187" t="n"/>
      <c r="BV6" s="60" t="n"/>
      <c r="BW6" s="60" t="n"/>
      <c r="BX6" s="60" t="n"/>
    </row>
    <row r="7">
      <c r="A7">
        <f>A8-1</f>
        <v/>
      </c>
      <c r="B7" s="220">
        <f>$A7</f>
        <v/>
      </c>
      <c r="C7" s="222">
        <f>VLOOKUP($B7,$B$13:$E$64,C$1,0)</f>
        <v/>
      </c>
      <c r="D7" s="111">
        <f>VLOOKUP($B7,$B$13:$E$64,D$1,0)</f>
        <v/>
      </c>
      <c r="E7" s="223">
        <f>VLOOKUP($B7,$B$13:$E$64,E$1,0)</f>
        <v/>
      </c>
      <c r="F7" s="60" t="n"/>
      <c r="G7" s="220">
        <f>$A7</f>
        <v/>
      </c>
      <c r="H7" s="111">
        <f>VLOOKUP($G7,$G$13:$J$64,H$1,0)</f>
        <v/>
      </c>
      <c r="I7" s="111">
        <f>VLOOKUP($G7,$G$13:$J$64,I$1,0)</f>
        <v/>
      </c>
      <c r="J7" s="223">
        <f>VLOOKUP($G7,$G$13:$J$64,J$1,0)</f>
        <v/>
      </c>
      <c r="L7" s="220">
        <f>$A7</f>
        <v/>
      </c>
      <c r="M7" s="111">
        <f>VLOOKUP($G7,$L$13:$O$64,M$1,0)</f>
        <v/>
      </c>
      <c r="N7" s="111">
        <f>VLOOKUP($G7,$L$13:$O$64,N$1,0)</f>
        <v/>
      </c>
      <c r="O7" s="223">
        <f>VLOOKUP($G7,$L$13:$O$64,O$1,0)</f>
        <v/>
      </c>
      <c r="Q7" s="220">
        <f>$A7</f>
        <v/>
      </c>
      <c r="R7" s="111">
        <f>VLOOKUP($G7,$Q$12:$T$63,R$1,0)</f>
        <v/>
      </c>
      <c r="S7" s="111">
        <f>VLOOKUP($G7,$Q$13:$T$64,S$1,0)</f>
        <v/>
      </c>
      <c r="T7" s="223">
        <f>VLOOKUP($G7,$Q$13:$T$64,T$1,0)</f>
        <v/>
      </c>
      <c r="V7" s="220">
        <f>$A7</f>
        <v/>
      </c>
      <c r="W7" s="111">
        <f>VLOOKUP($G7,$V$12:$Y$63,W$1,0)</f>
        <v/>
      </c>
      <c r="X7" s="111">
        <f>VLOOKUP($G7,$V$13:$Y$64,X$1,0)</f>
        <v/>
      </c>
      <c r="Y7" s="223">
        <f>VLOOKUP($G7,$V$13:$Y$64,Y$1,0)</f>
        <v/>
      </c>
      <c r="AA7" s="220">
        <f>$A7</f>
        <v/>
      </c>
      <c r="AB7" s="111">
        <f>VLOOKUP($G7,$AA$13:$AD$64,AB$1,0)</f>
        <v/>
      </c>
      <c r="AC7" s="111">
        <f>VLOOKUP($G7,$AA$13:$AD$64,AC$1,0)</f>
        <v/>
      </c>
      <c r="AD7" s="223">
        <f>VLOOKUP($G7,$AA$13:$AD$64,AD$1,0)</f>
        <v/>
      </c>
      <c r="AF7" s="220">
        <f>$A7</f>
        <v/>
      </c>
      <c r="AG7" s="111">
        <f>VLOOKUP($G7,$AF$13:$AI$64,AG$1,0)</f>
        <v/>
      </c>
      <c r="AH7" s="111">
        <f>VLOOKUP($G7,$AF$13:$AI$64,AH$1,0)</f>
        <v/>
      </c>
      <c r="AI7" s="223">
        <f>VLOOKUP($G7,$AF$13:$AI$64,AI$1,0)</f>
        <v/>
      </c>
      <c r="AK7" s="220">
        <f>$A7</f>
        <v/>
      </c>
      <c r="AL7" s="111">
        <f>VLOOKUP($G7,$AK$13:$AN$64,AL$1,0)</f>
        <v/>
      </c>
      <c r="AM7" s="111">
        <f>VLOOKUP($G7,$AK$13:$AN$64,AM$1,0)</f>
        <v/>
      </c>
      <c r="AN7" s="223">
        <f>VLOOKUP($G7,$AF$13:$AI$64,AN$1,0)</f>
        <v/>
      </c>
      <c r="AP7" s="220">
        <f>$A7</f>
        <v/>
      </c>
      <c r="AQ7" s="111">
        <f>VLOOKUP($G7,$AP$13:$AT$64,AQ$1,0)</f>
        <v/>
      </c>
      <c r="AR7" s="111">
        <f>VLOOKUP($G7,$AP$13:$AT$64,AR$1,0)</f>
        <v/>
      </c>
      <c r="AS7" s="111">
        <f>VLOOKUP($G7,$AF$13:$AI$64,AS$1,0)</f>
        <v/>
      </c>
      <c r="AT7" s="223">
        <f>VLOOKUP($G7,$AP$13:$AT$64,AT$1,0)</f>
        <v/>
      </c>
      <c r="AV7" s="220">
        <f>$A7</f>
        <v/>
      </c>
      <c r="AW7" s="111">
        <f>VLOOKUP($G7,$AV$13:$AY$64,AW$1,0)</f>
        <v/>
      </c>
      <c r="AX7" s="111">
        <f>VLOOKUP($G7,$AV$13:$AY$64,AX$1,0)</f>
        <v/>
      </c>
      <c r="AY7" s="223">
        <f>VLOOKUP($G7,$AF$13:$AI$64,AY$1,0)</f>
        <v/>
      </c>
      <c r="BA7" s="220">
        <f>$A7</f>
        <v/>
      </c>
      <c r="BB7" s="111">
        <f>VLOOKUP($G7,$BA$13:$BD$64,BB$1,0)</f>
        <v/>
      </c>
      <c r="BC7" s="111">
        <f>VLOOKUP($G7,$BA$13:$BD$64,BC$1,0)</f>
        <v/>
      </c>
      <c r="BD7" s="223">
        <f>VLOOKUP($G7,$AF$13:$AI$64,BD$1,0)</f>
        <v/>
      </c>
      <c r="BF7" s="232">
        <f>$A7</f>
        <v/>
      </c>
      <c r="BG7" s="111">
        <f>VLOOKUP($G7,$BF$13:$BI$64,BG$1,0)</f>
        <v/>
      </c>
      <c r="BH7" s="111">
        <f>VLOOKUP($G7,$BF$13:$BI$64,BH$1,0)</f>
        <v/>
      </c>
      <c r="BI7" s="223">
        <f>VLOOKUP($G7,$AF$13:$AI$64,BI$1,0)</f>
        <v/>
      </c>
      <c r="BK7" s="220">
        <f>$A7</f>
        <v/>
      </c>
      <c r="BL7" s="111">
        <f>VLOOKUP($G7,$BK$13:$BN$64,BG$1,0)</f>
        <v/>
      </c>
      <c r="BM7" s="111">
        <f>VLOOKUP($G7,$BK$13:$BN$64,BM$1,0)</f>
        <v/>
      </c>
      <c r="BN7" s="223">
        <f>VLOOKUP($G7,$AF$13:$AI$64,BN$1,0)</f>
        <v/>
      </c>
      <c r="BP7" s="220">
        <f>$A7</f>
        <v/>
      </c>
      <c r="BQ7" s="111">
        <f>VLOOKUP($G7,$BP$13:$BS$64,BQ$1,0)</f>
        <v/>
      </c>
      <c r="BR7" s="111">
        <f>VLOOKUP($G7,$BP$13:$BS$64,BR$1,0)</f>
        <v/>
      </c>
      <c r="BS7" s="223">
        <f>VLOOKUP($G7,$AF$13:$AI$64,BS$1,0)</f>
        <v/>
      </c>
      <c r="BU7" s="187" t="n"/>
      <c r="BV7" s="60" t="n"/>
      <c r="BW7" s="60" t="n"/>
      <c r="BX7" s="60" t="n"/>
    </row>
    <row r="8">
      <c r="A8" s="175" t="n">
        <v>8</v>
      </c>
      <c r="B8" s="220">
        <f>$A8</f>
        <v/>
      </c>
      <c r="C8" s="222">
        <f>VLOOKUP($B8,$B$13:$E$64,C$1,0)</f>
        <v/>
      </c>
      <c r="D8" s="111">
        <f>VLOOKUP($B8,$B$13:$E$64,D$1,0)</f>
        <v/>
      </c>
      <c r="E8" s="223">
        <f>VLOOKUP($B8,$B$13:$E$64,E$1,0)</f>
        <v/>
      </c>
      <c r="F8" s="60" t="n"/>
      <c r="G8" s="220">
        <f>$A8</f>
        <v/>
      </c>
      <c r="H8" s="111">
        <f>VLOOKUP($G8,$G$13:$J$64,H$1,0)</f>
        <v/>
      </c>
      <c r="I8" s="111">
        <f>VLOOKUP($G8,$G$13:$J$64,I$1,0)</f>
        <v/>
      </c>
      <c r="J8" s="223">
        <f>VLOOKUP($G8,$G$13:$J$64,J$1,0)</f>
        <v/>
      </c>
      <c r="L8" s="220">
        <f>$A8</f>
        <v/>
      </c>
      <c r="M8" s="111">
        <f>VLOOKUP($G8,$L$13:$O$64,M$1,0)</f>
        <v/>
      </c>
      <c r="N8" s="111">
        <f>VLOOKUP($G8,$L$13:$O$64,N$1,0)</f>
        <v/>
      </c>
      <c r="O8" s="223">
        <f>VLOOKUP($G8,$L$13:$O$64,O$1,0)</f>
        <v/>
      </c>
      <c r="Q8" s="220">
        <f>$A8</f>
        <v/>
      </c>
      <c r="R8" s="111">
        <f>VLOOKUP($G8,$Q$12:$T$63,R$1,0)</f>
        <v/>
      </c>
      <c r="S8" s="111">
        <f>VLOOKUP($G8,$Q$13:$T$64,S$1,0)</f>
        <v/>
      </c>
      <c r="T8" s="223">
        <f>VLOOKUP($G8,$Q$13:$T$64,T$1,0)</f>
        <v/>
      </c>
      <c r="V8" s="220">
        <f>$A8</f>
        <v/>
      </c>
      <c r="W8" s="111">
        <f>VLOOKUP($G8,$V$12:$Y$63,W$1,0)</f>
        <v/>
      </c>
      <c r="X8" s="111">
        <f>VLOOKUP($G8,$V$13:$Y$64,X$1,0)</f>
        <v/>
      </c>
      <c r="Y8" s="223">
        <f>VLOOKUP($G8,$V$13:$Y$64,Y$1,0)</f>
        <v/>
      </c>
      <c r="AA8" s="220">
        <f>$A8</f>
        <v/>
      </c>
      <c r="AB8" s="111">
        <f>VLOOKUP($G8,$AA$13:$AD$64,AB$1,0)</f>
        <v/>
      </c>
      <c r="AC8" s="111">
        <f>VLOOKUP($G8,$AA$13:$AD$64,AC$1,0)</f>
        <v/>
      </c>
      <c r="AD8" s="223">
        <f>VLOOKUP($G8,$AA$13:$AD$64,AD$1,0)</f>
        <v/>
      </c>
      <c r="AF8" s="220">
        <f>$A8</f>
        <v/>
      </c>
      <c r="AG8" s="111">
        <f>VLOOKUP($G8,$AF$13:$AI$64,AG$1,0)</f>
        <v/>
      </c>
      <c r="AH8" s="111">
        <f>VLOOKUP($G8,$AF$13:$AI$64,AH$1,0)</f>
        <v/>
      </c>
      <c r="AI8" s="223">
        <f>VLOOKUP($G8,$AF$13:$AI$64,AI$1,0)</f>
        <v/>
      </c>
      <c r="AK8" s="220">
        <f>$A8</f>
        <v/>
      </c>
      <c r="AL8" s="111">
        <f>VLOOKUP($G8,$AK$13:$AN$64,AL$1,0)</f>
        <v/>
      </c>
      <c r="AM8" s="111">
        <f>VLOOKUP($G8,$AK$13:$AN$64,AM$1,0)</f>
        <v/>
      </c>
      <c r="AN8" s="223">
        <f>VLOOKUP($G8,$AF$13:$AI$64,AN$1,0)</f>
        <v/>
      </c>
      <c r="AP8" s="220">
        <f>$A8</f>
        <v/>
      </c>
      <c r="AQ8" s="111">
        <f>VLOOKUP($G8,$AP$13:$AT$64,AQ$1,0)</f>
        <v/>
      </c>
      <c r="AR8" s="111">
        <f>VLOOKUP($G8,$AP$13:$AT$64,AR$1,0)</f>
        <v/>
      </c>
      <c r="AS8" s="111">
        <f>VLOOKUP($G8,$AF$13:$AI$64,AS$1,0)</f>
        <v/>
      </c>
      <c r="AT8" s="223">
        <f>VLOOKUP($G8,$AP$13:$AT$64,AT$1,0)</f>
        <v/>
      </c>
      <c r="AV8" s="220">
        <f>$A8</f>
        <v/>
      </c>
      <c r="AW8" s="111">
        <f>VLOOKUP($G8,$AV$13:$AY$64,AW$1,0)</f>
        <v/>
      </c>
      <c r="AX8" s="111">
        <f>VLOOKUP($G8,$AV$13:$AY$64,AX$1,0)</f>
        <v/>
      </c>
      <c r="AY8" s="223">
        <f>VLOOKUP($G8,$AF$13:$AI$64,AY$1,0)</f>
        <v/>
      </c>
      <c r="BA8" s="220">
        <f>$A8</f>
        <v/>
      </c>
      <c r="BB8" s="111">
        <f>VLOOKUP($G8,$BA$13:$BD$64,BB$1,0)</f>
        <v/>
      </c>
      <c r="BC8" s="111">
        <f>VLOOKUP($G8,$BA$13:$BD$64,BC$1,0)</f>
        <v/>
      </c>
      <c r="BD8" s="223">
        <f>VLOOKUP($G8,$AF$13:$AI$64,BD$1,0)</f>
        <v/>
      </c>
      <c r="BF8" s="232">
        <f>$A8</f>
        <v/>
      </c>
      <c r="BG8" s="111">
        <f>VLOOKUP($G8,$BF$13:$BI$64,BG$1,0)</f>
        <v/>
      </c>
      <c r="BH8" s="111">
        <f>VLOOKUP($G8,$BF$13:$BI$64,BH$1,0)</f>
        <v/>
      </c>
      <c r="BI8" s="223">
        <f>VLOOKUP($G8,$AF$13:$AI$64,BI$1,0)</f>
        <v/>
      </c>
      <c r="BK8" s="220">
        <f>$A8</f>
        <v/>
      </c>
      <c r="BL8" s="111">
        <f>VLOOKUP($G8,$BK$13:$BN$64,BG$1,0)</f>
        <v/>
      </c>
      <c r="BM8" s="111">
        <f>VLOOKUP($G8,$BK$13:$BN$64,BM$1,0)</f>
        <v/>
      </c>
      <c r="BN8" s="223">
        <f>VLOOKUP($G8,$AF$13:$AI$64,BN$1,0)</f>
        <v/>
      </c>
      <c r="BP8" s="220">
        <f>$A8</f>
        <v/>
      </c>
      <c r="BQ8" s="111">
        <f>VLOOKUP($G8,$BP$13:$BS$64,BQ$1,0)</f>
        <v/>
      </c>
      <c r="BR8" s="111">
        <f>VLOOKUP($G8,$BP$13:$BS$64,BR$1,0)</f>
        <v/>
      </c>
      <c r="BS8" s="223">
        <f>VLOOKUP($G8,$AF$13:$AI$64,BS$1,0)</f>
        <v/>
      </c>
      <c r="BU8" s="187" t="n"/>
      <c r="BV8" s="60" t="n"/>
      <c r="BW8" s="60" t="n"/>
      <c r="BX8" s="60" t="n"/>
    </row>
    <row r="9">
      <c r="B9" s="220" t="n"/>
      <c r="C9" s="287" t="n"/>
      <c r="D9" s="287" t="n"/>
      <c r="E9" s="221" t="n"/>
      <c r="G9" s="220" t="n"/>
      <c r="H9" s="287" t="n"/>
      <c r="I9" s="287" t="n"/>
      <c r="J9" s="221" t="n"/>
      <c r="L9" s="220" t="n"/>
      <c r="M9" s="287" t="n"/>
      <c r="N9" s="287" t="n"/>
      <c r="O9" s="221" t="n"/>
      <c r="Q9" s="220" t="n"/>
      <c r="R9" s="287" t="n"/>
      <c r="S9" s="287" t="n"/>
      <c r="T9" s="221" t="n"/>
      <c r="V9" s="220" t="n"/>
      <c r="W9" s="287" t="n"/>
      <c r="X9" s="287" t="n"/>
      <c r="Y9" s="221" t="n"/>
      <c r="AA9" s="220" t="n"/>
      <c r="AB9" s="287" t="n"/>
      <c r="AC9" s="287" t="n"/>
      <c r="AD9" s="221" t="n"/>
      <c r="AF9" s="220" t="n"/>
      <c r="AG9" s="287" t="n"/>
      <c r="AH9" s="287" t="n"/>
      <c r="AI9" s="221" t="n"/>
      <c r="AK9" s="220" t="n"/>
      <c r="AL9" s="287" t="n"/>
      <c r="AM9" s="287" t="n"/>
      <c r="AN9" s="221" t="n"/>
      <c r="AP9" s="220" t="n"/>
      <c r="AQ9" s="287" t="n"/>
      <c r="AR9" s="287" t="n"/>
      <c r="AS9" s="287" t="n"/>
      <c r="AT9" s="223" t="n"/>
      <c r="AV9" s="220" t="n"/>
      <c r="AW9" s="287" t="n"/>
      <c r="AX9" s="287" t="n"/>
      <c r="AY9" s="221" t="n"/>
      <c r="BA9" s="220" t="n"/>
      <c r="BB9" s="287" t="n"/>
      <c r="BC9" s="287" t="n"/>
      <c r="BD9" s="221" t="n"/>
      <c r="BF9" s="230" t="n"/>
      <c r="BG9" s="111" t="n"/>
      <c r="BH9" s="111" t="n"/>
      <c r="BI9" s="223" t="n"/>
      <c r="BK9" s="220" t="n"/>
      <c r="BL9" s="287" t="n"/>
      <c r="BM9" s="287" t="n"/>
      <c r="BN9" s="221" t="n"/>
      <c r="BP9" s="220" t="n"/>
      <c r="BQ9" s="287" t="n"/>
      <c r="BR9" s="287" t="n"/>
      <c r="BS9" s="221" t="n"/>
      <c r="BU9" s="60" t="n"/>
      <c r="BV9" s="60" t="n"/>
      <c r="BW9" s="60" t="n"/>
      <c r="BX9" s="60" t="n"/>
    </row>
    <row r="10">
      <c r="B10" s="220" t="n"/>
      <c r="C10" s="287" t="n"/>
      <c r="D10" s="287" t="n"/>
      <c r="E10" s="221" t="n"/>
      <c r="G10" s="220" t="n"/>
      <c r="H10" s="287" t="n"/>
      <c r="I10" s="287" t="n"/>
      <c r="J10" s="221" t="n"/>
      <c r="L10" s="220" t="n"/>
      <c r="M10" s="287" t="n"/>
      <c r="N10" s="287" t="n"/>
      <c r="O10" s="221" t="n"/>
      <c r="Q10" s="220" t="n"/>
      <c r="R10" s="287" t="n"/>
      <c r="S10" s="287" t="n"/>
      <c r="T10" s="221" t="n"/>
      <c r="V10" s="220" t="n"/>
      <c r="W10" s="287" t="n"/>
      <c r="X10" s="287" t="n"/>
      <c r="Y10" s="221" t="n"/>
      <c r="AA10" s="220" t="n"/>
      <c r="AB10" s="287" t="n"/>
      <c r="AC10" s="287" t="n"/>
      <c r="AD10" s="221" t="n"/>
      <c r="AF10" s="220" t="n"/>
      <c r="AG10" s="287" t="n"/>
      <c r="AH10" s="287" t="n"/>
      <c r="AI10" s="221" t="n"/>
      <c r="AK10" s="220" t="n"/>
      <c r="AL10" s="287" t="n"/>
      <c r="AM10" s="287" t="n"/>
      <c r="AN10" s="221" t="n"/>
      <c r="AP10" s="220" t="n"/>
      <c r="AQ10" s="287" t="n"/>
      <c r="AR10" s="287" t="n"/>
      <c r="AS10" s="287" t="n"/>
      <c r="AT10" s="221" t="n"/>
      <c r="AV10" s="220" t="n"/>
      <c r="AW10" s="287" t="n"/>
      <c r="AX10" s="287" t="n"/>
      <c r="AY10" s="221" t="n"/>
      <c r="BA10" s="220" t="n"/>
      <c r="BB10" s="287" t="n"/>
      <c r="BC10" s="287" t="n"/>
      <c r="BD10" s="221" t="n"/>
      <c r="BF10" s="230" t="n"/>
      <c r="BG10" s="111" t="n"/>
      <c r="BH10" s="111" t="n"/>
      <c r="BI10" s="223" t="n"/>
      <c r="BK10" s="220" t="n"/>
      <c r="BL10" s="287" t="n"/>
      <c r="BM10" s="287" t="n"/>
      <c r="BN10" s="221" t="n"/>
      <c r="BP10" s="220" t="n"/>
      <c r="BQ10" s="287" t="n"/>
      <c r="BR10" s="287" t="n"/>
      <c r="BS10" s="221" t="n"/>
      <c r="BU10" s="60" t="n"/>
      <c r="BV10" s="60" t="n"/>
      <c r="BW10" s="60" t="n"/>
      <c r="BX10" s="60" t="n"/>
    </row>
    <row r="11" ht="20.25" customHeight="1" s="259">
      <c r="B11" s="258" t="inlineStr">
        <is>
          <t>JRM</t>
        </is>
      </c>
      <c r="E11" s="260" t="n"/>
      <c r="F11" s="287" t="n"/>
      <c r="G11" s="271" t="inlineStr">
        <is>
          <t xml:space="preserve">EMR </t>
        </is>
      </c>
      <c r="J11" s="260" t="n"/>
      <c r="L11" s="258" t="inlineStr">
        <is>
          <t>CARTON</t>
        </is>
      </c>
      <c r="O11" s="260" t="n"/>
      <c r="Q11" s="258" t="inlineStr">
        <is>
          <t>GM</t>
        </is>
      </c>
      <c r="T11" s="260" t="n"/>
      <c r="V11" s="266" t="inlineStr">
        <is>
          <t>Q9</t>
        </is>
      </c>
      <c r="Y11" s="260" t="n"/>
      <c r="AA11" s="266" t="inlineStr">
        <is>
          <t>FLUX DEV</t>
        </is>
      </c>
      <c r="AD11" s="260" t="n"/>
      <c r="AF11" s="266" t="inlineStr">
        <is>
          <t>PET B</t>
        </is>
      </c>
      <c r="AI11" s="260" t="n"/>
      <c r="AJ11" s="287" t="n"/>
      <c r="AK11" s="266" t="inlineStr">
        <is>
          <t>PEPP</t>
        </is>
      </c>
      <c r="AN11" s="260" t="n"/>
      <c r="AP11" s="272" t="inlineStr">
        <is>
          <t>ELA</t>
        </is>
      </c>
      <c r="AT11" s="214" t="n"/>
      <c r="AV11" s="266" t="inlineStr">
        <is>
          <t>FILM</t>
        </is>
      </c>
      <c r="AY11" s="260" t="n"/>
      <c r="AZ11" s="287" t="n"/>
      <c r="BA11" s="264" t="inlineStr">
        <is>
          <t>ACIER</t>
        </is>
      </c>
      <c r="BD11" s="260" t="n"/>
      <c r="BE11" s="287" t="n"/>
      <c r="BF11" s="267" t="inlineStr">
        <is>
          <t>ALU</t>
        </is>
      </c>
      <c r="BI11" s="260" t="n"/>
      <c r="BK11" s="264" t="inlineStr">
        <is>
          <t>PETIT ALU</t>
        </is>
      </c>
      <c r="BN11" s="260" t="n"/>
      <c r="BP11" s="269" t="inlineStr">
        <is>
          <t>REFUS</t>
        </is>
      </c>
      <c r="BS11" s="260" t="n"/>
      <c r="BU11" s="184" t="n"/>
      <c r="BV11" s="184" t="n"/>
      <c r="BW11" s="184" t="n"/>
      <c r="BX11" s="184" t="n"/>
    </row>
    <row r="12">
      <c r="B12" s="224" t="inlineStr">
        <is>
          <t>Semaine</t>
        </is>
      </c>
      <c r="C12" s="287" t="inlineStr">
        <is>
          <t>Taux de pureté</t>
        </is>
      </c>
      <c r="D12" s="94" t="inlineStr">
        <is>
          <t>Contaminant A</t>
        </is>
      </c>
      <c r="E12" s="221" t="inlineStr">
        <is>
          <t>Objectif JRM</t>
        </is>
      </c>
      <c r="G12" s="224" t="inlineStr">
        <is>
          <t>Semaine</t>
        </is>
      </c>
      <c r="H12" s="287" t="inlineStr">
        <is>
          <t>Taux de pureté</t>
        </is>
      </c>
      <c r="I12" s="94" t="inlineStr">
        <is>
          <t xml:space="preserve">CC + REFUS </t>
        </is>
      </c>
      <c r="J12" s="221" t="inlineStr">
        <is>
          <t>Objectif EMR</t>
        </is>
      </c>
      <c r="L12" s="224" t="inlineStr">
        <is>
          <t>Semaine</t>
        </is>
      </c>
      <c r="M12" s="287" t="inlineStr">
        <is>
          <t>Taux de pureté</t>
        </is>
      </c>
      <c r="N12" s="94" t="inlineStr">
        <is>
          <t xml:space="preserve">CC + REFUS </t>
        </is>
      </c>
      <c r="O12" s="221" t="inlineStr">
        <is>
          <t>Objectif CARTON</t>
        </is>
      </c>
      <c r="Q12" s="224" t="inlineStr">
        <is>
          <t>Semaine</t>
        </is>
      </c>
      <c r="R12" s="287" t="inlineStr">
        <is>
          <t>Taux de pureté</t>
        </is>
      </c>
      <c r="S12" s="94" t="inlineStr">
        <is>
          <t xml:space="preserve">CC + REFUS </t>
        </is>
      </c>
      <c r="T12" s="229" t="inlineStr">
        <is>
          <t>Objectif GM</t>
        </is>
      </c>
      <c r="V12" s="224" t="inlineStr">
        <is>
          <t>Semaine</t>
        </is>
      </c>
      <c r="W12" s="287" t="inlineStr">
        <is>
          <t>Taux de pureté</t>
        </is>
      </c>
      <c r="X12" s="94" t="inlineStr">
        <is>
          <t>PET B</t>
        </is>
      </c>
      <c r="Y12" s="229" t="inlineStr">
        <is>
          <t>Objectif Q9</t>
        </is>
      </c>
      <c r="Z12" s="65" t="n"/>
      <c r="AA12" s="224" t="inlineStr">
        <is>
          <t>Semaine</t>
        </is>
      </c>
      <c r="AB12" s="287" t="inlineStr">
        <is>
          <t>Taux de pureté</t>
        </is>
      </c>
      <c r="AC12" s="94" t="inlineStr">
        <is>
          <t>PET Q9</t>
        </is>
      </c>
      <c r="AD12" s="229" t="inlineStr">
        <is>
          <t>Objectif FLUX DEV</t>
        </is>
      </c>
      <c r="AF12" s="224" t="inlineStr">
        <is>
          <t>Semaine</t>
        </is>
      </c>
      <c r="AG12" s="287" t="inlineStr">
        <is>
          <t>Taux de pureté</t>
        </is>
      </c>
      <c r="AH12" s="287" t="inlineStr">
        <is>
          <t xml:space="preserve">Contaminant </t>
        </is>
      </c>
      <c r="AI12" s="229" t="inlineStr">
        <is>
          <t>Objectif PET B</t>
        </is>
      </c>
      <c r="AK12" s="224" t="inlineStr">
        <is>
          <t>Semaine</t>
        </is>
      </c>
      <c r="AL12" s="287" t="inlineStr">
        <is>
          <t>Taux de pureté</t>
        </is>
      </c>
      <c r="AM12" s="94" t="inlineStr">
        <is>
          <t>FIBREUX + ELA</t>
        </is>
      </c>
      <c r="AN12" s="229" t="inlineStr">
        <is>
          <t>Objectif PEPP</t>
        </is>
      </c>
      <c r="AP12" s="224" t="inlineStr">
        <is>
          <t>Semaine</t>
        </is>
      </c>
      <c r="AQ12" s="287" t="inlineStr">
        <is>
          <t>Taux de pureté</t>
        </is>
      </c>
      <c r="AR12" s="94" t="inlineStr">
        <is>
          <t>FIBREUX</t>
        </is>
      </c>
      <c r="AS12" s="94" t="inlineStr">
        <is>
          <t>Objectif ELA</t>
        </is>
      </c>
      <c r="AT12" s="229" t="inlineStr">
        <is>
          <t>CC</t>
        </is>
      </c>
      <c r="AU12" s="65" t="n"/>
      <c r="AV12" s="224" t="inlineStr">
        <is>
          <t>Semaine</t>
        </is>
      </c>
      <c r="AW12" s="287" t="inlineStr">
        <is>
          <t>Taux de pureté</t>
        </is>
      </c>
      <c r="AX12" s="94" t="inlineStr">
        <is>
          <t xml:space="preserve">FIBREUX + CC </t>
        </is>
      </c>
      <c r="AY12" s="229" t="inlineStr">
        <is>
          <t>Objectif FILM</t>
        </is>
      </c>
      <c r="BA12" s="224" t="inlineStr">
        <is>
          <t>Semaine</t>
        </is>
      </c>
      <c r="BB12" s="287" t="inlineStr">
        <is>
          <t>Taux de pureté</t>
        </is>
      </c>
      <c r="BC12" s="287" t="inlineStr">
        <is>
          <t xml:space="preserve">Contaminant </t>
        </is>
      </c>
      <c r="BD12" s="229" t="inlineStr">
        <is>
          <t>Objectif ACIER</t>
        </is>
      </c>
      <c r="BF12" s="233" t="inlineStr">
        <is>
          <t>Semaine</t>
        </is>
      </c>
      <c r="BG12" s="222" t="inlineStr">
        <is>
          <t>Taux de pureté</t>
        </is>
      </c>
      <c r="BH12" s="222" t="inlineStr">
        <is>
          <t xml:space="preserve">Contaminant </t>
        </is>
      </c>
      <c r="BI12" s="234" t="inlineStr">
        <is>
          <t>Objectif ALU</t>
        </is>
      </c>
      <c r="BK12" s="224" t="inlineStr">
        <is>
          <t>Semaine</t>
        </is>
      </c>
      <c r="BL12" s="287" t="inlineStr">
        <is>
          <t>Taux de pureté</t>
        </is>
      </c>
      <c r="BM12" s="94" t="inlineStr">
        <is>
          <t>ALU</t>
        </is>
      </c>
      <c r="BN12" s="229" t="inlineStr">
        <is>
          <t>Objectif PEPP</t>
        </is>
      </c>
      <c r="BP12" s="224" t="inlineStr">
        <is>
          <t>Semaine</t>
        </is>
      </c>
      <c r="BQ12" s="287" t="inlineStr">
        <is>
          <t>Taux de pureté</t>
        </is>
      </c>
      <c r="BR12" s="94" t="inlineStr">
        <is>
          <t xml:space="preserve">FIBREUX + CC </t>
        </is>
      </c>
      <c r="BS12" s="229" t="inlineStr">
        <is>
          <t>Objectif REFUS</t>
        </is>
      </c>
      <c r="BU12" s="185" t="n"/>
      <c r="BV12" s="41" t="n"/>
      <c r="BW12" s="41" t="n"/>
      <c r="BX12" s="185" t="n"/>
    </row>
    <row r="13">
      <c r="B13" s="220" t="n">
        <v>1</v>
      </c>
      <c r="C13" s="222">
        <f>IFERROR(AVERAGEIFS(SAISIE!Z:Z,SAISIE!Y:Y,BILAN!B13,SAISIE!B:B,"JRM"),"")</f>
        <v/>
      </c>
      <c r="D13" s="222">
        <f>IFERROR(AVERAGEIFS(SAISIE!AP:AP,SAISIE!Y:Y,BILAN!B13,SAISIE!B:B,"JRM"),"")</f>
        <v/>
      </c>
      <c r="E13" s="223" t="n">
        <v>0.97</v>
      </c>
      <c r="F13" s="111" t="n"/>
      <c r="G13" s="220" t="n">
        <v>1</v>
      </c>
      <c r="H13" s="222">
        <f>IFERROR(AVERAGEIFS(SAISIE!AA:AA,SAISIE!Y:Y,BILAN!B13,SAISIE!B:B,"EMR"),"")</f>
        <v/>
      </c>
      <c r="I13" s="222">
        <f>IFERROR(AVERAGEIFS(SAISIE!AS:AS,SAISIE!Y:Y,BILAN!B13,SAISIE!B:B,"EMR"),"")</f>
        <v/>
      </c>
      <c r="J13" s="223" t="n">
        <v>0.95</v>
      </c>
      <c r="L13" s="220" t="n">
        <v>1</v>
      </c>
      <c r="M13" s="222">
        <f>IFERROR(AVERAGEIFS(SAISIE!AB:AB,SAISIE!Y:Y,BILAN!B13,SAISIE!B:B,"CARTON"),"")</f>
        <v/>
      </c>
      <c r="N13" s="222">
        <f>IFERROR(AVERAGEIFS(SAISIE!AS:AS,SAISIE!Y:Y,BILAN!B13,SAISIE!B:B,"CARTON"),"")</f>
        <v/>
      </c>
      <c r="O13" s="223" t="n">
        <v>0.95</v>
      </c>
      <c r="Q13" s="220" t="n">
        <v>1</v>
      </c>
      <c r="R13" s="222">
        <f>IFERROR(AVERAGEIFS(SAISIE!AC:AC,SAISIE!Y:Y,BILAN!B13,SAISIE!B:B,"GM"),"")</f>
        <v/>
      </c>
      <c r="S13" s="222">
        <f>IFERROR(AVERAGEIFS(SAISIE!AS:AS,SAISIE!Y:Y,BILAN!B13,SAISIE!B:B,"GM"),"")</f>
        <v/>
      </c>
      <c r="T13" s="223" t="n">
        <v>0.98</v>
      </c>
      <c r="V13" s="220" t="n">
        <v>1</v>
      </c>
      <c r="W13" s="222">
        <f>IFERROR(AVERAGEIFS(SAISIE!AD:AD,SAISIE!Y:Y,BILAN!B13,SAISIE!B:B,"PETQ9"),"")</f>
        <v/>
      </c>
      <c r="X13" s="222">
        <f>IFERROR(AVERAGEIFS(SAISIE!AF:AF,SAISIE!Y:Y,BILAN!B13,SAISIE!B:B,"PETQ9"),"")</f>
        <v/>
      </c>
      <c r="Y13" s="223" t="n">
        <v>0.98</v>
      </c>
      <c r="Z13" s="60" t="n"/>
      <c r="AA13" s="220" t="n">
        <v>1</v>
      </c>
      <c r="AB13" s="222">
        <f>IFERROR(AVERAGEIFS(SAISIE!AE:AE,SAISIE!Y:Y,BILAN!B13,SAISIE!B:B,"FLUX DEV"),"")</f>
        <v/>
      </c>
      <c r="AC13" s="222">
        <f>IFERROR(AVERAGEIFS(SAISIE!AD:AD,SAISIE!Y:Y,BILAN!B13,SAISIE!B:B,"FLUX DEV"),"")</f>
        <v/>
      </c>
      <c r="AD13" s="223" t="n">
        <v>0.98</v>
      </c>
      <c r="AF13" s="220" t="n">
        <v>1</v>
      </c>
      <c r="AG13" s="222">
        <f>IFERROR(AVERAGEIFS(SAISIE!AF:AF,SAISIE!Y:Y,BILAN!B13,SAISIE!B:B,"PETB"),"")</f>
        <v/>
      </c>
      <c r="AH13" s="222" t="n"/>
      <c r="AI13" s="223" t="n">
        <v>0.95</v>
      </c>
      <c r="AK13" s="220" t="n">
        <v>1</v>
      </c>
      <c r="AL13" s="222">
        <f>IFERROR(AVERAGEIFS(SAISIE!AG:AG,SAISIE!Y:Y,BILAN!B13,SAISIE!B:B,"PEPP"),"")</f>
        <v/>
      </c>
      <c r="AM13" s="222">
        <f>IFERROR(AVERAGEIFS(SAISIE!AT:AT,SAISIE!Y:Y,BILAN!B13,SAISIE!B:B,"PEPP"),"")</f>
        <v/>
      </c>
      <c r="AN13" s="223" t="n">
        <v>0.95</v>
      </c>
      <c r="AP13" s="220" t="n">
        <v>1</v>
      </c>
      <c r="AQ13" s="222">
        <f>IFERROR(AVERAGEIFS(SAISIE!AH:AH,SAISIE!Y:Y,BILAN!B13,SAISIE!B:B,"ELA"),"")</f>
        <v/>
      </c>
      <c r="AR13" s="222">
        <f>IFERROR(AVERAGEIFS(SAISIE!AN:AN,SAISIE!Y:Y,BILAN!B13,SAISIE!B:B,"ELA"),"")</f>
        <v/>
      </c>
      <c r="AS13" s="111" t="n">
        <v>0.95</v>
      </c>
      <c r="AT13" s="223">
        <f>IFERROR(AVERAGEIFS(SAISIE!AW:AW,SAISIE!Y:Y,BILAN!B13,SAISIE!B:B,"ELA"),"")</f>
        <v/>
      </c>
      <c r="AV13" s="220" t="n">
        <v>1</v>
      </c>
      <c r="AW13" s="222">
        <f>IFERROR(AVERAGEIFS(SAISIE!AI:AI,SAISIE!Y:Y,BILAN!B13,SAISIE!B:B,"FILM"),"")</f>
        <v/>
      </c>
      <c r="AX13" s="222">
        <f>IFERROR(AVERAGEIFS(SAISIE!AV:AV,SAISIE!Y:Y,BILAN!B13,SAISIE!B:B,"FILM"),"")</f>
        <v/>
      </c>
      <c r="AY13" s="223" t="n">
        <v>0.95</v>
      </c>
      <c r="AZ13" s="111" t="n"/>
      <c r="BA13" s="220" t="n">
        <v>1</v>
      </c>
      <c r="BB13" s="222">
        <f>IFERROR(AVERAGEIFS(SAISIE!AJ:AJ,SAISIE!Y:Y,BILAN!B13,SAISIE!B:B,"ACIER"),"")</f>
        <v/>
      </c>
      <c r="BC13" s="222" t="n"/>
      <c r="BD13" s="223" t="n">
        <v>0.95</v>
      </c>
      <c r="BE13" s="41" t="n"/>
      <c r="BF13" s="235" t="n">
        <v>1</v>
      </c>
      <c r="BG13" s="222">
        <f>IFERROR(AVERAGEIFS(SAISIE!AK:AK,SAISIE!Y:Y,BILAN!B13,SAISIE!B:B,"ALU"),"")</f>
        <v/>
      </c>
      <c r="BH13" s="222" t="n"/>
      <c r="BI13" s="223" t="n">
        <v>0.95</v>
      </c>
      <c r="BK13" s="220" t="n">
        <v>1</v>
      </c>
      <c r="BL13" s="222">
        <f>IFERROR(AVERAGEIFS(SAISIE!AL:AL,SAISIE!Y:Y,BILAN!B13,SAISIE!B:B,"PETIT ALU"),"")</f>
        <v/>
      </c>
      <c r="BM13" s="222">
        <f>IFERROR(AVERAGEIFS(SAISIE!AK:AK,SAISIE!Y:Y,BILAN!B13,SAISIE!B:B,"PETIT ALU"),"")</f>
        <v/>
      </c>
      <c r="BN13" s="223" t="n">
        <v>0.95</v>
      </c>
      <c r="BP13" s="220" t="n">
        <v>1</v>
      </c>
      <c r="BQ13" s="222">
        <f>IFERROR(AVERAGEIFS(SAISIE!AM:AM,SAISIE!Y:Y,BILAN!B13,SAISIE!B:B,"REFUS"),"")</f>
        <v/>
      </c>
      <c r="BR13" s="222">
        <f>IFERROR(AVERAGEIFS(SAISIE!AU:AU,SAISIE!Y:Y,BILAN!B13,SAISIE!B:B,"REFUS"),"")</f>
        <v/>
      </c>
      <c r="BS13" s="223" t="n">
        <v>0.95</v>
      </c>
      <c r="BU13" s="41" t="n"/>
      <c r="BV13" s="41" t="n"/>
      <c r="BW13" s="41" t="n"/>
      <c r="BX13" s="41" t="n"/>
    </row>
    <row r="14">
      <c r="B14" s="220" t="n">
        <v>2</v>
      </c>
      <c r="C14" s="222">
        <f>IFERROR(AVERAGEIFS(SAISIE!Z:Z,SAISIE!Y:Y,BILAN!B14,SAISIE!B:B,"JRM"),"")</f>
        <v/>
      </c>
      <c r="D14" s="222">
        <f>IFERROR(AVERAGEIFS(SAISIE!AP:AP,SAISIE!Y:Y,BILAN!B14,SAISIE!B:B,"JRM"),"")</f>
        <v/>
      </c>
      <c r="E14" s="223" t="n">
        <v>0.97</v>
      </c>
      <c r="F14" s="111" t="n"/>
      <c r="G14" s="220" t="n">
        <v>2</v>
      </c>
      <c r="H14" s="222">
        <f>IFERROR(AVERAGEIFS(SAISIE!AA:AA,SAISIE!Y:Y,BILAN!B14,SAISIE!B:B,"EMR"),"")</f>
        <v/>
      </c>
      <c r="I14" s="222">
        <f>IFERROR(AVERAGEIFS(SAISIE!AS:AS,SAISIE!Y:Y,BILAN!B14,SAISIE!B:B,"EMR"),"")</f>
        <v/>
      </c>
      <c r="J14" s="223" t="n">
        <v>0.95</v>
      </c>
      <c r="L14" s="220" t="n">
        <v>2</v>
      </c>
      <c r="M14" s="222">
        <f>IFERROR(AVERAGEIFS(SAISIE!AB:AB,SAISIE!Y:Y,BILAN!B14,SAISIE!B:B,"CARTON"),"")</f>
        <v/>
      </c>
      <c r="N14" s="222">
        <f>IFERROR(AVERAGEIFS(SAISIE!AS:AS,SAISIE!Y:Y,BILAN!B14,SAISIE!B:B,"CARTON"),"")</f>
        <v/>
      </c>
      <c r="O14" s="223" t="n">
        <v>0.95</v>
      </c>
      <c r="Q14" s="220" t="n">
        <v>2</v>
      </c>
      <c r="R14" s="222">
        <f>IFERROR(AVERAGEIFS(SAISIE!AC:AC,SAISIE!Y:Y,BILAN!B14,SAISIE!B:B,"GM"),"")</f>
        <v/>
      </c>
      <c r="S14" s="222">
        <f>IFERROR(AVERAGEIFS(SAISIE!AS:AS,SAISIE!Y:Y,BILAN!B14,SAISIE!B:B,"GM"),"")</f>
        <v/>
      </c>
      <c r="T14" s="223" t="n">
        <v>0.98</v>
      </c>
      <c r="V14" s="220" t="n">
        <v>2</v>
      </c>
      <c r="W14" s="222">
        <f>IFERROR(AVERAGEIFS(SAISIE!AD:AD,SAISIE!Y:Y,BILAN!B14,SAISIE!B:B,"PETQ9"),"")</f>
        <v/>
      </c>
      <c r="X14" s="222">
        <f>IFERROR(AVERAGEIFS(SAISIE!AF:AF,SAISIE!Y:Y,BILAN!B14,SAISIE!B:B,"PETQ9"),"")</f>
        <v/>
      </c>
      <c r="Y14" s="223" t="n">
        <v>0.98</v>
      </c>
      <c r="Z14" s="60" t="n"/>
      <c r="AA14" s="220" t="n">
        <v>2</v>
      </c>
      <c r="AB14" s="222">
        <f>IFERROR(AVERAGEIFS(SAISIE!AE:AE,SAISIE!Y:Y,BILAN!B14,SAISIE!B:B,"FLUX DEV"),"")</f>
        <v/>
      </c>
      <c r="AC14" s="222">
        <f>IFERROR(AVERAGEIFS(SAISIE!AD:AD,SAISIE!Y:Y,BILAN!B14,SAISIE!B:B,"FLUX DEV"),"")</f>
        <v/>
      </c>
      <c r="AD14" s="223" t="n">
        <v>0.98</v>
      </c>
      <c r="AF14" s="220" t="n">
        <v>2</v>
      </c>
      <c r="AG14" s="222">
        <f>IFERROR(AVERAGEIFS(SAISIE!AF:AF,SAISIE!Y:Y,BILAN!B14,SAISIE!B:B,"PETB"),"")</f>
        <v/>
      </c>
      <c r="AH14" s="222" t="n"/>
      <c r="AI14" s="223" t="n">
        <v>0.95</v>
      </c>
      <c r="AK14" s="220" t="n">
        <v>2</v>
      </c>
      <c r="AL14" s="222">
        <f>IFERROR(AVERAGEIFS(SAISIE!AG:AG,SAISIE!Y:Y,BILAN!B14,SAISIE!B:B,"PEPP"),"")</f>
        <v/>
      </c>
      <c r="AM14" s="222">
        <f>IFERROR(AVERAGEIFS(SAISIE!AT:AT,SAISIE!Y:Y,BILAN!B14,SAISIE!B:B,"PEPP"),"")</f>
        <v/>
      </c>
      <c r="AN14" s="223" t="n">
        <v>0.95</v>
      </c>
      <c r="AP14" s="220" t="n">
        <v>2</v>
      </c>
      <c r="AQ14" s="222">
        <f>IFERROR(AVERAGEIFS(SAISIE!AH:AH,SAISIE!Y:Y,BILAN!B14,SAISIE!B:B,"ELA"),"")</f>
        <v/>
      </c>
      <c r="AR14" s="222">
        <f>IFERROR(AVERAGEIFS(SAISIE!AN:AN,SAISIE!Y:Y,BILAN!B14,SAISIE!B:B,"ELA"),"")</f>
        <v/>
      </c>
      <c r="AS14" s="111" t="n">
        <v>0.95</v>
      </c>
      <c r="AT14" s="223">
        <f>IFERROR(AVERAGEIFS(SAISIE!AW:AW,SAISIE!Y:Y,BILAN!B14,SAISIE!B:B,"ELA"),"")</f>
        <v/>
      </c>
      <c r="AV14" s="220" t="n">
        <v>2</v>
      </c>
      <c r="AW14" s="222">
        <f>IFERROR(AVERAGEIFS(SAISIE!AI:AI,SAISIE!Y:Y,BILAN!B14,SAISIE!B:B,"FILM"),"")</f>
        <v/>
      </c>
      <c r="AX14" s="222">
        <f>IFERROR(AVERAGEIFS(SAISIE!AV:AV,SAISIE!Y:Y,BILAN!B14,SAISIE!B:B,"FILM"),"")</f>
        <v/>
      </c>
      <c r="AY14" s="223" t="n">
        <v>0.95</v>
      </c>
      <c r="AZ14" s="111" t="n"/>
      <c r="BA14" s="220" t="n">
        <v>2</v>
      </c>
      <c r="BB14" s="222">
        <f>IFERROR(AVERAGEIFS(SAISIE!AJ:AJ,SAISIE!Y:Y,BILAN!B14,SAISIE!B:B,"ACIER"),"")</f>
        <v/>
      </c>
      <c r="BC14" s="222" t="n"/>
      <c r="BD14" s="223" t="n">
        <v>0.95</v>
      </c>
      <c r="BE14" s="41" t="n"/>
      <c r="BF14" s="235" t="n">
        <v>2</v>
      </c>
      <c r="BG14" s="222">
        <f>IFERROR(AVERAGEIFS(SAISIE!AK:AK,SAISIE!Y:Y,BILAN!B14,SAISIE!B:B,"ALU"),"")</f>
        <v/>
      </c>
      <c r="BH14" s="222" t="n"/>
      <c r="BI14" s="223" t="n">
        <v>0.95</v>
      </c>
      <c r="BK14" s="220" t="n">
        <v>2</v>
      </c>
      <c r="BL14" s="222">
        <f>IFERROR(AVERAGEIFS(SAISIE!AL:AL,SAISIE!Y:Y,BILAN!B14,SAISIE!B:B,"PETIT ALU"),"")</f>
        <v/>
      </c>
      <c r="BM14" s="222">
        <f>IFERROR(AVERAGEIFS(SAISIE!AK:AK,SAISIE!Y:Y,BILAN!B14,SAISIE!B:B,"PETIT ALU"),"")</f>
        <v/>
      </c>
      <c r="BN14" s="223" t="n">
        <v>0.95</v>
      </c>
      <c r="BP14" s="220" t="n">
        <v>2</v>
      </c>
      <c r="BQ14" s="222">
        <f>IFERROR(AVERAGEIFS(SAISIE!AM:AM,SAISIE!Y:Y,BILAN!B14,SAISIE!B:B,"REFUS"),"")</f>
        <v/>
      </c>
      <c r="BR14" s="222">
        <f>IFERROR(AVERAGEIFS(SAISIE!AU:AU,SAISIE!Y:Y,BILAN!B14,SAISIE!B:B,"REFUS"),"")</f>
        <v/>
      </c>
      <c r="BS14" s="223" t="n">
        <v>0.95</v>
      </c>
      <c r="BU14" s="41" t="n"/>
      <c r="BV14" s="41" t="n"/>
      <c r="BW14" s="41" t="n"/>
      <c r="BX14" s="41" t="n"/>
    </row>
    <row r="15">
      <c r="B15" s="220" t="n">
        <v>3</v>
      </c>
      <c r="C15" s="222">
        <f>IFERROR(AVERAGEIFS(SAISIE!Z:Z,SAISIE!Y:Y,BILAN!B15,SAISIE!B:B,"JRM"),"")</f>
        <v/>
      </c>
      <c r="D15" s="222">
        <f>IFERROR(AVERAGEIFS(SAISIE!AP:AP,SAISIE!Y:Y,BILAN!B15,SAISIE!B:B,"JRM"),"")</f>
        <v/>
      </c>
      <c r="E15" s="223" t="n">
        <v>0.97</v>
      </c>
      <c r="F15" s="111" t="n"/>
      <c r="G15" s="220" t="n">
        <v>3</v>
      </c>
      <c r="H15" s="222">
        <f>IFERROR(AVERAGEIFS(SAISIE!AA:AA,SAISIE!Y:Y,BILAN!B15,SAISIE!B:B,"EMR"),"")</f>
        <v/>
      </c>
      <c r="I15" s="222">
        <f>IFERROR(AVERAGEIFS(SAISIE!AS:AS,SAISIE!Y:Y,BILAN!B15,SAISIE!B:B,"EMR"),"")</f>
        <v/>
      </c>
      <c r="J15" s="223" t="n">
        <v>0.95</v>
      </c>
      <c r="L15" s="220" t="n">
        <v>3</v>
      </c>
      <c r="M15" s="222">
        <f>IFERROR(AVERAGEIFS(SAISIE!AB:AB,SAISIE!Y:Y,BILAN!B15,SAISIE!B:B,"CARTON"),"")</f>
        <v/>
      </c>
      <c r="N15" s="222">
        <f>IFERROR(AVERAGEIFS(SAISIE!AS:AS,SAISIE!Y:Y,BILAN!B15,SAISIE!B:B,"CARTON"),"")</f>
        <v/>
      </c>
      <c r="O15" s="223" t="n">
        <v>0.95</v>
      </c>
      <c r="Q15" s="220" t="n">
        <v>3</v>
      </c>
      <c r="R15" s="222">
        <f>IFERROR(AVERAGEIFS(SAISIE!AC:AC,SAISIE!Y:Y,BILAN!B15,SAISIE!B:B,"GM"),"")</f>
        <v/>
      </c>
      <c r="S15" s="222">
        <f>IFERROR(AVERAGEIFS(SAISIE!AS:AS,SAISIE!Y:Y,BILAN!B15,SAISIE!B:B,"GM"),"")</f>
        <v/>
      </c>
      <c r="T15" s="223" t="n">
        <v>0.98</v>
      </c>
      <c r="V15" s="220" t="n">
        <v>3</v>
      </c>
      <c r="W15" s="222">
        <f>IFERROR(AVERAGEIFS(SAISIE!AD:AD,SAISIE!Y:Y,BILAN!B15,SAISIE!B:B,"PETQ9"),"")</f>
        <v/>
      </c>
      <c r="X15" s="222">
        <f>IFERROR(AVERAGEIFS(SAISIE!AF:AF,SAISIE!Y:Y,BILAN!B15,SAISIE!B:B,"PETQ9"),"")</f>
        <v/>
      </c>
      <c r="Y15" s="223" t="n">
        <v>0.98</v>
      </c>
      <c r="Z15" s="60" t="n"/>
      <c r="AA15" s="220" t="n">
        <v>3</v>
      </c>
      <c r="AB15" s="222">
        <f>IFERROR(AVERAGEIFS(SAISIE!AE:AE,SAISIE!Y:Y,BILAN!B15,SAISIE!B:B,"FLUX DEV"),"")</f>
        <v/>
      </c>
      <c r="AC15" s="222">
        <f>IFERROR(AVERAGEIFS(SAISIE!AD:AD,SAISIE!Y:Y,BILAN!B15,SAISIE!B:B,"FLUX DEV"),"")</f>
        <v/>
      </c>
      <c r="AD15" s="223" t="n">
        <v>0.98</v>
      </c>
      <c r="AF15" s="220" t="n">
        <v>3</v>
      </c>
      <c r="AG15" s="222">
        <f>IFERROR(AVERAGEIFS(SAISIE!AF:AF,SAISIE!Y:Y,BILAN!B15,SAISIE!B:B,"PETB"),"")</f>
        <v/>
      </c>
      <c r="AH15" s="222" t="n"/>
      <c r="AI15" s="223" t="n">
        <v>0.95</v>
      </c>
      <c r="AK15" s="220" t="n">
        <v>3</v>
      </c>
      <c r="AL15" s="222">
        <f>IFERROR(AVERAGEIFS(SAISIE!AG:AG,SAISIE!Y:Y,BILAN!B15,SAISIE!B:B,"PEPP"),"")</f>
        <v/>
      </c>
      <c r="AM15" s="222">
        <f>IFERROR(AVERAGEIFS(SAISIE!AT:AT,SAISIE!Y:Y,BILAN!B15,SAISIE!B:B,"PEPP"),"")</f>
        <v/>
      </c>
      <c r="AN15" s="223" t="n">
        <v>0.95</v>
      </c>
      <c r="AP15" s="220" t="n">
        <v>3</v>
      </c>
      <c r="AQ15" s="222">
        <f>IFERROR(AVERAGEIFS(SAISIE!AH:AH,SAISIE!Y:Y,BILAN!B15,SAISIE!B:B,"ELA"),"")</f>
        <v/>
      </c>
      <c r="AR15" s="222">
        <f>IFERROR(AVERAGEIFS(SAISIE!AN:AN,SAISIE!Y:Y,BILAN!B15,SAISIE!B:B,"ELA"),"")</f>
        <v/>
      </c>
      <c r="AS15" s="111" t="n">
        <v>0.95</v>
      </c>
      <c r="AT15" s="223">
        <f>IFERROR(AVERAGEIFS(SAISIE!AW:AW,SAISIE!Y:Y,BILAN!B15,SAISIE!B:B,"ELA"),"")</f>
        <v/>
      </c>
      <c r="AV15" s="220" t="n">
        <v>3</v>
      </c>
      <c r="AW15" s="222">
        <f>IFERROR(AVERAGEIFS(SAISIE!AI:AI,SAISIE!Y:Y,BILAN!B15,SAISIE!B:B,"FILM"),"")</f>
        <v/>
      </c>
      <c r="AX15" s="222">
        <f>IFERROR(AVERAGEIFS(SAISIE!AV:AV,SAISIE!Y:Y,BILAN!B15,SAISIE!B:B,"FILM"),"")</f>
        <v/>
      </c>
      <c r="AY15" s="223" t="n">
        <v>0.95</v>
      </c>
      <c r="AZ15" s="111" t="n"/>
      <c r="BA15" s="220" t="n">
        <v>3</v>
      </c>
      <c r="BB15" s="222">
        <f>IFERROR(AVERAGEIFS(SAISIE!AJ:AJ,SAISIE!Y:Y,BILAN!B15,SAISIE!B:B,"ACIER"),"")</f>
        <v/>
      </c>
      <c r="BC15" s="222" t="n"/>
      <c r="BD15" s="223" t="n">
        <v>0.95</v>
      </c>
      <c r="BE15" s="41" t="n"/>
      <c r="BF15" s="235" t="n">
        <v>3</v>
      </c>
      <c r="BG15" s="222">
        <f>IFERROR(AVERAGEIFS(SAISIE!AK:AK,SAISIE!Y:Y,BILAN!B15,SAISIE!B:B,"ALU"),"")</f>
        <v/>
      </c>
      <c r="BH15" s="222" t="n"/>
      <c r="BI15" s="223" t="n">
        <v>0.95</v>
      </c>
      <c r="BK15" s="220" t="n">
        <v>3</v>
      </c>
      <c r="BL15" s="222">
        <f>IFERROR(AVERAGEIFS(SAISIE!AL:AL,SAISIE!Y:Y,BILAN!B15,SAISIE!B:B,"PETIT ALU"),"")</f>
        <v/>
      </c>
      <c r="BM15" s="222">
        <f>IFERROR(AVERAGEIFS(SAISIE!AK:AK,SAISIE!Y:Y,BILAN!B15,SAISIE!B:B,"PETIT ALU"),"")</f>
        <v/>
      </c>
      <c r="BN15" s="223" t="n">
        <v>0.95</v>
      </c>
      <c r="BP15" s="220" t="n">
        <v>3</v>
      </c>
      <c r="BQ15" s="222">
        <f>IFERROR(AVERAGEIFS(SAISIE!AM:AM,SAISIE!Y:Y,BILAN!B15,SAISIE!B:B,"REFUS"),"")</f>
        <v/>
      </c>
      <c r="BR15" s="222">
        <f>IFERROR(AVERAGEIFS(SAISIE!AU:AU,SAISIE!Y:Y,BILAN!B15,SAISIE!B:B,"REFUS"),"")</f>
        <v/>
      </c>
      <c r="BS15" s="223" t="n">
        <v>0.95</v>
      </c>
      <c r="BU15" s="41" t="n"/>
      <c r="BV15" s="41" t="n"/>
      <c r="BW15" s="41" t="n"/>
      <c r="BX15" s="41" t="n"/>
    </row>
    <row r="16">
      <c r="B16" s="220" t="n">
        <v>4</v>
      </c>
      <c r="C16" s="222">
        <f>IFERROR(AVERAGEIFS(SAISIE!Z:Z,SAISIE!Y:Y,BILAN!B16,SAISIE!B:B,"JRM"),"")</f>
        <v/>
      </c>
      <c r="D16" s="222">
        <f>IFERROR(AVERAGEIFS(SAISIE!AP:AP,SAISIE!Y:Y,BILAN!B16,SAISIE!B:B,"JRM"),"")</f>
        <v/>
      </c>
      <c r="E16" s="223" t="n">
        <v>0.97</v>
      </c>
      <c r="F16" s="111" t="n"/>
      <c r="G16" s="220" t="n">
        <v>4</v>
      </c>
      <c r="H16" s="222">
        <f>IFERROR(AVERAGEIFS(SAISIE!AA:AA,SAISIE!Y:Y,BILAN!B16,SAISIE!B:B,"EMR"),"")</f>
        <v/>
      </c>
      <c r="I16" s="222">
        <f>IFERROR(AVERAGEIFS(SAISIE!AS:AS,SAISIE!Y:Y,BILAN!B16,SAISIE!B:B,"EMR"),"")</f>
        <v/>
      </c>
      <c r="J16" s="223" t="n">
        <v>0.95</v>
      </c>
      <c r="L16" s="220" t="n">
        <v>4</v>
      </c>
      <c r="M16" s="222">
        <f>IFERROR(AVERAGEIFS(SAISIE!AB:AB,SAISIE!Y:Y,BILAN!B16,SAISIE!B:B,"CARTON"),"")</f>
        <v/>
      </c>
      <c r="N16" s="222">
        <f>IFERROR(AVERAGEIFS(SAISIE!AS:AS,SAISIE!Y:Y,BILAN!B16,SAISIE!B:B,"CARTON"),"")</f>
        <v/>
      </c>
      <c r="O16" s="223" t="n">
        <v>0.95</v>
      </c>
      <c r="Q16" s="220" t="n">
        <v>4</v>
      </c>
      <c r="R16" s="222">
        <f>IFERROR(AVERAGEIFS(SAISIE!AC:AC,SAISIE!Y:Y,BILAN!B16,SAISIE!B:B,"GM"),"")</f>
        <v/>
      </c>
      <c r="S16" s="222">
        <f>IFERROR(AVERAGEIFS(SAISIE!AS:AS,SAISIE!Y:Y,BILAN!B16,SAISIE!B:B,"GM"),"")</f>
        <v/>
      </c>
      <c r="T16" s="223" t="n">
        <v>0.98</v>
      </c>
      <c r="V16" s="220" t="n">
        <v>4</v>
      </c>
      <c r="W16" s="222">
        <f>IFERROR(AVERAGEIFS(SAISIE!AD:AD,SAISIE!Y:Y,BILAN!B16,SAISIE!B:B,"PETQ9"),"")</f>
        <v/>
      </c>
      <c r="X16" s="222">
        <f>IFERROR(AVERAGEIFS(SAISIE!AF:AF,SAISIE!Y:Y,BILAN!B16,SAISIE!B:B,"PETQ9"),"")</f>
        <v/>
      </c>
      <c r="Y16" s="223" t="n">
        <v>0.98</v>
      </c>
      <c r="Z16" s="60" t="n"/>
      <c r="AA16" s="220" t="n">
        <v>4</v>
      </c>
      <c r="AB16" s="222">
        <f>IFERROR(AVERAGEIFS(SAISIE!AE:AE,SAISIE!Y:Y,BILAN!B16,SAISIE!B:B,"FLUX DEV"),"")</f>
        <v/>
      </c>
      <c r="AC16" s="222">
        <f>IFERROR(AVERAGEIFS(SAISIE!AD:AD,SAISIE!Y:Y,BILAN!B16,SAISIE!B:B,"FLUX DEV"),"")</f>
        <v/>
      </c>
      <c r="AD16" s="223" t="n">
        <v>0.98</v>
      </c>
      <c r="AF16" s="220" t="n">
        <v>4</v>
      </c>
      <c r="AG16" s="222">
        <f>IFERROR(AVERAGEIFS(SAISIE!AF:AF,SAISIE!Y:Y,BILAN!B16,SAISIE!B:B,"PETB"),"")</f>
        <v/>
      </c>
      <c r="AH16" s="222" t="n"/>
      <c r="AI16" s="223" t="n">
        <v>0.95</v>
      </c>
      <c r="AK16" s="220" t="n">
        <v>4</v>
      </c>
      <c r="AL16" s="222">
        <f>IFERROR(AVERAGEIFS(SAISIE!AG:AG,SAISIE!Y:Y,BILAN!B16,SAISIE!B:B,"PEPP"),"")</f>
        <v/>
      </c>
      <c r="AM16" s="222">
        <f>IFERROR(AVERAGEIFS(SAISIE!AT:AT,SAISIE!Y:Y,BILAN!B16,SAISIE!B:B,"PEPP"),"")</f>
        <v/>
      </c>
      <c r="AN16" s="223" t="n">
        <v>0.95</v>
      </c>
      <c r="AP16" s="220" t="n">
        <v>4</v>
      </c>
      <c r="AQ16" s="222">
        <f>IFERROR(AVERAGEIFS(SAISIE!AH:AH,SAISIE!Y:Y,BILAN!B16,SAISIE!B:B,"ELA"),"")</f>
        <v/>
      </c>
      <c r="AR16" s="222">
        <f>IFERROR(AVERAGEIFS(SAISIE!AN:AN,SAISIE!Y:Y,BILAN!B16,SAISIE!B:B,"ELA"),"")</f>
        <v/>
      </c>
      <c r="AS16" s="111" t="n">
        <v>0.95</v>
      </c>
      <c r="AT16" s="223">
        <f>IFERROR(AVERAGEIFS(SAISIE!AW:AW,SAISIE!Y:Y,BILAN!B16,SAISIE!B:B,"ELA"),"")</f>
        <v/>
      </c>
      <c r="AV16" s="220" t="n">
        <v>4</v>
      </c>
      <c r="AW16" s="222">
        <f>IFERROR(AVERAGEIFS(SAISIE!AI:AI,SAISIE!Y:Y,BILAN!B16,SAISIE!B:B,"FILM"),"")</f>
        <v/>
      </c>
      <c r="AX16" s="222">
        <f>IFERROR(AVERAGEIFS(SAISIE!AV:AV,SAISIE!Y:Y,BILAN!B16,SAISIE!B:B,"FILM"),"")</f>
        <v/>
      </c>
      <c r="AY16" s="223" t="n">
        <v>0.95</v>
      </c>
      <c r="AZ16" s="111" t="n"/>
      <c r="BA16" s="220" t="n">
        <v>4</v>
      </c>
      <c r="BB16" s="222">
        <f>IFERROR(AVERAGEIFS(SAISIE!AJ:AJ,SAISIE!Y:Y,BILAN!B16,SAISIE!B:B,"ACIER"),"")</f>
        <v/>
      </c>
      <c r="BC16" s="222" t="n"/>
      <c r="BD16" s="223" t="n">
        <v>0.95</v>
      </c>
      <c r="BE16" s="41" t="n"/>
      <c r="BF16" s="235" t="n">
        <v>4</v>
      </c>
      <c r="BG16" s="222">
        <f>IFERROR(AVERAGEIFS(SAISIE!AK:AK,SAISIE!Y:Y,BILAN!B16,SAISIE!B:B,"ALU"),"")</f>
        <v/>
      </c>
      <c r="BH16" s="222" t="n"/>
      <c r="BI16" s="223" t="n">
        <v>0.95</v>
      </c>
      <c r="BK16" s="220" t="n">
        <v>4</v>
      </c>
      <c r="BL16" s="222">
        <f>IFERROR(AVERAGEIFS(SAISIE!AL:AL,SAISIE!Y:Y,BILAN!B16,SAISIE!B:B,"PETIT ALU"),"")</f>
        <v/>
      </c>
      <c r="BM16" s="222">
        <f>IFERROR(AVERAGEIFS(SAISIE!AK:AK,SAISIE!Y:Y,BILAN!B16,SAISIE!B:B,"PETIT ALU"),"")</f>
        <v/>
      </c>
      <c r="BN16" s="223" t="n">
        <v>0.95</v>
      </c>
      <c r="BP16" s="220" t="n">
        <v>4</v>
      </c>
      <c r="BQ16" s="222">
        <f>IFERROR(AVERAGEIFS(SAISIE!AM:AM,SAISIE!Y:Y,BILAN!B16,SAISIE!B:B,"REFUS"),"")</f>
        <v/>
      </c>
      <c r="BR16" s="222">
        <f>IFERROR(AVERAGEIFS(SAISIE!AU:AU,SAISIE!Y:Y,BILAN!B16,SAISIE!B:B,"REFUS"),"")</f>
        <v/>
      </c>
      <c r="BS16" s="223" t="n">
        <v>0.95</v>
      </c>
      <c r="BU16" s="41" t="n"/>
      <c r="BV16" s="41" t="n"/>
      <c r="BW16" s="41" t="n"/>
      <c r="BX16" s="41" t="n"/>
    </row>
    <row r="17">
      <c r="B17" s="220" t="n">
        <v>5</v>
      </c>
      <c r="C17" s="222">
        <f>IFERROR(AVERAGEIFS(SAISIE!Z:Z,SAISIE!Y:Y,BILAN!B17,SAISIE!B:B,"JRM"),"")</f>
        <v/>
      </c>
      <c r="D17" s="222">
        <f>IFERROR(AVERAGEIFS(SAISIE!AP:AP,SAISIE!Y:Y,BILAN!B17,SAISIE!B:B,"JRM"),"")</f>
        <v/>
      </c>
      <c r="E17" s="223" t="n">
        <v>0.97</v>
      </c>
      <c r="F17" s="111" t="n"/>
      <c r="G17" s="220" t="n">
        <v>5</v>
      </c>
      <c r="H17" s="222">
        <f>IFERROR(AVERAGEIFS(SAISIE!AA:AA,SAISIE!Y:Y,BILAN!B17,SAISIE!B:B,"EMR"),"")</f>
        <v/>
      </c>
      <c r="I17" s="222">
        <f>IFERROR(AVERAGEIFS(SAISIE!AS:AS,SAISIE!Y:Y,BILAN!B17,SAISIE!B:B,"EMR"),"")</f>
        <v/>
      </c>
      <c r="J17" s="223" t="n">
        <v>0.95</v>
      </c>
      <c r="L17" s="220" t="n">
        <v>5</v>
      </c>
      <c r="M17" s="222">
        <f>IFERROR(AVERAGEIFS(SAISIE!AB:AB,SAISIE!Y:Y,BILAN!B17,SAISIE!B:B,"CARTON"),"")</f>
        <v/>
      </c>
      <c r="N17" s="222">
        <f>IFERROR(AVERAGEIFS(SAISIE!AS:AS,SAISIE!Y:Y,BILAN!B17,SAISIE!B:B,"CARTON"),"")</f>
        <v/>
      </c>
      <c r="O17" s="223" t="n">
        <v>0.95</v>
      </c>
      <c r="Q17" s="220" t="n">
        <v>5</v>
      </c>
      <c r="R17" s="222">
        <f>IFERROR(AVERAGEIFS(SAISIE!AC:AC,SAISIE!Y:Y,BILAN!B17,SAISIE!B:B,"GM"),"")</f>
        <v/>
      </c>
      <c r="S17" s="222">
        <f>IFERROR(AVERAGEIFS(SAISIE!AS:AS,SAISIE!Y:Y,BILAN!B17,SAISIE!B:B,"GM"),"")</f>
        <v/>
      </c>
      <c r="T17" s="223" t="n">
        <v>0.98</v>
      </c>
      <c r="V17" s="220" t="n">
        <v>5</v>
      </c>
      <c r="W17" s="222">
        <f>IFERROR(AVERAGEIFS(SAISIE!AD:AD,SAISIE!Y:Y,BILAN!B17,SAISIE!B:B,"PETQ9"),"")</f>
        <v/>
      </c>
      <c r="X17" s="222">
        <f>IFERROR(AVERAGEIFS(SAISIE!AF:AF,SAISIE!Y:Y,BILAN!B17,SAISIE!B:B,"PETQ9"),"")</f>
        <v/>
      </c>
      <c r="Y17" s="223" t="n">
        <v>0.98</v>
      </c>
      <c r="Z17" s="60" t="n"/>
      <c r="AA17" s="220" t="n">
        <v>5</v>
      </c>
      <c r="AB17" s="222">
        <f>IFERROR(AVERAGEIFS(SAISIE!AE:AE,SAISIE!Y:Y,BILAN!B17,SAISIE!B:B,"FLUX DEV"),"")</f>
        <v/>
      </c>
      <c r="AC17" s="222">
        <f>IFERROR(AVERAGEIFS(SAISIE!AD:AD,SAISIE!Y:Y,BILAN!B17,SAISIE!B:B,"FLUX DEV"),"")</f>
        <v/>
      </c>
      <c r="AD17" s="223" t="n">
        <v>0.98</v>
      </c>
      <c r="AF17" s="220" t="n">
        <v>5</v>
      </c>
      <c r="AG17" s="222">
        <f>IFERROR(AVERAGEIFS(SAISIE!AF:AF,SAISIE!Y:Y,BILAN!B17,SAISIE!B:B,"PETB"),"")</f>
        <v/>
      </c>
      <c r="AH17" s="222" t="n"/>
      <c r="AI17" s="223" t="n">
        <v>0.95</v>
      </c>
      <c r="AK17" s="220" t="n">
        <v>5</v>
      </c>
      <c r="AL17" s="222">
        <f>IFERROR(AVERAGEIFS(SAISIE!AG:AG,SAISIE!Y:Y,BILAN!B17,SAISIE!B:B,"PEPP"),"")</f>
        <v/>
      </c>
      <c r="AM17" s="222">
        <f>IFERROR(AVERAGEIFS(SAISIE!AT:AT,SAISIE!Y:Y,BILAN!B17,SAISIE!B:B,"PEPP"),"")</f>
        <v/>
      </c>
      <c r="AN17" s="223" t="n">
        <v>0.95</v>
      </c>
      <c r="AP17" s="220" t="n">
        <v>5</v>
      </c>
      <c r="AQ17" s="222">
        <f>IFERROR(AVERAGEIFS(SAISIE!AH:AH,SAISIE!Y:Y,BILAN!B17,SAISIE!B:B,"ELA"),"")</f>
        <v/>
      </c>
      <c r="AR17" s="222">
        <f>IFERROR(AVERAGEIFS(SAISIE!AN:AN,SAISIE!Y:Y,BILAN!B17,SAISIE!B:B,"ELA"),"")</f>
        <v/>
      </c>
      <c r="AS17" s="111" t="n">
        <v>0.95</v>
      </c>
      <c r="AT17" s="223">
        <f>IFERROR(AVERAGEIFS(SAISIE!AW:AW,SAISIE!Y:Y,BILAN!B17,SAISIE!B:B,"ELA"),"")</f>
        <v/>
      </c>
      <c r="AV17" s="220" t="n">
        <v>5</v>
      </c>
      <c r="AW17" s="222">
        <f>IFERROR(AVERAGEIFS(SAISIE!AI:AI,SAISIE!Y:Y,BILAN!B17,SAISIE!B:B,"FILM"),"")</f>
        <v/>
      </c>
      <c r="AX17" s="222">
        <f>IFERROR(AVERAGEIFS(SAISIE!AV:AV,SAISIE!Y:Y,BILAN!B17,SAISIE!B:B,"FILM"),"")</f>
        <v/>
      </c>
      <c r="AY17" s="223" t="n">
        <v>0.95</v>
      </c>
      <c r="AZ17" s="111" t="n"/>
      <c r="BA17" s="220" t="n">
        <v>5</v>
      </c>
      <c r="BB17" s="222">
        <f>IFERROR(AVERAGEIFS(SAISIE!AJ:AJ,SAISIE!Y:Y,BILAN!B17,SAISIE!B:B,"ACIER"),"")</f>
        <v/>
      </c>
      <c r="BC17" s="222" t="n"/>
      <c r="BD17" s="223" t="n">
        <v>0.95</v>
      </c>
      <c r="BE17" s="41" t="n"/>
      <c r="BF17" s="235" t="n">
        <v>5</v>
      </c>
      <c r="BG17" s="222">
        <f>IFERROR(AVERAGEIFS(SAISIE!AK:AK,SAISIE!Y:Y,BILAN!B17,SAISIE!B:B,"ALU"),"")</f>
        <v/>
      </c>
      <c r="BH17" s="222" t="n"/>
      <c r="BI17" s="223" t="n">
        <v>0.95</v>
      </c>
      <c r="BK17" s="220" t="n">
        <v>5</v>
      </c>
      <c r="BL17" s="222">
        <f>IFERROR(AVERAGEIFS(SAISIE!AL:AL,SAISIE!Y:Y,BILAN!B17,SAISIE!B:B,"PETIT ALU"),"")</f>
        <v/>
      </c>
      <c r="BM17" s="222">
        <f>IFERROR(AVERAGEIFS(SAISIE!AK:AK,SAISIE!Y:Y,BILAN!B17,SAISIE!B:B,"PETIT ALU"),"")</f>
        <v/>
      </c>
      <c r="BN17" s="223" t="n">
        <v>0.95</v>
      </c>
      <c r="BP17" s="220" t="n">
        <v>5</v>
      </c>
      <c r="BQ17" s="222">
        <f>IFERROR(AVERAGEIFS(SAISIE!AM:AM,SAISIE!Y:Y,BILAN!B17,SAISIE!B:B,"REFUS"),"")</f>
        <v/>
      </c>
      <c r="BR17" s="222">
        <f>IFERROR(AVERAGEIFS(SAISIE!AU:AU,SAISIE!Y:Y,BILAN!B17,SAISIE!B:B,"REFUS"),"")</f>
        <v/>
      </c>
      <c r="BS17" s="223" t="n">
        <v>0.95</v>
      </c>
      <c r="BU17" s="41" t="n"/>
      <c r="BV17" s="41" t="n"/>
      <c r="BW17" s="41" t="n"/>
      <c r="BX17" s="41" t="n"/>
    </row>
    <row r="18">
      <c r="B18" s="220" t="n">
        <v>6</v>
      </c>
      <c r="C18" s="222">
        <f>IFERROR(AVERAGEIFS(SAISIE!Z:Z,SAISIE!Y:Y,BILAN!B18,SAISIE!B:B,"JRM"),"")</f>
        <v/>
      </c>
      <c r="D18" s="222">
        <f>IFERROR(AVERAGEIFS(SAISIE!AP:AP,SAISIE!Y:Y,BILAN!B18,SAISIE!B:B,"JRM"),"")</f>
        <v/>
      </c>
      <c r="E18" s="223" t="n">
        <v>0.97</v>
      </c>
      <c r="F18" s="111" t="n"/>
      <c r="G18" s="220" t="n">
        <v>6</v>
      </c>
      <c r="H18" s="222">
        <f>IFERROR(AVERAGEIFS(SAISIE!AA:AA,SAISIE!Y:Y,BILAN!B18,SAISIE!B:B,"EMR"),"")</f>
        <v/>
      </c>
      <c r="I18" s="222">
        <f>IFERROR(AVERAGEIFS(SAISIE!AS:AS,SAISIE!Y:Y,BILAN!B18,SAISIE!B:B,"EMR"),"")</f>
        <v/>
      </c>
      <c r="J18" s="223" t="n">
        <v>0.95</v>
      </c>
      <c r="L18" s="220" t="n">
        <v>6</v>
      </c>
      <c r="M18" s="222">
        <f>IFERROR(AVERAGEIFS(SAISIE!AB:AB,SAISIE!Y:Y,BILAN!B18,SAISIE!B:B,"CARTON"),"")</f>
        <v/>
      </c>
      <c r="N18" s="222">
        <f>IFERROR(AVERAGEIFS(SAISIE!AS:AS,SAISIE!Y:Y,BILAN!B18,SAISIE!B:B,"CARTON"),"")</f>
        <v/>
      </c>
      <c r="O18" s="223" t="n">
        <v>0.95</v>
      </c>
      <c r="Q18" s="220" t="n">
        <v>6</v>
      </c>
      <c r="R18" s="222">
        <f>IFERROR(AVERAGEIFS(SAISIE!AC:AC,SAISIE!Y:Y,BILAN!B18,SAISIE!B:B,"GM"),"")</f>
        <v/>
      </c>
      <c r="S18" s="222">
        <f>IFERROR(AVERAGEIFS(SAISIE!AS:AS,SAISIE!Y:Y,BILAN!B18,SAISIE!B:B,"GM"),"")</f>
        <v/>
      </c>
      <c r="T18" s="223" t="n">
        <v>0.98</v>
      </c>
      <c r="V18" s="220" t="n">
        <v>6</v>
      </c>
      <c r="W18" s="222">
        <f>IFERROR(AVERAGEIFS(SAISIE!AD:AD,SAISIE!Y:Y,BILAN!B18,SAISIE!B:B,"PETQ9"),"")</f>
        <v/>
      </c>
      <c r="X18" s="222">
        <f>IFERROR(AVERAGEIFS(SAISIE!AF:AF,SAISIE!Y:Y,BILAN!B18,SAISIE!B:B,"PETQ9"),"")</f>
        <v/>
      </c>
      <c r="Y18" s="223" t="n">
        <v>0.98</v>
      </c>
      <c r="Z18" s="60" t="n"/>
      <c r="AA18" s="220" t="n">
        <v>6</v>
      </c>
      <c r="AB18" s="222">
        <f>IFERROR(AVERAGEIFS(SAISIE!AE:AE,SAISIE!Y:Y,BILAN!B18,SAISIE!B:B,"FLUX DEV"),"")</f>
        <v/>
      </c>
      <c r="AC18" s="222">
        <f>IFERROR(AVERAGEIFS(SAISIE!AD:AD,SAISIE!Y:Y,BILAN!B18,SAISIE!B:B,"FLUX DEV"),"")</f>
        <v/>
      </c>
      <c r="AD18" s="223" t="n">
        <v>0.98</v>
      </c>
      <c r="AF18" s="220" t="n">
        <v>6</v>
      </c>
      <c r="AG18" s="222">
        <f>IFERROR(AVERAGEIFS(SAISIE!AF:AF,SAISIE!Y:Y,BILAN!B18,SAISIE!B:B,"PETB"),"")</f>
        <v/>
      </c>
      <c r="AH18" s="222" t="n"/>
      <c r="AI18" s="223" t="n">
        <v>0.95</v>
      </c>
      <c r="AK18" s="220" t="n">
        <v>6</v>
      </c>
      <c r="AL18" s="222">
        <f>IFERROR(AVERAGEIFS(SAISIE!AG:AG,SAISIE!Y:Y,BILAN!B18,SAISIE!B:B,"PEPP"),"")</f>
        <v/>
      </c>
      <c r="AM18" s="222">
        <f>IFERROR(AVERAGEIFS(SAISIE!AT:AT,SAISIE!Y:Y,BILAN!B18,SAISIE!B:B,"PEPP"),"")</f>
        <v/>
      </c>
      <c r="AN18" s="223" t="n">
        <v>0.95</v>
      </c>
      <c r="AP18" s="220" t="n">
        <v>6</v>
      </c>
      <c r="AQ18" s="222">
        <f>IFERROR(AVERAGEIFS(SAISIE!AH:AH,SAISIE!Y:Y,BILAN!B18,SAISIE!B:B,"ELA"),"")</f>
        <v/>
      </c>
      <c r="AR18" s="222">
        <f>IFERROR(AVERAGEIFS(SAISIE!AN:AN,SAISIE!Y:Y,BILAN!B18,SAISIE!B:B,"ELA"),"")</f>
        <v/>
      </c>
      <c r="AS18" s="111" t="n">
        <v>0.95</v>
      </c>
      <c r="AT18" s="223">
        <f>IFERROR(AVERAGEIFS(SAISIE!AW:AW,SAISIE!Y:Y,BILAN!B18,SAISIE!B:B,"ELA"),"")</f>
        <v/>
      </c>
      <c r="AV18" s="220" t="n">
        <v>6</v>
      </c>
      <c r="AW18" s="222">
        <f>IFERROR(AVERAGEIFS(SAISIE!AI:AI,SAISIE!Y:Y,BILAN!B18,SAISIE!B:B,"FILM"),"")</f>
        <v/>
      </c>
      <c r="AX18" s="222">
        <f>IFERROR(AVERAGEIFS(SAISIE!AV:AV,SAISIE!Y:Y,BILAN!B18,SAISIE!B:B,"FILM"),"")</f>
        <v/>
      </c>
      <c r="AY18" s="223" t="n">
        <v>0.95</v>
      </c>
      <c r="AZ18" s="111" t="n"/>
      <c r="BA18" s="220" t="n">
        <v>6</v>
      </c>
      <c r="BB18" s="222">
        <f>IFERROR(AVERAGEIFS(SAISIE!AJ:AJ,SAISIE!Y:Y,BILAN!B18,SAISIE!B:B,"ACIER"),"")</f>
        <v/>
      </c>
      <c r="BC18" s="222" t="n"/>
      <c r="BD18" s="223" t="n">
        <v>0.95</v>
      </c>
      <c r="BE18" s="41" t="n"/>
      <c r="BF18" s="235" t="n">
        <v>6</v>
      </c>
      <c r="BG18" s="222">
        <f>IFERROR(AVERAGEIFS(SAISIE!AK:AK,SAISIE!Y:Y,BILAN!B18,SAISIE!B:B,"ALU"),"")</f>
        <v/>
      </c>
      <c r="BH18" s="222" t="n"/>
      <c r="BI18" s="223" t="n">
        <v>0.95</v>
      </c>
      <c r="BK18" s="220" t="n">
        <v>6</v>
      </c>
      <c r="BL18" s="222">
        <f>IFERROR(AVERAGEIFS(SAISIE!AL:AL,SAISIE!Y:Y,BILAN!B18,SAISIE!B:B,"PETIT ALU"),"")</f>
        <v/>
      </c>
      <c r="BM18" s="222">
        <f>IFERROR(AVERAGEIFS(SAISIE!AK:AK,SAISIE!Y:Y,BILAN!B18,SAISIE!B:B,"PETIT ALU"),"")</f>
        <v/>
      </c>
      <c r="BN18" s="223" t="n">
        <v>0.95</v>
      </c>
      <c r="BP18" s="220" t="n">
        <v>6</v>
      </c>
      <c r="BQ18" s="222">
        <f>IFERROR(AVERAGEIFS(SAISIE!AM:AM,SAISIE!Y:Y,BILAN!B18,SAISIE!B:B,"REFUS"),"")</f>
        <v/>
      </c>
      <c r="BR18" s="222">
        <f>IFERROR(AVERAGEIFS(SAISIE!AU:AU,SAISIE!Y:Y,BILAN!B18,SAISIE!B:B,"REFUS"),"")</f>
        <v/>
      </c>
      <c r="BS18" s="223" t="n">
        <v>0.95</v>
      </c>
      <c r="BU18" s="41" t="n"/>
      <c r="BV18" s="41" t="n"/>
      <c r="BW18" s="41" t="n"/>
      <c r="BX18" s="41" t="n"/>
    </row>
    <row r="19">
      <c r="B19" s="220" t="n">
        <v>7</v>
      </c>
      <c r="C19" s="222">
        <f>IFERROR(AVERAGEIFS(SAISIE!Z:Z,SAISIE!Y:Y,BILAN!B19,SAISIE!B:B,"JRM"),"")</f>
        <v/>
      </c>
      <c r="D19" s="222">
        <f>IFERROR(AVERAGEIFS(SAISIE!AP:AP,SAISIE!Y:Y,BILAN!B19,SAISIE!B:B,"JRM"),"")</f>
        <v/>
      </c>
      <c r="E19" s="223" t="n">
        <v>0.97</v>
      </c>
      <c r="F19" s="111" t="n"/>
      <c r="G19" s="220" t="n">
        <v>7</v>
      </c>
      <c r="H19" s="222">
        <f>IFERROR(AVERAGEIFS(SAISIE!AA:AA,SAISIE!Y:Y,BILAN!B19,SAISIE!B:B,"EMR"),"")</f>
        <v/>
      </c>
      <c r="I19" s="222">
        <f>IFERROR(AVERAGEIFS(SAISIE!AS:AS,SAISIE!Y:Y,BILAN!B19,SAISIE!B:B,"EMR"),"")</f>
        <v/>
      </c>
      <c r="J19" s="223" t="n">
        <v>0.95</v>
      </c>
      <c r="L19" s="220" t="n">
        <v>7</v>
      </c>
      <c r="M19" s="222">
        <f>IFERROR(AVERAGEIFS(SAISIE!AB:AB,SAISIE!Y:Y,BILAN!B19,SAISIE!B:B,"CARTON"),"")</f>
        <v/>
      </c>
      <c r="N19" s="222">
        <f>IFERROR(AVERAGEIFS(SAISIE!AS:AS,SAISIE!Y:Y,BILAN!B19,SAISIE!B:B,"CARTON"),"")</f>
        <v/>
      </c>
      <c r="O19" s="223" t="n">
        <v>0.95</v>
      </c>
      <c r="Q19" s="220" t="n">
        <v>7</v>
      </c>
      <c r="R19" s="222">
        <f>IFERROR(AVERAGEIFS(SAISIE!AC:AC,SAISIE!Y:Y,BILAN!B19,SAISIE!B:B,"GM"),"")</f>
        <v/>
      </c>
      <c r="S19" s="222">
        <f>IFERROR(AVERAGEIFS(SAISIE!AS:AS,SAISIE!Y:Y,BILAN!B19,SAISIE!B:B,"GM"),"")</f>
        <v/>
      </c>
      <c r="T19" s="223" t="n">
        <v>0.98</v>
      </c>
      <c r="V19" s="220" t="n">
        <v>7</v>
      </c>
      <c r="W19" s="222">
        <f>IFERROR(AVERAGEIFS(SAISIE!AD:AD,SAISIE!Y:Y,BILAN!B19,SAISIE!B:B,"PETQ9"),"")</f>
        <v/>
      </c>
      <c r="X19" s="222">
        <f>IFERROR(AVERAGEIFS(SAISIE!AF:AF,SAISIE!Y:Y,BILAN!B19,SAISIE!B:B,"PETQ9"),"")</f>
        <v/>
      </c>
      <c r="Y19" s="223" t="n">
        <v>0.98</v>
      </c>
      <c r="Z19" s="60" t="n"/>
      <c r="AA19" s="220" t="n">
        <v>7</v>
      </c>
      <c r="AB19" s="222">
        <f>IFERROR(AVERAGEIFS(SAISIE!AE:AE,SAISIE!Y:Y,BILAN!B19,SAISIE!B:B,"FLUX DEV"),"")</f>
        <v/>
      </c>
      <c r="AC19" s="222">
        <f>IFERROR(AVERAGEIFS(SAISIE!AD:AD,SAISIE!Y:Y,BILAN!B19,SAISIE!B:B,"FLUX DEV"),"")</f>
        <v/>
      </c>
      <c r="AD19" s="223" t="n">
        <v>0.98</v>
      </c>
      <c r="AF19" s="220" t="n">
        <v>7</v>
      </c>
      <c r="AG19" s="222">
        <f>IFERROR(AVERAGEIFS(SAISIE!AF:AF,SAISIE!Y:Y,BILAN!B19,SAISIE!B:B,"PETB"),"")</f>
        <v/>
      </c>
      <c r="AH19" s="222" t="n"/>
      <c r="AI19" s="223" t="n">
        <v>0.95</v>
      </c>
      <c r="AK19" s="220" t="n">
        <v>7</v>
      </c>
      <c r="AL19" s="222">
        <f>IFERROR(AVERAGEIFS(SAISIE!AG:AG,SAISIE!Y:Y,BILAN!B19,SAISIE!B:B,"PEPP"),"")</f>
        <v/>
      </c>
      <c r="AM19" s="222">
        <f>IFERROR(AVERAGEIFS(SAISIE!AT:AT,SAISIE!Y:Y,BILAN!B19,SAISIE!B:B,"PEPP"),"")</f>
        <v/>
      </c>
      <c r="AN19" s="223" t="n">
        <v>0.95</v>
      </c>
      <c r="AP19" s="220" t="n">
        <v>7</v>
      </c>
      <c r="AQ19" s="222">
        <f>IFERROR(AVERAGEIFS(SAISIE!AH:AH,SAISIE!Y:Y,BILAN!B19,SAISIE!B:B,"ELA"),"")</f>
        <v/>
      </c>
      <c r="AR19" s="222">
        <f>IFERROR(AVERAGEIFS(SAISIE!AN:AN,SAISIE!Y:Y,BILAN!B19,SAISIE!B:B,"ELA"),"")</f>
        <v/>
      </c>
      <c r="AS19" s="111" t="n">
        <v>0.95</v>
      </c>
      <c r="AT19" s="223">
        <f>IFERROR(AVERAGEIFS(SAISIE!AW:AW,SAISIE!Y:Y,BILAN!B19,SAISIE!B:B,"ELA"),"")</f>
        <v/>
      </c>
      <c r="AV19" s="220" t="n">
        <v>7</v>
      </c>
      <c r="AW19" s="222">
        <f>IFERROR(AVERAGEIFS(SAISIE!AI:AI,SAISIE!Y:Y,BILAN!B19,SAISIE!B:B,"FILM"),"")</f>
        <v/>
      </c>
      <c r="AX19" s="222">
        <f>IFERROR(AVERAGEIFS(SAISIE!AV:AV,SAISIE!Y:Y,BILAN!B19,SAISIE!B:B,"FILM"),"")</f>
        <v/>
      </c>
      <c r="AY19" s="223" t="n">
        <v>0.95</v>
      </c>
      <c r="AZ19" s="111" t="n"/>
      <c r="BA19" s="220" t="n">
        <v>7</v>
      </c>
      <c r="BB19" s="222">
        <f>IFERROR(AVERAGEIFS(SAISIE!AJ:AJ,SAISIE!Y:Y,BILAN!B19,SAISIE!B:B,"ACIER"),"")</f>
        <v/>
      </c>
      <c r="BC19" s="222" t="n"/>
      <c r="BD19" s="223" t="n">
        <v>0.95</v>
      </c>
      <c r="BE19" s="41" t="n"/>
      <c r="BF19" s="235" t="n">
        <v>7</v>
      </c>
      <c r="BG19" s="222">
        <f>IFERROR(AVERAGEIFS(SAISIE!AK:AK,SAISIE!Y:Y,BILAN!B19,SAISIE!B:B,"ALU"),"")</f>
        <v/>
      </c>
      <c r="BH19" s="222" t="n"/>
      <c r="BI19" s="223" t="n">
        <v>0.95</v>
      </c>
      <c r="BK19" s="220" t="n">
        <v>7</v>
      </c>
      <c r="BL19" s="222">
        <f>IFERROR(AVERAGEIFS(SAISIE!AL:AL,SAISIE!Y:Y,BILAN!B19,SAISIE!B:B,"PETIT ALU"),"")</f>
        <v/>
      </c>
      <c r="BM19" s="222">
        <f>IFERROR(AVERAGEIFS(SAISIE!AK:AK,SAISIE!Y:Y,BILAN!B19,SAISIE!B:B,"PETIT ALU"),"")</f>
        <v/>
      </c>
      <c r="BN19" s="223" t="n">
        <v>0.95</v>
      </c>
      <c r="BP19" s="220" t="n">
        <v>7</v>
      </c>
      <c r="BQ19" s="222">
        <f>IFERROR(AVERAGEIFS(SAISIE!AM:AM,SAISIE!Y:Y,BILAN!B19,SAISIE!B:B,"REFUS"),"")</f>
        <v/>
      </c>
      <c r="BR19" s="222">
        <f>IFERROR(AVERAGEIFS(SAISIE!AU:AU,SAISIE!Y:Y,BILAN!B19,SAISIE!B:B,"REFUS"),"")</f>
        <v/>
      </c>
      <c r="BS19" s="223" t="n">
        <v>0.95</v>
      </c>
      <c r="BU19" s="41" t="n"/>
      <c r="BV19" s="41" t="n"/>
      <c r="BW19" s="41" t="n"/>
      <c r="BX19" s="41" t="n"/>
    </row>
    <row r="20">
      <c r="B20" s="220" t="n">
        <v>8</v>
      </c>
      <c r="C20" s="222">
        <f>IFERROR(AVERAGEIFS(SAISIE!Z:Z,SAISIE!Y:Y,BILAN!B20,SAISIE!B:B,"JRM"),"")</f>
        <v/>
      </c>
      <c r="D20" s="222">
        <f>IFERROR(AVERAGEIFS(SAISIE!AP:AP,SAISIE!Y:Y,BILAN!B20,SAISIE!B:B,"JRM"),"")</f>
        <v/>
      </c>
      <c r="E20" s="223" t="n">
        <v>0.97</v>
      </c>
      <c r="F20" s="111" t="n"/>
      <c r="G20" s="220" t="n">
        <v>8</v>
      </c>
      <c r="H20" s="222">
        <f>IFERROR(AVERAGEIFS(SAISIE!AA:AA,SAISIE!Y:Y,BILAN!B20,SAISIE!B:B,"EMR"),"")</f>
        <v/>
      </c>
      <c r="I20" s="222">
        <f>IFERROR(AVERAGEIFS(SAISIE!AS:AS,SAISIE!Y:Y,BILAN!B20,SAISIE!B:B,"EMR"),"")</f>
        <v/>
      </c>
      <c r="J20" s="223" t="n">
        <v>0.95</v>
      </c>
      <c r="L20" s="220" t="n">
        <v>8</v>
      </c>
      <c r="M20" s="222">
        <f>IFERROR(AVERAGEIFS(SAISIE!AB:AB,SAISIE!Y:Y,BILAN!B20,SAISIE!B:B,"CARTON"),"")</f>
        <v/>
      </c>
      <c r="N20" s="222">
        <f>IFERROR(AVERAGEIFS(SAISIE!AS:AS,SAISIE!Y:Y,BILAN!B20,SAISIE!B:B,"CARTON"),"")</f>
        <v/>
      </c>
      <c r="O20" s="223" t="n">
        <v>0.95</v>
      </c>
      <c r="Q20" s="220" t="n">
        <v>8</v>
      </c>
      <c r="R20" s="222">
        <f>IFERROR(AVERAGEIFS(SAISIE!AC:AC,SAISIE!Y:Y,BILAN!B20,SAISIE!B:B,"GM"),"")</f>
        <v/>
      </c>
      <c r="S20" s="222">
        <f>IFERROR(AVERAGEIFS(SAISIE!AS:AS,SAISIE!Y:Y,BILAN!B20,SAISIE!B:B,"GM"),"")</f>
        <v/>
      </c>
      <c r="T20" s="223" t="n">
        <v>0.98</v>
      </c>
      <c r="V20" s="220" t="n">
        <v>8</v>
      </c>
      <c r="W20" s="222">
        <f>IFERROR(AVERAGEIFS(SAISIE!AD:AD,SAISIE!Y:Y,BILAN!B20,SAISIE!B:B,"PETQ9"),"")</f>
        <v/>
      </c>
      <c r="X20" s="222">
        <f>IFERROR(AVERAGEIFS(SAISIE!AF:AF,SAISIE!Y:Y,BILAN!B20,SAISIE!B:B,"PETQ9"),"")</f>
        <v/>
      </c>
      <c r="Y20" s="223" t="n">
        <v>0.98</v>
      </c>
      <c r="Z20" s="60" t="n"/>
      <c r="AA20" s="220" t="n">
        <v>8</v>
      </c>
      <c r="AB20" s="222">
        <f>IFERROR(AVERAGEIFS(SAISIE!AE:AE,SAISIE!Y:Y,BILAN!B20,SAISIE!B:B,"FLUX DEV"),"")</f>
        <v/>
      </c>
      <c r="AC20" s="222">
        <f>IFERROR(AVERAGEIFS(SAISIE!AD:AD,SAISIE!Y:Y,BILAN!B20,SAISIE!B:B,"FLUX DEV"),"")</f>
        <v/>
      </c>
      <c r="AD20" s="223" t="n">
        <v>0.98</v>
      </c>
      <c r="AF20" s="220" t="n">
        <v>8</v>
      </c>
      <c r="AG20" s="222">
        <f>IFERROR(AVERAGEIFS(SAISIE!AF:AF,SAISIE!Y:Y,BILAN!B20,SAISIE!B:B,"PETB"),"")</f>
        <v/>
      </c>
      <c r="AH20" s="222" t="n"/>
      <c r="AI20" s="223" t="n">
        <v>0.95</v>
      </c>
      <c r="AK20" s="220" t="n">
        <v>8</v>
      </c>
      <c r="AL20" s="222">
        <f>IFERROR(AVERAGEIFS(SAISIE!AG:AG,SAISIE!Y:Y,BILAN!B20,SAISIE!B:B,"PEPP"),"")</f>
        <v/>
      </c>
      <c r="AM20" s="222">
        <f>IFERROR(AVERAGEIFS(SAISIE!AT:AT,SAISIE!Y:Y,BILAN!B20,SAISIE!B:B,"PEPP"),"")</f>
        <v/>
      </c>
      <c r="AN20" s="223" t="n">
        <v>0.95</v>
      </c>
      <c r="AP20" s="220" t="n">
        <v>8</v>
      </c>
      <c r="AQ20" s="222">
        <f>IFERROR(AVERAGEIFS(SAISIE!AH:AH,SAISIE!Y:Y,BILAN!B20,SAISIE!B:B,"ELA"),"")</f>
        <v/>
      </c>
      <c r="AR20" s="222">
        <f>IFERROR(AVERAGEIFS(SAISIE!AN:AN,SAISIE!Y:Y,BILAN!B20,SAISIE!B:B,"ELA"),"")</f>
        <v/>
      </c>
      <c r="AS20" s="111" t="n">
        <v>0.95</v>
      </c>
      <c r="AT20" s="223">
        <f>IFERROR(AVERAGEIFS(SAISIE!AW:AW,SAISIE!Y:Y,BILAN!B20,SAISIE!B:B,"ELA"),"")</f>
        <v/>
      </c>
      <c r="AV20" s="220" t="n">
        <v>8</v>
      </c>
      <c r="AW20" s="222">
        <f>IFERROR(AVERAGEIFS(SAISIE!AI:AI,SAISIE!Y:Y,BILAN!B20,SAISIE!B:B,"FILM"),"")</f>
        <v/>
      </c>
      <c r="AX20" s="222">
        <f>IFERROR(AVERAGEIFS(SAISIE!AV:AV,SAISIE!Y:Y,BILAN!B20,SAISIE!B:B,"FILM"),"")</f>
        <v/>
      </c>
      <c r="AY20" s="223" t="n">
        <v>0.95</v>
      </c>
      <c r="AZ20" s="111" t="n"/>
      <c r="BA20" s="220" t="n">
        <v>8</v>
      </c>
      <c r="BB20" s="222">
        <f>IFERROR(AVERAGEIFS(SAISIE!AJ:AJ,SAISIE!Y:Y,BILAN!B20,SAISIE!B:B,"ACIER"),"")</f>
        <v/>
      </c>
      <c r="BC20" s="222" t="n"/>
      <c r="BD20" s="223" t="n">
        <v>0.95</v>
      </c>
      <c r="BE20" s="41" t="n"/>
      <c r="BF20" s="235" t="n">
        <v>8</v>
      </c>
      <c r="BG20" s="222">
        <f>IFERROR(AVERAGEIFS(SAISIE!AK:AK,SAISIE!Y:Y,BILAN!B20,SAISIE!B:B,"ALU"),"")</f>
        <v/>
      </c>
      <c r="BH20" s="222" t="n"/>
      <c r="BI20" s="223" t="n">
        <v>0.95</v>
      </c>
      <c r="BK20" s="220" t="n">
        <v>8</v>
      </c>
      <c r="BL20" s="222">
        <f>IFERROR(AVERAGEIFS(SAISIE!AL:AL,SAISIE!Y:Y,BILAN!B20,SAISIE!B:B,"PETIT ALU"),"")</f>
        <v/>
      </c>
      <c r="BM20" s="222">
        <f>IFERROR(AVERAGEIFS(SAISIE!AK:AK,SAISIE!Y:Y,BILAN!B20,SAISIE!B:B,"PETIT ALU"),"")</f>
        <v/>
      </c>
      <c r="BN20" s="223" t="n">
        <v>0.95</v>
      </c>
      <c r="BP20" s="220" t="n">
        <v>8</v>
      </c>
      <c r="BQ20" s="222">
        <f>IFERROR(AVERAGEIFS(SAISIE!AM:AM,SAISIE!Y:Y,BILAN!B20,SAISIE!B:B,"REFUS"),"")</f>
        <v/>
      </c>
      <c r="BR20" s="222">
        <f>IFERROR(AVERAGEIFS(SAISIE!AU:AU,SAISIE!Y:Y,BILAN!B20,SAISIE!B:B,"REFUS"),"")</f>
        <v/>
      </c>
      <c r="BS20" s="223" t="n">
        <v>0.95</v>
      </c>
      <c r="BU20" s="41" t="n"/>
      <c r="BV20" s="41" t="n"/>
      <c r="BW20" s="41" t="n"/>
      <c r="BX20" s="41" t="n"/>
    </row>
    <row r="21">
      <c r="B21" s="220" t="n">
        <v>9</v>
      </c>
      <c r="C21" s="222">
        <f>IFERROR(AVERAGEIFS(SAISIE!Z:Z,SAISIE!Y:Y,BILAN!B21,SAISIE!B:B,"JRM"),"")</f>
        <v/>
      </c>
      <c r="D21" s="222">
        <f>IFERROR(AVERAGEIFS(SAISIE!AP:AP,SAISIE!Y:Y,BILAN!B21,SAISIE!B:B,"JRM"),"")</f>
        <v/>
      </c>
      <c r="E21" s="223" t="n">
        <v>0.97</v>
      </c>
      <c r="F21" s="111" t="n"/>
      <c r="G21" s="220" t="n">
        <v>9</v>
      </c>
      <c r="H21" s="222">
        <f>IFERROR(AVERAGEIFS(SAISIE!AA:AA,SAISIE!Y:Y,BILAN!B21,SAISIE!B:B,"EMR"),"")</f>
        <v/>
      </c>
      <c r="I21" s="222">
        <f>IFERROR(AVERAGEIFS(SAISIE!AS:AS,SAISIE!Y:Y,BILAN!B21,SAISIE!B:B,"EMR"),"")</f>
        <v/>
      </c>
      <c r="J21" s="223" t="n">
        <v>0.95</v>
      </c>
      <c r="L21" s="220" t="n">
        <v>9</v>
      </c>
      <c r="M21" s="222">
        <f>IFERROR(AVERAGEIFS(SAISIE!AB:AB,SAISIE!Y:Y,BILAN!B21,SAISIE!B:B,"CARTON"),"")</f>
        <v/>
      </c>
      <c r="N21" s="222">
        <f>IFERROR(AVERAGEIFS(SAISIE!AS:AS,SAISIE!Y:Y,BILAN!B21,SAISIE!B:B,"CARTON"),"")</f>
        <v/>
      </c>
      <c r="O21" s="223" t="n">
        <v>0.95</v>
      </c>
      <c r="Q21" s="220" t="n">
        <v>9</v>
      </c>
      <c r="R21" s="222">
        <f>IFERROR(AVERAGEIFS(SAISIE!AC:AC,SAISIE!Y:Y,BILAN!B21,SAISIE!B:B,"GM"),"")</f>
        <v/>
      </c>
      <c r="S21" s="222">
        <f>IFERROR(AVERAGEIFS(SAISIE!AS:AS,SAISIE!Y:Y,BILAN!B21,SAISIE!B:B,"GM"),"")</f>
        <v/>
      </c>
      <c r="T21" s="223" t="n">
        <v>0.98</v>
      </c>
      <c r="V21" s="220" t="n">
        <v>9</v>
      </c>
      <c r="W21" s="222">
        <f>IFERROR(AVERAGEIFS(SAISIE!AD:AD,SAISIE!Y:Y,BILAN!B21,SAISIE!B:B,"PETQ9"),"")</f>
        <v/>
      </c>
      <c r="X21" s="222">
        <f>IFERROR(AVERAGEIFS(SAISIE!AF:AF,SAISIE!Y:Y,BILAN!B21,SAISIE!B:B,"PETQ9"),"")</f>
        <v/>
      </c>
      <c r="Y21" s="223" t="n">
        <v>0.98</v>
      </c>
      <c r="Z21" s="60" t="n"/>
      <c r="AA21" s="220" t="n">
        <v>9</v>
      </c>
      <c r="AB21" s="222">
        <f>IFERROR(AVERAGEIFS(SAISIE!AE:AE,SAISIE!Y:Y,BILAN!B21,SAISIE!B:B,"FLUX DEV"),"")</f>
        <v/>
      </c>
      <c r="AC21" s="222">
        <f>IFERROR(AVERAGEIFS(SAISIE!AD:AD,SAISIE!Y:Y,BILAN!B21,SAISIE!B:B,"FLUX DEV"),"")</f>
        <v/>
      </c>
      <c r="AD21" s="223" t="n">
        <v>0.98</v>
      </c>
      <c r="AF21" s="220" t="n">
        <v>9</v>
      </c>
      <c r="AG21" s="222">
        <f>IFERROR(AVERAGEIFS(SAISIE!AF:AF,SAISIE!Y:Y,BILAN!B21,SAISIE!B:B,"PETB"),"")</f>
        <v/>
      </c>
      <c r="AH21" s="222" t="n"/>
      <c r="AI21" s="223" t="n">
        <v>0.95</v>
      </c>
      <c r="AK21" s="220" t="n">
        <v>9</v>
      </c>
      <c r="AL21" s="222">
        <f>IFERROR(AVERAGEIFS(SAISIE!AG:AG,SAISIE!Y:Y,BILAN!B21,SAISIE!B:B,"PEPP"),"")</f>
        <v/>
      </c>
      <c r="AM21" s="222">
        <f>IFERROR(AVERAGEIFS(SAISIE!AT:AT,SAISIE!Y:Y,BILAN!B21,SAISIE!B:B,"PEPP"),"")</f>
        <v/>
      </c>
      <c r="AN21" s="223" t="n">
        <v>0.95</v>
      </c>
      <c r="AP21" s="220" t="n">
        <v>9</v>
      </c>
      <c r="AQ21" s="222">
        <f>IFERROR(AVERAGEIFS(SAISIE!AH:AH,SAISIE!Y:Y,BILAN!B21,SAISIE!B:B,"ELA"),"")</f>
        <v/>
      </c>
      <c r="AR21" s="222">
        <f>IFERROR(AVERAGEIFS(SAISIE!AN:AN,SAISIE!Y:Y,BILAN!B21,SAISIE!B:B,"ELA"),"")</f>
        <v/>
      </c>
      <c r="AS21" s="111" t="n">
        <v>0.95</v>
      </c>
      <c r="AT21" s="223">
        <f>IFERROR(AVERAGEIFS(SAISIE!AW:AW,SAISIE!Y:Y,BILAN!B21,SAISIE!B:B,"ELA"),"")</f>
        <v/>
      </c>
      <c r="AV21" s="220" t="n">
        <v>9</v>
      </c>
      <c r="AW21" s="222">
        <f>IFERROR(AVERAGEIFS(SAISIE!AI:AI,SAISIE!Y:Y,BILAN!B21,SAISIE!B:B,"FILM"),"")</f>
        <v/>
      </c>
      <c r="AX21" s="222">
        <f>IFERROR(AVERAGEIFS(SAISIE!AV:AV,SAISIE!Y:Y,BILAN!B21,SAISIE!B:B,"FILM"),"")</f>
        <v/>
      </c>
      <c r="AY21" s="223" t="n">
        <v>0.95</v>
      </c>
      <c r="AZ21" s="111" t="n"/>
      <c r="BA21" s="220" t="n">
        <v>9</v>
      </c>
      <c r="BB21" s="222">
        <f>IFERROR(AVERAGEIFS(SAISIE!AJ:AJ,SAISIE!Y:Y,BILAN!B21,SAISIE!B:B,"ACIER"),"")</f>
        <v/>
      </c>
      <c r="BC21" s="222" t="n"/>
      <c r="BD21" s="223" t="n">
        <v>0.95</v>
      </c>
      <c r="BE21" s="41" t="n"/>
      <c r="BF21" s="235" t="n">
        <v>9</v>
      </c>
      <c r="BG21" s="222">
        <f>IFERROR(AVERAGEIFS(SAISIE!AK:AK,SAISIE!Y:Y,BILAN!B21,SAISIE!B:B,"ALU"),"")</f>
        <v/>
      </c>
      <c r="BH21" s="222" t="n"/>
      <c r="BI21" s="223" t="n">
        <v>0.95</v>
      </c>
      <c r="BK21" s="220" t="n">
        <v>9</v>
      </c>
      <c r="BL21" s="222">
        <f>IFERROR(AVERAGEIFS(SAISIE!AL:AL,SAISIE!Y:Y,BILAN!B21,SAISIE!B:B,"PETIT ALU"),"")</f>
        <v/>
      </c>
      <c r="BM21" s="222">
        <f>IFERROR(AVERAGEIFS(SAISIE!AK:AK,SAISIE!Y:Y,BILAN!B21,SAISIE!B:B,"PETIT ALU"),"")</f>
        <v/>
      </c>
      <c r="BN21" s="223" t="n">
        <v>0.95</v>
      </c>
      <c r="BP21" s="220" t="n">
        <v>9</v>
      </c>
      <c r="BQ21" s="222">
        <f>IFERROR(AVERAGEIFS(SAISIE!AM:AM,SAISIE!Y:Y,BILAN!B21,SAISIE!B:B,"REFUS"),"")</f>
        <v/>
      </c>
      <c r="BR21" s="222">
        <f>IFERROR(AVERAGEIFS(SAISIE!AU:AU,SAISIE!Y:Y,BILAN!B21,SAISIE!B:B,"REFUS"),"")</f>
        <v/>
      </c>
      <c r="BS21" s="223" t="n">
        <v>0.95</v>
      </c>
      <c r="BU21" s="41" t="n"/>
      <c r="BV21" s="41" t="n"/>
      <c r="BW21" s="41" t="n"/>
      <c r="BX21" s="41" t="n"/>
    </row>
    <row r="22">
      <c r="B22" s="220" t="n">
        <v>10</v>
      </c>
      <c r="C22" s="222">
        <f>IFERROR(AVERAGEIFS(SAISIE!Z:Z,SAISIE!Y:Y,BILAN!B22,SAISIE!B:B,"JRM"),"")</f>
        <v/>
      </c>
      <c r="D22" s="222">
        <f>IFERROR(AVERAGEIFS(SAISIE!AP:AP,SAISIE!Y:Y,BILAN!B22,SAISIE!B:B,"JRM"),"")</f>
        <v/>
      </c>
      <c r="E22" s="223" t="n">
        <v>0.97</v>
      </c>
      <c r="F22" s="111" t="n"/>
      <c r="G22" s="220" t="n">
        <v>10</v>
      </c>
      <c r="H22" s="222">
        <f>IFERROR(AVERAGEIFS(SAISIE!AA:AA,SAISIE!Y:Y,BILAN!B22,SAISIE!B:B,"EMR"),"")</f>
        <v/>
      </c>
      <c r="I22" s="222">
        <f>IFERROR(AVERAGEIFS(SAISIE!AS:AS,SAISIE!Y:Y,BILAN!B22,SAISIE!B:B,"EMR"),"")</f>
        <v/>
      </c>
      <c r="J22" s="223" t="n">
        <v>0.95</v>
      </c>
      <c r="L22" s="220" t="n">
        <v>10</v>
      </c>
      <c r="M22" s="222">
        <f>IFERROR(AVERAGEIFS(SAISIE!AB:AB,SAISIE!Y:Y,BILAN!B22,SAISIE!B:B,"CARTON"),"")</f>
        <v/>
      </c>
      <c r="N22" s="222">
        <f>IFERROR(AVERAGEIFS(SAISIE!AS:AS,SAISIE!Y:Y,BILAN!B22,SAISIE!B:B,"CARTON"),"")</f>
        <v/>
      </c>
      <c r="O22" s="223" t="n">
        <v>0.95</v>
      </c>
      <c r="Q22" s="220" t="n">
        <v>10</v>
      </c>
      <c r="R22" s="222">
        <f>IFERROR(AVERAGEIFS(SAISIE!AC:AC,SAISIE!Y:Y,BILAN!B22,SAISIE!B:B,"GM"),"")</f>
        <v/>
      </c>
      <c r="S22" s="222">
        <f>IFERROR(AVERAGEIFS(SAISIE!AS:AS,SAISIE!Y:Y,BILAN!B22,SAISIE!B:B,"GM"),"")</f>
        <v/>
      </c>
      <c r="T22" s="223" t="n">
        <v>0.98</v>
      </c>
      <c r="V22" s="220" t="n">
        <v>10</v>
      </c>
      <c r="W22" s="222">
        <f>IFERROR(AVERAGEIFS(SAISIE!AD:AD,SAISIE!Y:Y,BILAN!B22,SAISIE!B:B,"PETQ9"),"")</f>
        <v/>
      </c>
      <c r="X22" s="222">
        <f>IFERROR(AVERAGEIFS(SAISIE!AF:AF,SAISIE!Y:Y,BILAN!B22,SAISIE!B:B,"PETQ9"),"")</f>
        <v/>
      </c>
      <c r="Y22" s="223" t="n">
        <v>0.98</v>
      </c>
      <c r="Z22" s="60" t="n"/>
      <c r="AA22" s="220" t="n">
        <v>10</v>
      </c>
      <c r="AB22" s="222">
        <f>IFERROR(AVERAGEIFS(SAISIE!AE:AE,SAISIE!Y:Y,BILAN!B22,SAISIE!B:B,"FLUX DEV"),"")</f>
        <v/>
      </c>
      <c r="AC22" s="222">
        <f>IFERROR(AVERAGEIFS(SAISIE!AD:AD,SAISIE!Y:Y,BILAN!B22,SAISIE!B:B,"FLUX DEV"),"")</f>
        <v/>
      </c>
      <c r="AD22" s="223" t="n">
        <v>0.98</v>
      </c>
      <c r="AF22" s="220" t="n">
        <v>10</v>
      </c>
      <c r="AG22" s="222">
        <f>IFERROR(AVERAGEIFS(SAISIE!AF:AF,SAISIE!Y:Y,BILAN!B22,SAISIE!B:B,"PETB"),"")</f>
        <v/>
      </c>
      <c r="AH22" s="222" t="n"/>
      <c r="AI22" s="223" t="n">
        <v>0.95</v>
      </c>
      <c r="AK22" s="220" t="n">
        <v>10</v>
      </c>
      <c r="AL22" s="222">
        <f>IFERROR(AVERAGEIFS(SAISIE!AG:AG,SAISIE!Y:Y,BILAN!B22,SAISIE!B:B,"PEPP"),"")</f>
        <v/>
      </c>
      <c r="AM22" s="222">
        <f>IFERROR(AVERAGEIFS(SAISIE!AT:AT,SAISIE!Y:Y,BILAN!B22,SAISIE!B:B,"PEPP"),"")</f>
        <v/>
      </c>
      <c r="AN22" s="223" t="n">
        <v>0.95</v>
      </c>
      <c r="AP22" s="220" t="n">
        <v>10</v>
      </c>
      <c r="AQ22" s="222">
        <f>IFERROR(AVERAGEIFS(SAISIE!AH:AH,SAISIE!Y:Y,BILAN!B22,SAISIE!B:B,"ELA"),"")</f>
        <v/>
      </c>
      <c r="AR22" s="222">
        <f>IFERROR(AVERAGEIFS(SAISIE!AN:AN,SAISIE!Y:Y,BILAN!B22,SAISIE!B:B,"ELA"),"")</f>
        <v/>
      </c>
      <c r="AS22" s="111" t="n">
        <v>0.95</v>
      </c>
      <c r="AT22" s="223">
        <f>IFERROR(AVERAGEIFS(SAISIE!AW:AW,SAISIE!Y:Y,BILAN!B22,SAISIE!B:B,"ELA"),"")</f>
        <v/>
      </c>
      <c r="AV22" s="220" t="n">
        <v>10</v>
      </c>
      <c r="AW22" s="222">
        <f>IFERROR(AVERAGEIFS(SAISIE!AI:AI,SAISIE!Y:Y,BILAN!B22,SAISIE!B:B,"FILM"),"")</f>
        <v/>
      </c>
      <c r="AX22" s="222">
        <f>IFERROR(AVERAGEIFS(SAISIE!AV:AV,SAISIE!Y:Y,BILAN!B22,SAISIE!B:B,"FILM"),"")</f>
        <v/>
      </c>
      <c r="AY22" s="223" t="n">
        <v>0.95</v>
      </c>
      <c r="AZ22" s="111" t="n"/>
      <c r="BA22" s="220" t="n">
        <v>10</v>
      </c>
      <c r="BB22" s="222">
        <f>IFERROR(AVERAGEIFS(SAISIE!AJ:AJ,SAISIE!Y:Y,BILAN!B22,SAISIE!B:B,"ACIER"),"")</f>
        <v/>
      </c>
      <c r="BC22" s="222" t="n"/>
      <c r="BD22" s="223" t="n">
        <v>0.95</v>
      </c>
      <c r="BE22" s="41" t="n"/>
      <c r="BF22" s="235" t="n">
        <v>10</v>
      </c>
      <c r="BG22" s="222">
        <f>IFERROR(AVERAGEIFS(SAISIE!AK:AK,SAISIE!Y:Y,BILAN!B22,SAISIE!B:B,"ALU"),"")</f>
        <v/>
      </c>
      <c r="BH22" s="222" t="n"/>
      <c r="BI22" s="223" t="n">
        <v>0.95</v>
      </c>
      <c r="BK22" s="220" t="n">
        <v>10</v>
      </c>
      <c r="BL22" s="222">
        <f>IFERROR(AVERAGEIFS(SAISIE!AL:AL,SAISIE!Y:Y,BILAN!B22,SAISIE!B:B,"PETIT ALU"),"")</f>
        <v/>
      </c>
      <c r="BM22" s="222">
        <f>IFERROR(AVERAGEIFS(SAISIE!AK:AK,SAISIE!Y:Y,BILAN!B22,SAISIE!B:B,"PETIT ALU"),"")</f>
        <v/>
      </c>
      <c r="BN22" s="223" t="n">
        <v>0.95</v>
      </c>
      <c r="BP22" s="220" t="n">
        <v>10</v>
      </c>
      <c r="BQ22" s="222">
        <f>IFERROR(AVERAGEIFS(SAISIE!AM:AM,SAISIE!Y:Y,BILAN!B22,SAISIE!B:B,"REFUS"),"")</f>
        <v/>
      </c>
      <c r="BR22" s="222">
        <f>IFERROR(AVERAGEIFS(SAISIE!AU:AU,SAISIE!Y:Y,BILAN!B22,SAISIE!B:B,"REFUS"),"")</f>
        <v/>
      </c>
      <c r="BS22" s="223" t="n">
        <v>0.95</v>
      </c>
      <c r="BU22" s="41" t="n"/>
      <c r="BV22" s="41" t="n"/>
      <c r="BW22" s="41" t="n"/>
      <c r="BX22" s="41" t="n"/>
    </row>
    <row r="23">
      <c r="B23" s="220" t="n">
        <v>11</v>
      </c>
      <c r="C23" s="222">
        <f>IFERROR(AVERAGEIFS(SAISIE!Z:Z,SAISIE!Y:Y,BILAN!B23,SAISIE!B:B,"JRM"),"")</f>
        <v/>
      </c>
      <c r="D23" s="222">
        <f>IFERROR(AVERAGEIFS(SAISIE!AP:AP,SAISIE!Y:Y,BILAN!B23,SAISIE!B:B,"JRM"),"")</f>
        <v/>
      </c>
      <c r="E23" s="223" t="n">
        <v>0.97</v>
      </c>
      <c r="F23" s="111" t="n"/>
      <c r="G23" s="220" t="n">
        <v>11</v>
      </c>
      <c r="H23" s="222">
        <f>IFERROR(AVERAGEIFS(SAISIE!AA:AA,SAISIE!Y:Y,BILAN!B23,SAISIE!B:B,"EMR"),"")</f>
        <v/>
      </c>
      <c r="I23" s="222">
        <f>IFERROR(AVERAGEIFS(SAISIE!AS:AS,SAISIE!Y:Y,BILAN!B23,SAISIE!B:B,"EMR"),"")</f>
        <v/>
      </c>
      <c r="J23" s="223" t="n">
        <v>0.95</v>
      </c>
      <c r="L23" s="220" t="n">
        <v>11</v>
      </c>
      <c r="M23" s="222">
        <f>IFERROR(AVERAGEIFS(SAISIE!AB:AB,SAISIE!Y:Y,BILAN!B23,SAISIE!B:B,"CARTON"),"")</f>
        <v/>
      </c>
      <c r="N23" s="222">
        <f>IFERROR(AVERAGEIFS(SAISIE!AS:AS,SAISIE!Y:Y,BILAN!B23,SAISIE!B:B,"CARTON"),"")</f>
        <v/>
      </c>
      <c r="O23" s="223" t="n">
        <v>0.95</v>
      </c>
      <c r="Q23" s="220" t="n">
        <v>11</v>
      </c>
      <c r="R23" s="222">
        <f>IFERROR(AVERAGEIFS(SAISIE!AC:AC,SAISIE!Y:Y,BILAN!B23,SAISIE!B:B,"GM"),"")</f>
        <v/>
      </c>
      <c r="S23" s="222">
        <f>IFERROR(AVERAGEIFS(SAISIE!AS:AS,SAISIE!Y:Y,BILAN!B23,SAISIE!B:B,"GM"),"")</f>
        <v/>
      </c>
      <c r="T23" s="223" t="n">
        <v>0.98</v>
      </c>
      <c r="V23" s="220" t="n">
        <v>11</v>
      </c>
      <c r="W23" s="222">
        <f>IFERROR(AVERAGEIFS(SAISIE!AD:AD,SAISIE!Y:Y,BILAN!B23,SAISIE!B:B,"PETQ9"),"")</f>
        <v/>
      </c>
      <c r="X23" s="222">
        <f>IFERROR(AVERAGEIFS(SAISIE!AF:AF,SAISIE!Y:Y,BILAN!B23,SAISIE!B:B,"PETQ9"),"")</f>
        <v/>
      </c>
      <c r="Y23" s="223" t="n">
        <v>0.98</v>
      </c>
      <c r="Z23" s="60" t="n"/>
      <c r="AA23" s="220" t="n">
        <v>11</v>
      </c>
      <c r="AB23" s="222">
        <f>IFERROR(AVERAGEIFS(SAISIE!AE:AE,SAISIE!Y:Y,BILAN!B23,SAISIE!B:B,"FLUX DEV"),"")</f>
        <v/>
      </c>
      <c r="AC23" s="222">
        <f>IFERROR(AVERAGEIFS(SAISIE!AD:AD,SAISIE!Y:Y,BILAN!B23,SAISIE!B:B,"FLUX DEV"),"")</f>
        <v/>
      </c>
      <c r="AD23" s="223" t="n">
        <v>0.98</v>
      </c>
      <c r="AF23" s="220" t="n">
        <v>11</v>
      </c>
      <c r="AG23" s="222">
        <f>IFERROR(AVERAGEIFS(SAISIE!AF:AF,SAISIE!Y:Y,BILAN!B23,SAISIE!B:B,"PETB"),"")</f>
        <v/>
      </c>
      <c r="AH23" s="222" t="n"/>
      <c r="AI23" s="223" t="n">
        <v>0.95</v>
      </c>
      <c r="AK23" s="220" t="n">
        <v>11</v>
      </c>
      <c r="AL23" s="222">
        <f>IFERROR(AVERAGEIFS(SAISIE!AG:AG,SAISIE!Y:Y,BILAN!B23,SAISIE!B:B,"PEPP"),"")</f>
        <v/>
      </c>
      <c r="AM23" s="222">
        <f>IFERROR(AVERAGEIFS(SAISIE!AT:AT,SAISIE!Y:Y,BILAN!B23,SAISIE!B:B,"PEPP"),"")</f>
        <v/>
      </c>
      <c r="AN23" s="223" t="n">
        <v>0.95</v>
      </c>
      <c r="AP23" s="220" t="n">
        <v>11</v>
      </c>
      <c r="AQ23" s="222">
        <f>IFERROR(AVERAGEIFS(SAISIE!AH:AH,SAISIE!Y:Y,BILAN!B23,SAISIE!B:B,"ELA"),"")</f>
        <v/>
      </c>
      <c r="AR23" s="222">
        <f>IFERROR(AVERAGEIFS(SAISIE!AN:AN,SAISIE!Y:Y,BILAN!B23,SAISIE!B:B,"ELA"),"")</f>
        <v/>
      </c>
      <c r="AS23" s="111" t="n">
        <v>0.95</v>
      </c>
      <c r="AT23" s="223">
        <f>IFERROR(AVERAGEIFS(SAISIE!AW:AW,SAISIE!Y:Y,BILAN!B23,SAISIE!B:B,"ELA"),"")</f>
        <v/>
      </c>
      <c r="AV23" s="220" t="n">
        <v>11</v>
      </c>
      <c r="AW23" s="222">
        <f>IFERROR(AVERAGEIFS(SAISIE!AI:AI,SAISIE!Y:Y,BILAN!B23,SAISIE!B:B,"FILM"),"")</f>
        <v/>
      </c>
      <c r="AX23" s="222">
        <f>IFERROR(AVERAGEIFS(SAISIE!AV:AV,SAISIE!Y:Y,BILAN!B23,SAISIE!B:B,"FILM"),"")</f>
        <v/>
      </c>
      <c r="AY23" s="223" t="n">
        <v>0.95</v>
      </c>
      <c r="AZ23" s="111" t="n"/>
      <c r="BA23" s="220" t="n">
        <v>11</v>
      </c>
      <c r="BB23" s="222">
        <f>IFERROR(AVERAGEIFS(SAISIE!AJ:AJ,SAISIE!Y:Y,BILAN!B23,SAISIE!B:B,"ACIER"),"")</f>
        <v/>
      </c>
      <c r="BC23" s="222" t="n"/>
      <c r="BD23" s="223" t="n">
        <v>0.95</v>
      </c>
      <c r="BE23" s="41" t="n"/>
      <c r="BF23" s="235" t="n">
        <v>11</v>
      </c>
      <c r="BG23" s="222">
        <f>IFERROR(AVERAGEIFS(SAISIE!AK:AK,SAISIE!Y:Y,BILAN!B23,SAISIE!B:B,"ALU"),"")</f>
        <v/>
      </c>
      <c r="BH23" s="222" t="n"/>
      <c r="BI23" s="223" t="n">
        <v>0.95</v>
      </c>
      <c r="BK23" s="220" t="n">
        <v>11</v>
      </c>
      <c r="BL23" s="222">
        <f>IFERROR(AVERAGEIFS(SAISIE!AL:AL,SAISIE!Y:Y,BILAN!B23,SAISIE!B:B,"PETIT ALU"),"")</f>
        <v/>
      </c>
      <c r="BM23" s="222">
        <f>IFERROR(AVERAGEIFS(SAISIE!AK:AK,SAISIE!Y:Y,BILAN!B23,SAISIE!B:B,"PETIT ALU"),"")</f>
        <v/>
      </c>
      <c r="BN23" s="223" t="n">
        <v>0.95</v>
      </c>
      <c r="BP23" s="220" t="n">
        <v>11</v>
      </c>
      <c r="BQ23" s="222">
        <f>IFERROR(AVERAGEIFS(SAISIE!AM:AM,SAISIE!Y:Y,BILAN!B23,SAISIE!B:B,"REFUS"),"")</f>
        <v/>
      </c>
      <c r="BR23" s="222">
        <f>IFERROR(AVERAGEIFS(SAISIE!AU:AU,SAISIE!Y:Y,BILAN!B23,SAISIE!B:B,"REFUS"),"")</f>
        <v/>
      </c>
      <c r="BS23" s="223" t="n">
        <v>0.95</v>
      </c>
      <c r="BU23" s="41" t="n"/>
      <c r="BV23" s="41" t="n"/>
      <c r="BW23" s="41" t="n"/>
      <c r="BX23" s="41" t="n"/>
    </row>
    <row r="24">
      <c r="B24" s="220" t="n">
        <v>12</v>
      </c>
      <c r="C24" s="222">
        <f>IFERROR(AVERAGEIFS(SAISIE!Z:Z,SAISIE!Y:Y,BILAN!B24,SAISIE!B:B,"JRM"),"")</f>
        <v/>
      </c>
      <c r="D24" s="222">
        <f>IFERROR(AVERAGEIFS(SAISIE!AP:AP,SAISIE!Y:Y,BILAN!B24,SAISIE!B:B,"JRM"),"")</f>
        <v/>
      </c>
      <c r="E24" s="223" t="n">
        <v>0.97</v>
      </c>
      <c r="F24" s="111" t="n"/>
      <c r="G24" s="220" t="n">
        <v>12</v>
      </c>
      <c r="H24" s="222">
        <f>IFERROR(AVERAGEIFS(SAISIE!AA:AA,SAISIE!Y:Y,BILAN!B24,SAISIE!B:B,"EMR"),"")</f>
        <v/>
      </c>
      <c r="I24" s="222">
        <f>IFERROR(AVERAGEIFS(SAISIE!AS:AS,SAISIE!Y:Y,BILAN!B24,SAISIE!B:B,"EMR"),"")</f>
        <v/>
      </c>
      <c r="J24" s="223" t="n">
        <v>0.95</v>
      </c>
      <c r="L24" s="220" t="n">
        <v>12</v>
      </c>
      <c r="M24" s="222">
        <f>IFERROR(AVERAGEIFS(SAISIE!AB:AB,SAISIE!Y:Y,BILAN!B24,SAISIE!B:B,"CARTON"),"")</f>
        <v/>
      </c>
      <c r="N24" s="222">
        <f>IFERROR(AVERAGEIFS(SAISIE!AS:AS,SAISIE!Y:Y,BILAN!B24,SAISIE!B:B,"CARTON"),"")</f>
        <v/>
      </c>
      <c r="O24" s="223" t="n">
        <v>0.95</v>
      </c>
      <c r="Q24" s="220" t="n">
        <v>12</v>
      </c>
      <c r="R24" s="222">
        <f>IFERROR(AVERAGEIFS(SAISIE!AC:AC,SAISIE!Y:Y,BILAN!B24,SAISIE!B:B,"GM"),"")</f>
        <v/>
      </c>
      <c r="S24" s="222">
        <f>IFERROR(AVERAGEIFS(SAISIE!AS:AS,SAISIE!Y:Y,BILAN!B24,SAISIE!B:B,"GM"),"")</f>
        <v/>
      </c>
      <c r="T24" s="223" t="n">
        <v>0.98</v>
      </c>
      <c r="V24" s="220" t="n">
        <v>12</v>
      </c>
      <c r="W24" s="222">
        <f>IFERROR(AVERAGEIFS(SAISIE!AD:AD,SAISIE!Y:Y,BILAN!B24,SAISIE!B:B,"PETQ9"),"")</f>
        <v/>
      </c>
      <c r="X24" s="222">
        <f>IFERROR(AVERAGEIFS(SAISIE!AF:AF,SAISIE!Y:Y,BILAN!B24,SAISIE!B:B,"PETQ9"),"")</f>
        <v/>
      </c>
      <c r="Y24" s="223" t="n">
        <v>0.98</v>
      </c>
      <c r="Z24" s="60" t="n"/>
      <c r="AA24" s="220" t="n">
        <v>12</v>
      </c>
      <c r="AB24" s="222">
        <f>IFERROR(AVERAGEIFS(SAISIE!AE:AE,SAISIE!Y:Y,BILAN!B24,SAISIE!B:B,"FLUX DEV"),"")</f>
        <v/>
      </c>
      <c r="AC24" s="222">
        <f>IFERROR(AVERAGEIFS(SAISIE!AD:AD,SAISIE!Y:Y,BILAN!B24,SAISIE!B:B,"FLUX DEV"),"")</f>
        <v/>
      </c>
      <c r="AD24" s="223" t="n">
        <v>0.98</v>
      </c>
      <c r="AF24" s="220" t="n">
        <v>12</v>
      </c>
      <c r="AG24" s="222">
        <f>IFERROR(AVERAGEIFS(SAISIE!AF:AF,SAISIE!Y:Y,BILAN!B24,SAISIE!B:B,"PETB"),"")</f>
        <v/>
      </c>
      <c r="AH24" s="222" t="n"/>
      <c r="AI24" s="223" t="n">
        <v>0.95</v>
      </c>
      <c r="AK24" s="220" t="n">
        <v>12</v>
      </c>
      <c r="AL24" s="222">
        <f>IFERROR(AVERAGEIFS(SAISIE!AG:AG,SAISIE!Y:Y,BILAN!B24,SAISIE!B:B,"PEPP"),"")</f>
        <v/>
      </c>
      <c r="AM24" s="222">
        <f>IFERROR(AVERAGEIFS(SAISIE!AT:AT,SAISIE!Y:Y,BILAN!B24,SAISIE!B:B,"PEPP"),"")</f>
        <v/>
      </c>
      <c r="AN24" s="223" t="n">
        <v>0.95</v>
      </c>
      <c r="AP24" s="220" t="n">
        <v>12</v>
      </c>
      <c r="AQ24" s="222">
        <f>IFERROR(AVERAGEIFS(SAISIE!AH:AH,SAISIE!Y:Y,BILAN!B24,SAISIE!B:B,"ELA"),"")</f>
        <v/>
      </c>
      <c r="AR24" s="222">
        <f>IFERROR(AVERAGEIFS(SAISIE!AN:AN,SAISIE!Y:Y,BILAN!B24,SAISIE!B:B,"ELA"),"")</f>
        <v/>
      </c>
      <c r="AS24" s="111" t="n">
        <v>0.95</v>
      </c>
      <c r="AT24" s="223">
        <f>IFERROR(AVERAGEIFS(SAISIE!AW:AW,SAISIE!Y:Y,BILAN!B24,SAISIE!B:B,"ELA"),"")</f>
        <v/>
      </c>
      <c r="AV24" s="220" t="n">
        <v>12</v>
      </c>
      <c r="AW24" s="222">
        <f>IFERROR(AVERAGEIFS(SAISIE!AI:AI,SAISIE!Y:Y,BILAN!B24,SAISIE!B:B,"FILM"),"")</f>
        <v/>
      </c>
      <c r="AX24" s="222">
        <f>IFERROR(AVERAGEIFS(SAISIE!AV:AV,SAISIE!Y:Y,BILAN!B24,SAISIE!B:B,"FILM"),"")</f>
        <v/>
      </c>
      <c r="AY24" s="223" t="n">
        <v>0.95</v>
      </c>
      <c r="AZ24" s="111" t="n"/>
      <c r="BA24" s="220" t="n">
        <v>12</v>
      </c>
      <c r="BB24" s="222">
        <f>IFERROR(AVERAGEIFS(SAISIE!AJ:AJ,SAISIE!Y:Y,BILAN!B24,SAISIE!B:B,"ACIER"),"")</f>
        <v/>
      </c>
      <c r="BC24" s="222" t="n"/>
      <c r="BD24" s="223" t="n">
        <v>0.95</v>
      </c>
      <c r="BE24" s="41" t="n"/>
      <c r="BF24" s="235" t="n">
        <v>12</v>
      </c>
      <c r="BG24" s="222">
        <f>IFERROR(AVERAGEIFS(SAISIE!AK:AK,SAISIE!Y:Y,BILAN!B24,SAISIE!B:B,"ALU"),"")</f>
        <v/>
      </c>
      <c r="BH24" s="222" t="n"/>
      <c r="BI24" s="223" t="n">
        <v>0.95</v>
      </c>
      <c r="BK24" s="220" t="n">
        <v>12</v>
      </c>
      <c r="BL24" s="222">
        <f>IFERROR(AVERAGEIFS(SAISIE!AL:AL,SAISIE!Y:Y,BILAN!B24,SAISIE!B:B,"PETIT ALU"),"")</f>
        <v/>
      </c>
      <c r="BM24" s="222">
        <f>IFERROR(AVERAGEIFS(SAISIE!AK:AK,SAISIE!Y:Y,BILAN!B24,SAISIE!B:B,"PETIT ALU"),"")</f>
        <v/>
      </c>
      <c r="BN24" s="223" t="n">
        <v>0.95</v>
      </c>
      <c r="BP24" s="220" t="n">
        <v>12</v>
      </c>
      <c r="BQ24" s="222">
        <f>IFERROR(AVERAGEIFS(SAISIE!AM:AM,SAISIE!Y:Y,BILAN!B24,SAISIE!B:B,"REFUS"),"")</f>
        <v/>
      </c>
      <c r="BR24" s="222">
        <f>IFERROR(AVERAGEIFS(SAISIE!AU:AU,SAISIE!Y:Y,BILAN!B24,SAISIE!B:B,"REFUS"),"")</f>
        <v/>
      </c>
      <c r="BS24" s="223" t="n">
        <v>0.95</v>
      </c>
      <c r="BU24" s="41" t="n"/>
      <c r="BV24" s="41" t="n"/>
      <c r="BW24" s="41" t="n"/>
      <c r="BX24" s="41" t="n"/>
    </row>
    <row r="25">
      <c r="B25" s="220" t="n">
        <v>13</v>
      </c>
      <c r="C25" s="222">
        <f>IFERROR(AVERAGEIFS(SAISIE!Z:Z,SAISIE!Y:Y,BILAN!B25,SAISIE!B:B,"JRM"),"")</f>
        <v/>
      </c>
      <c r="D25" s="222">
        <f>IFERROR(AVERAGEIFS(SAISIE!AP:AP,SAISIE!Y:Y,BILAN!B25,SAISIE!B:B,"JRM"),"")</f>
        <v/>
      </c>
      <c r="E25" s="223" t="n">
        <v>0.97</v>
      </c>
      <c r="F25" s="111" t="n"/>
      <c r="G25" s="220" t="n">
        <v>13</v>
      </c>
      <c r="H25" s="222">
        <f>IFERROR(AVERAGEIFS(SAISIE!AA:AA,SAISIE!Y:Y,BILAN!B25,SAISIE!B:B,"EMR"),"")</f>
        <v/>
      </c>
      <c r="I25" s="222">
        <f>IFERROR(AVERAGEIFS(SAISIE!AS:AS,SAISIE!Y:Y,BILAN!B25,SAISIE!B:B,"EMR"),"")</f>
        <v/>
      </c>
      <c r="J25" s="223" t="n">
        <v>0.95</v>
      </c>
      <c r="L25" s="220" t="n">
        <v>13</v>
      </c>
      <c r="M25" s="222">
        <f>IFERROR(AVERAGEIFS(SAISIE!AB:AB,SAISIE!Y:Y,BILAN!B25,SAISIE!B:B,"CARTON"),"")</f>
        <v/>
      </c>
      <c r="N25" s="222">
        <f>IFERROR(AVERAGEIFS(SAISIE!AS:AS,SAISIE!Y:Y,BILAN!B25,SAISIE!B:B,"CARTON"),"")</f>
        <v/>
      </c>
      <c r="O25" s="223" t="n">
        <v>0.95</v>
      </c>
      <c r="Q25" s="220" t="n">
        <v>13</v>
      </c>
      <c r="R25" s="222">
        <f>IFERROR(AVERAGEIFS(SAISIE!AC:AC,SAISIE!Y:Y,BILAN!B25,SAISIE!B:B,"GM"),"")</f>
        <v/>
      </c>
      <c r="S25" s="222">
        <f>IFERROR(AVERAGEIFS(SAISIE!AS:AS,SAISIE!Y:Y,BILAN!B25,SAISIE!B:B,"GM"),"")</f>
        <v/>
      </c>
      <c r="T25" s="223" t="n">
        <v>0.98</v>
      </c>
      <c r="V25" s="220" t="n">
        <v>13</v>
      </c>
      <c r="W25" s="222">
        <f>IFERROR(AVERAGEIFS(SAISIE!AD:AD,SAISIE!Y:Y,BILAN!B25,SAISIE!B:B,"PETQ9"),"")</f>
        <v/>
      </c>
      <c r="X25" s="222">
        <f>IFERROR(AVERAGEIFS(SAISIE!AF:AF,SAISIE!Y:Y,BILAN!B25,SAISIE!B:B,"PETQ9"),"")</f>
        <v/>
      </c>
      <c r="Y25" s="223" t="n">
        <v>0.98</v>
      </c>
      <c r="Z25" s="60" t="n"/>
      <c r="AA25" s="220" t="n">
        <v>13</v>
      </c>
      <c r="AB25" s="222">
        <f>IFERROR(AVERAGEIFS(SAISIE!AE:AE,SAISIE!Y:Y,BILAN!B25,SAISIE!B:B,"FLUX DEV"),"")</f>
        <v/>
      </c>
      <c r="AC25" s="222">
        <f>IFERROR(AVERAGEIFS(SAISIE!AD:AD,SAISIE!Y:Y,BILAN!B25,SAISIE!B:B,"FLUX DEV"),"")</f>
        <v/>
      </c>
      <c r="AD25" s="223" t="n">
        <v>0.98</v>
      </c>
      <c r="AF25" s="220" t="n">
        <v>13</v>
      </c>
      <c r="AG25" s="222">
        <f>IFERROR(AVERAGEIFS(SAISIE!AF:AF,SAISIE!Y:Y,BILAN!B25,SAISIE!B:B,"PETB"),"")</f>
        <v/>
      </c>
      <c r="AH25" s="222" t="n"/>
      <c r="AI25" s="223" t="n">
        <v>0.95</v>
      </c>
      <c r="AK25" s="220" t="n">
        <v>13</v>
      </c>
      <c r="AL25" s="222">
        <f>IFERROR(AVERAGEIFS(SAISIE!AG:AG,SAISIE!Y:Y,BILAN!B25,SAISIE!B:B,"PEPP"),"")</f>
        <v/>
      </c>
      <c r="AM25" s="222">
        <f>IFERROR(AVERAGEIFS(SAISIE!AT:AT,SAISIE!Y:Y,BILAN!B25,SAISIE!B:B,"PEPP"),"")</f>
        <v/>
      </c>
      <c r="AN25" s="223" t="n">
        <v>0.95</v>
      </c>
      <c r="AP25" s="220" t="n">
        <v>13</v>
      </c>
      <c r="AQ25" s="222">
        <f>IFERROR(AVERAGEIFS(SAISIE!AH:AH,SAISIE!Y:Y,BILAN!B25,SAISIE!B:B,"ELA"),"")</f>
        <v/>
      </c>
      <c r="AR25" s="222">
        <f>IFERROR(AVERAGEIFS(SAISIE!AN:AN,SAISIE!Y:Y,BILAN!B25,SAISIE!B:B,"ELA"),"")</f>
        <v/>
      </c>
      <c r="AS25" s="111" t="n">
        <v>0.95</v>
      </c>
      <c r="AT25" s="223">
        <f>IFERROR(AVERAGEIFS(SAISIE!AW:AW,SAISIE!Y:Y,BILAN!B25,SAISIE!B:B,"ELA"),"")</f>
        <v/>
      </c>
      <c r="AV25" s="220" t="n">
        <v>13</v>
      </c>
      <c r="AW25" s="222">
        <f>IFERROR(AVERAGEIFS(SAISIE!AI:AI,SAISIE!Y:Y,BILAN!B25,SAISIE!B:B,"FILM"),"")</f>
        <v/>
      </c>
      <c r="AX25" s="222">
        <f>IFERROR(AVERAGEIFS(SAISIE!AV:AV,SAISIE!Y:Y,BILAN!B25,SAISIE!B:B,"FILM"),"")</f>
        <v/>
      </c>
      <c r="AY25" s="223" t="n">
        <v>0.95</v>
      </c>
      <c r="AZ25" s="111" t="n"/>
      <c r="BA25" s="220" t="n">
        <v>13</v>
      </c>
      <c r="BB25" s="222">
        <f>IFERROR(AVERAGEIFS(SAISIE!AJ:AJ,SAISIE!Y:Y,BILAN!B25,SAISIE!B:B,"ACIER"),"")</f>
        <v/>
      </c>
      <c r="BC25" s="222" t="n"/>
      <c r="BD25" s="223" t="n">
        <v>0.95</v>
      </c>
      <c r="BE25" s="41" t="n"/>
      <c r="BF25" s="235" t="n">
        <v>13</v>
      </c>
      <c r="BG25" s="222">
        <f>IFERROR(AVERAGEIFS(SAISIE!AK:AK,SAISIE!Y:Y,BILAN!B25,SAISIE!B:B,"ALU"),"")</f>
        <v/>
      </c>
      <c r="BH25" s="222" t="n"/>
      <c r="BI25" s="223" t="n">
        <v>0.95</v>
      </c>
      <c r="BK25" s="220" t="n">
        <v>13</v>
      </c>
      <c r="BL25" s="222">
        <f>IFERROR(AVERAGEIFS(SAISIE!AL:AL,SAISIE!Y:Y,BILAN!B25,SAISIE!B:B,"PETIT ALU"),"")</f>
        <v/>
      </c>
      <c r="BM25" s="222">
        <f>IFERROR(AVERAGEIFS(SAISIE!AK:AK,SAISIE!Y:Y,BILAN!B25,SAISIE!B:B,"PETIT ALU"),"")</f>
        <v/>
      </c>
      <c r="BN25" s="223" t="n">
        <v>0.95</v>
      </c>
      <c r="BP25" s="220" t="n">
        <v>13</v>
      </c>
      <c r="BQ25" s="222">
        <f>IFERROR(AVERAGEIFS(SAISIE!AM:AM,SAISIE!Y:Y,BILAN!B25,SAISIE!B:B,"REFUS"),"")</f>
        <v/>
      </c>
      <c r="BR25" s="222">
        <f>IFERROR(AVERAGEIFS(SAISIE!AU:AU,SAISIE!Y:Y,BILAN!B25,SAISIE!B:B,"REFUS"),"")</f>
        <v/>
      </c>
      <c r="BS25" s="223" t="n">
        <v>0.95</v>
      </c>
      <c r="BU25" s="41" t="n"/>
      <c r="BV25" s="41" t="n"/>
      <c r="BW25" s="41" t="n"/>
      <c r="BX25" s="41" t="n"/>
    </row>
    <row r="26">
      <c r="B26" s="220" t="n">
        <v>14</v>
      </c>
      <c r="C26" s="222">
        <f>IFERROR(AVERAGEIFS(SAISIE!Z:Z,SAISIE!Y:Y,BILAN!B26,SAISIE!B:B,"JRM"),"")</f>
        <v/>
      </c>
      <c r="D26" s="222">
        <f>IFERROR(AVERAGEIFS(SAISIE!AP:AP,SAISIE!Y:Y,BILAN!B26,SAISIE!B:B,"JRM"),"")</f>
        <v/>
      </c>
      <c r="E26" s="223" t="n">
        <v>0.97</v>
      </c>
      <c r="F26" s="111" t="n"/>
      <c r="G26" s="220" t="n">
        <v>14</v>
      </c>
      <c r="H26" s="222">
        <f>IFERROR(AVERAGEIFS(SAISIE!AA:AA,SAISIE!Y:Y,BILAN!B26,SAISIE!B:B,"EMR"),"")</f>
        <v/>
      </c>
      <c r="I26" s="222">
        <f>IFERROR(AVERAGEIFS(SAISIE!AS:AS,SAISIE!Y:Y,BILAN!B26,SAISIE!B:B,"EMR"),"")</f>
        <v/>
      </c>
      <c r="J26" s="223" t="n">
        <v>0.95</v>
      </c>
      <c r="L26" s="220" t="n">
        <v>14</v>
      </c>
      <c r="M26" s="222">
        <f>IFERROR(AVERAGEIFS(SAISIE!AB:AB,SAISIE!Y:Y,BILAN!B26,SAISIE!B:B,"CARTON"),"")</f>
        <v/>
      </c>
      <c r="N26" s="222">
        <f>IFERROR(AVERAGEIFS(SAISIE!AS:AS,SAISIE!Y:Y,BILAN!B26,SAISIE!B:B,"CARTON"),"")</f>
        <v/>
      </c>
      <c r="O26" s="223" t="n">
        <v>0.95</v>
      </c>
      <c r="Q26" s="220" t="n">
        <v>14</v>
      </c>
      <c r="R26" s="222">
        <f>IFERROR(AVERAGEIFS(SAISIE!AC:AC,SAISIE!Y:Y,BILAN!B26,SAISIE!B:B,"GM"),"")</f>
        <v/>
      </c>
      <c r="S26" s="222">
        <f>IFERROR(AVERAGEIFS(SAISIE!AS:AS,SAISIE!Y:Y,BILAN!B26,SAISIE!B:B,"GM"),"")</f>
        <v/>
      </c>
      <c r="T26" s="223" t="n">
        <v>0.98</v>
      </c>
      <c r="V26" s="220" t="n">
        <v>14</v>
      </c>
      <c r="W26" s="222">
        <f>IFERROR(AVERAGEIFS(SAISIE!AD:AD,SAISIE!Y:Y,BILAN!B26,SAISIE!B:B,"PETQ9"),"")</f>
        <v/>
      </c>
      <c r="X26" s="222">
        <f>IFERROR(AVERAGEIFS(SAISIE!AF:AF,SAISIE!Y:Y,BILAN!B26,SAISIE!B:B,"PETQ9"),"")</f>
        <v/>
      </c>
      <c r="Y26" s="223" t="n">
        <v>0.98</v>
      </c>
      <c r="Z26" s="60" t="n"/>
      <c r="AA26" s="220" t="n">
        <v>14</v>
      </c>
      <c r="AB26" s="222">
        <f>IFERROR(AVERAGEIFS(SAISIE!AE:AE,SAISIE!Y:Y,BILAN!B26,SAISIE!B:B,"FLUX DEV"),"")</f>
        <v/>
      </c>
      <c r="AC26" s="222">
        <f>IFERROR(AVERAGEIFS(SAISIE!AD:AD,SAISIE!Y:Y,BILAN!B26,SAISIE!B:B,"FLUX DEV"),"")</f>
        <v/>
      </c>
      <c r="AD26" s="223" t="n">
        <v>0.98</v>
      </c>
      <c r="AF26" s="220" t="n">
        <v>14</v>
      </c>
      <c r="AG26" s="222">
        <f>IFERROR(AVERAGEIFS(SAISIE!AF:AF,SAISIE!Y:Y,BILAN!B26,SAISIE!B:B,"PETB"),"")</f>
        <v/>
      </c>
      <c r="AH26" s="222" t="n"/>
      <c r="AI26" s="223" t="n">
        <v>0.95</v>
      </c>
      <c r="AK26" s="220" t="n">
        <v>14</v>
      </c>
      <c r="AL26" s="222">
        <f>IFERROR(AVERAGEIFS(SAISIE!AG:AG,SAISIE!Y:Y,BILAN!B26,SAISIE!B:B,"PEPP"),"")</f>
        <v/>
      </c>
      <c r="AM26" s="222">
        <f>IFERROR(AVERAGEIFS(SAISIE!AT:AT,SAISIE!Y:Y,BILAN!B26,SAISIE!B:B,"PEPP"),"")</f>
        <v/>
      </c>
      <c r="AN26" s="223" t="n">
        <v>0.95</v>
      </c>
      <c r="AP26" s="220" t="n">
        <v>14</v>
      </c>
      <c r="AQ26" s="222">
        <f>IFERROR(AVERAGEIFS(SAISIE!AH:AH,SAISIE!Y:Y,BILAN!B26,SAISIE!B:B,"ELA"),"")</f>
        <v/>
      </c>
      <c r="AR26" s="222">
        <f>IFERROR(AVERAGEIFS(SAISIE!AN:AN,SAISIE!Y:Y,BILAN!B26,SAISIE!B:B,"ELA"),"")</f>
        <v/>
      </c>
      <c r="AS26" s="111" t="n">
        <v>0.95</v>
      </c>
      <c r="AT26" s="223">
        <f>IFERROR(AVERAGEIFS(SAISIE!AW:AW,SAISIE!Y:Y,BILAN!B26,SAISIE!B:B,"ELA"),"")</f>
        <v/>
      </c>
      <c r="AV26" s="220" t="n">
        <v>14</v>
      </c>
      <c r="AW26" s="222">
        <f>IFERROR(AVERAGEIFS(SAISIE!AI:AI,SAISIE!Y:Y,BILAN!B26,SAISIE!B:B,"FILM"),"")</f>
        <v/>
      </c>
      <c r="AX26" s="222">
        <f>IFERROR(AVERAGEIFS(SAISIE!AV:AV,SAISIE!Y:Y,BILAN!B26,SAISIE!B:B,"FILM"),"")</f>
        <v/>
      </c>
      <c r="AY26" s="223" t="n">
        <v>0.95</v>
      </c>
      <c r="AZ26" s="111" t="n"/>
      <c r="BA26" s="220" t="n">
        <v>14</v>
      </c>
      <c r="BB26" s="222">
        <f>IFERROR(AVERAGEIFS(SAISIE!AJ:AJ,SAISIE!Y:Y,BILAN!B26,SAISIE!B:B,"ACIER"),"")</f>
        <v/>
      </c>
      <c r="BC26" s="222" t="n"/>
      <c r="BD26" s="223" t="n">
        <v>0.95</v>
      </c>
      <c r="BE26" s="41" t="n"/>
      <c r="BF26" s="235" t="n">
        <v>14</v>
      </c>
      <c r="BG26" s="222">
        <f>IFERROR(AVERAGEIFS(SAISIE!AK:AK,SAISIE!Y:Y,BILAN!B26,SAISIE!B:B,"ALU"),"")</f>
        <v/>
      </c>
      <c r="BH26" s="222" t="n"/>
      <c r="BI26" s="223" t="n">
        <v>0.95</v>
      </c>
      <c r="BK26" s="220" t="n">
        <v>14</v>
      </c>
      <c r="BL26" s="222">
        <f>IFERROR(AVERAGEIFS(SAISIE!AL:AL,SAISIE!Y:Y,BILAN!B26,SAISIE!B:B,"PETIT ALU"),"")</f>
        <v/>
      </c>
      <c r="BM26" s="222">
        <f>IFERROR(AVERAGEIFS(SAISIE!AK:AK,SAISIE!Y:Y,BILAN!B26,SAISIE!B:B,"PETIT ALU"),"")</f>
        <v/>
      </c>
      <c r="BN26" s="223" t="n">
        <v>0.95</v>
      </c>
      <c r="BP26" s="220" t="n">
        <v>14</v>
      </c>
      <c r="BQ26" s="222">
        <f>IFERROR(AVERAGEIFS(SAISIE!AM:AM,SAISIE!Y:Y,BILAN!B26,SAISIE!B:B,"REFUS"),"")</f>
        <v/>
      </c>
      <c r="BR26" s="222">
        <f>IFERROR(AVERAGEIFS(SAISIE!AU:AU,SAISIE!Y:Y,BILAN!B26,SAISIE!B:B,"REFUS"),"")</f>
        <v/>
      </c>
      <c r="BS26" s="223" t="n">
        <v>0.95</v>
      </c>
      <c r="BU26" s="41" t="n"/>
      <c r="BV26" s="41" t="n"/>
      <c r="BW26" s="41" t="n"/>
      <c r="BX26" s="41" t="n"/>
    </row>
    <row r="27">
      <c r="B27" s="220" t="n">
        <v>15</v>
      </c>
      <c r="C27" s="222">
        <f>IFERROR(AVERAGEIFS(SAISIE!Z:Z,SAISIE!Y:Y,BILAN!B27,SAISIE!B:B,"JRM"),"")</f>
        <v/>
      </c>
      <c r="D27" s="222">
        <f>IFERROR(AVERAGEIFS(SAISIE!AP:AP,SAISIE!Y:Y,BILAN!B27,SAISIE!B:B,"JRM"),"")</f>
        <v/>
      </c>
      <c r="E27" s="223" t="n">
        <v>0.97</v>
      </c>
      <c r="F27" s="111" t="n"/>
      <c r="G27" s="220" t="n">
        <v>15</v>
      </c>
      <c r="H27" s="222">
        <f>IFERROR(AVERAGEIFS(SAISIE!AA:AA,SAISIE!Y:Y,BILAN!B27,SAISIE!B:B,"EMR"),"")</f>
        <v/>
      </c>
      <c r="I27" s="222">
        <f>IFERROR(AVERAGEIFS(SAISIE!AS:AS,SAISIE!Y:Y,BILAN!B27,SAISIE!B:B,"EMR"),"")</f>
        <v/>
      </c>
      <c r="J27" s="223" t="n">
        <v>0.95</v>
      </c>
      <c r="L27" s="220" t="n">
        <v>15</v>
      </c>
      <c r="M27" s="222">
        <f>IFERROR(AVERAGEIFS(SAISIE!AB:AB,SAISIE!Y:Y,BILAN!B27,SAISIE!B:B,"CARTON"),"")</f>
        <v/>
      </c>
      <c r="N27" s="222">
        <f>IFERROR(AVERAGEIFS(SAISIE!AS:AS,SAISIE!Y:Y,BILAN!B27,SAISIE!B:B,"CARTON"),"")</f>
        <v/>
      </c>
      <c r="O27" s="223" t="n">
        <v>0.95</v>
      </c>
      <c r="Q27" s="220" t="n">
        <v>15</v>
      </c>
      <c r="R27" s="222">
        <f>IFERROR(AVERAGEIFS(SAISIE!AC:AC,SAISIE!Y:Y,BILAN!B27,SAISIE!B:B,"GM"),"")</f>
        <v/>
      </c>
      <c r="S27" s="222">
        <f>IFERROR(AVERAGEIFS(SAISIE!AS:AS,SAISIE!Y:Y,BILAN!B27,SAISIE!B:B,"GM"),"")</f>
        <v/>
      </c>
      <c r="T27" s="223" t="n">
        <v>0.98</v>
      </c>
      <c r="V27" s="220" t="n">
        <v>15</v>
      </c>
      <c r="W27" s="222">
        <f>IFERROR(AVERAGEIFS(SAISIE!AD:AD,SAISIE!Y:Y,BILAN!B27,SAISIE!B:B,"PETQ9"),"")</f>
        <v/>
      </c>
      <c r="X27" s="222">
        <f>IFERROR(AVERAGEIFS(SAISIE!AF:AF,SAISIE!Y:Y,BILAN!B27,SAISIE!B:B,"PETQ9"),"")</f>
        <v/>
      </c>
      <c r="Y27" s="223" t="n">
        <v>0.98</v>
      </c>
      <c r="Z27" s="60" t="n"/>
      <c r="AA27" s="220" t="n">
        <v>15</v>
      </c>
      <c r="AB27" s="222">
        <f>IFERROR(AVERAGEIFS(SAISIE!AE:AE,SAISIE!Y:Y,BILAN!B27,SAISIE!B:B,"FLUX DEV"),"")</f>
        <v/>
      </c>
      <c r="AC27" s="222">
        <f>IFERROR(AVERAGEIFS(SAISIE!AD:AD,SAISIE!Y:Y,BILAN!B27,SAISIE!B:B,"FLUX DEV"),"")</f>
        <v/>
      </c>
      <c r="AD27" s="223" t="n">
        <v>0.98</v>
      </c>
      <c r="AF27" s="220" t="n">
        <v>15</v>
      </c>
      <c r="AG27" s="222">
        <f>IFERROR(AVERAGEIFS(SAISIE!AF:AF,SAISIE!Y:Y,BILAN!B27,SAISIE!B:B,"PETB"),"")</f>
        <v/>
      </c>
      <c r="AH27" s="222" t="n"/>
      <c r="AI27" s="223" t="n">
        <v>0.95</v>
      </c>
      <c r="AK27" s="220" t="n">
        <v>15</v>
      </c>
      <c r="AL27" s="222">
        <f>IFERROR(AVERAGEIFS(SAISIE!AG:AG,SAISIE!Y:Y,BILAN!B27,SAISIE!B:B,"PEPP"),"")</f>
        <v/>
      </c>
      <c r="AM27" s="222">
        <f>IFERROR(AVERAGEIFS(SAISIE!AT:AT,SAISIE!Y:Y,BILAN!B27,SAISIE!B:B,"PEPP"),"")</f>
        <v/>
      </c>
      <c r="AN27" s="223" t="n">
        <v>0.95</v>
      </c>
      <c r="AP27" s="220" t="n">
        <v>15</v>
      </c>
      <c r="AQ27" s="222">
        <f>IFERROR(AVERAGEIFS(SAISIE!AH:AH,SAISIE!Y:Y,BILAN!B27,SAISIE!B:B,"ELA"),"")</f>
        <v/>
      </c>
      <c r="AR27" s="222">
        <f>IFERROR(AVERAGEIFS(SAISIE!AN:AN,SAISIE!Y:Y,BILAN!B27,SAISIE!B:B,"ELA"),"")</f>
        <v/>
      </c>
      <c r="AS27" s="111" t="n">
        <v>0.95</v>
      </c>
      <c r="AT27" s="223">
        <f>IFERROR(AVERAGEIFS(SAISIE!AW:AW,SAISIE!Y:Y,BILAN!B27,SAISIE!B:B,"ELA"),"")</f>
        <v/>
      </c>
      <c r="AV27" s="220" t="n">
        <v>15</v>
      </c>
      <c r="AW27" s="222">
        <f>IFERROR(AVERAGEIFS(SAISIE!AI:AI,SAISIE!Y:Y,BILAN!B27,SAISIE!B:B,"FILM"),"")</f>
        <v/>
      </c>
      <c r="AX27" s="222">
        <f>IFERROR(AVERAGEIFS(SAISIE!AV:AV,SAISIE!Y:Y,BILAN!B27,SAISIE!B:B,"FILM"),"")</f>
        <v/>
      </c>
      <c r="AY27" s="223" t="n">
        <v>0.95</v>
      </c>
      <c r="AZ27" s="111" t="n"/>
      <c r="BA27" s="220" t="n">
        <v>15</v>
      </c>
      <c r="BB27" s="222">
        <f>IFERROR(AVERAGEIFS(SAISIE!AJ:AJ,SAISIE!Y:Y,BILAN!B27,SAISIE!B:B,"ACIER"),"")</f>
        <v/>
      </c>
      <c r="BC27" s="222" t="n"/>
      <c r="BD27" s="223" t="n">
        <v>0.95</v>
      </c>
      <c r="BE27" s="41" t="n"/>
      <c r="BF27" s="235" t="n">
        <v>15</v>
      </c>
      <c r="BG27" s="222">
        <f>IFERROR(AVERAGEIFS(SAISIE!AK:AK,SAISIE!Y:Y,BILAN!B27,SAISIE!B:B,"ALU"),"")</f>
        <v/>
      </c>
      <c r="BH27" s="222" t="n"/>
      <c r="BI27" s="223" t="n">
        <v>0.95</v>
      </c>
      <c r="BK27" s="220" t="n">
        <v>15</v>
      </c>
      <c r="BL27" s="222">
        <f>IFERROR(AVERAGEIFS(SAISIE!AL:AL,SAISIE!Y:Y,BILAN!B27,SAISIE!B:B,"PETIT ALU"),"")</f>
        <v/>
      </c>
      <c r="BM27" s="222">
        <f>IFERROR(AVERAGEIFS(SAISIE!AK:AK,SAISIE!Y:Y,BILAN!B27,SAISIE!B:B,"PETIT ALU"),"")</f>
        <v/>
      </c>
      <c r="BN27" s="223" t="n">
        <v>0.95</v>
      </c>
      <c r="BP27" s="220" t="n">
        <v>15</v>
      </c>
      <c r="BQ27" s="222">
        <f>IFERROR(AVERAGEIFS(SAISIE!AM:AM,SAISIE!Y:Y,BILAN!B27,SAISIE!B:B,"REFUS"),"")</f>
        <v/>
      </c>
      <c r="BR27" s="222">
        <f>IFERROR(AVERAGEIFS(SAISIE!AU:AU,SAISIE!Y:Y,BILAN!B27,SAISIE!B:B,"REFUS"),"")</f>
        <v/>
      </c>
      <c r="BS27" s="223" t="n">
        <v>0.95</v>
      </c>
      <c r="BU27" s="41" t="n"/>
      <c r="BV27" s="41" t="n"/>
      <c r="BW27" s="41" t="n"/>
      <c r="BX27" s="41" t="n"/>
    </row>
    <row r="28">
      <c r="B28" s="220" t="n">
        <v>16</v>
      </c>
      <c r="C28" s="222">
        <f>IFERROR(AVERAGEIFS(SAISIE!Z:Z,SAISIE!Y:Y,BILAN!B28,SAISIE!B:B,"JRM"),"")</f>
        <v/>
      </c>
      <c r="D28" s="222">
        <f>IFERROR(AVERAGEIFS(SAISIE!AP:AP,SAISIE!Y:Y,BILAN!B28,SAISIE!B:B,"JRM"),"")</f>
        <v/>
      </c>
      <c r="E28" s="223" t="n">
        <v>0.97</v>
      </c>
      <c r="F28" s="111" t="n"/>
      <c r="G28" s="220" t="n">
        <v>16</v>
      </c>
      <c r="H28" s="222">
        <f>IFERROR(AVERAGEIFS(SAISIE!AA:AA,SAISIE!Y:Y,BILAN!B28,SAISIE!B:B,"EMR"),"")</f>
        <v/>
      </c>
      <c r="I28" s="222">
        <f>IFERROR(AVERAGEIFS(SAISIE!AS:AS,SAISIE!Y:Y,BILAN!B28,SAISIE!B:B,"EMR"),"")</f>
        <v/>
      </c>
      <c r="J28" s="223" t="n">
        <v>0.95</v>
      </c>
      <c r="L28" s="220" t="n">
        <v>16</v>
      </c>
      <c r="M28" s="222">
        <f>IFERROR(AVERAGEIFS(SAISIE!AB:AB,SAISIE!Y:Y,BILAN!B28,SAISIE!B:B,"CARTON"),"")</f>
        <v/>
      </c>
      <c r="N28" s="222">
        <f>IFERROR(AVERAGEIFS(SAISIE!AS:AS,SAISIE!Y:Y,BILAN!B28,SAISIE!B:B,"CARTON"),"")</f>
        <v/>
      </c>
      <c r="O28" s="223" t="n">
        <v>0.95</v>
      </c>
      <c r="Q28" s="220" t="n">
        <v>16</v>
      </c>
      <c r="R28" s="222">
        <f>IFERROR(AVERAGEIFS(SAISIE!AC:AC,SAISIE!Y:Y,BILAN!B28,SAISIE!B:B,"GM"),"")</f>
        <v/>
      </c>
      <c r="S28" s="222">
        <f>IFERROR(AVERAGEIFS(SAISIE!AS:AS,SAISIE!Y:Y,BILAN!B28,SAISIE!B:B,"GM"),"")</f>
        <v/>
      </c>
      <c r="T28" s="223" t="n">
        <v>0.98</v>
      </c>
      <c r="V28" s="220" t="n">
        <v>16</v>
      </c>
      <c r="W28" s="222">
        <f>IFERROR(AVERAGEIFS(SAISIE!AD:AD,SAISIE!Y:Y,BILAN!B28,SAISIE!B:B,"PETQ9"),"")</f>
        <v/>
      </c>
      <c r="X28" s="222">
        <f>IFERROR(AVERAGEIFS(SAISIE!AF:AF,SAISIE!Y:Y,BILAN!B28,SAISIE!B:B,"PETQ9"),"")</f>
        <v/>
      </c>
      <c r="Y28" s="223" t="n">
        <v>0.98</v>
      </c>
      <c r="Z28" s="60" t="n"/>
      <c r="AA28" s="220" t="n">
        <v>16</v>
      </c>
      <c r="AB28" s="222">
        <f>IFERROR(AVERAGEIFS(SAISIE!AE:AE,SAISIE!Y:Y,BILAN!B28,SAISIE!B:B,"FLUX DEV"),"")</f>
        <v/>
      </c>
      <c r="AC28" s="222">
        <f>IFERROR(AVERAGEIFS(SAISIE!AD:AD,SAISIE!Y:Y,BILAN!B28,SAISIE!B:B,"FLUX DEV"),"")</f>
        <v/>
      </c>
      <c r="AD28" s="223" t="n">
        <v>0.98</v>
      </c>
      <c r="AF28" s="220" t="n">
        <v>16</v>
      </c>
      <c r="AG28" s="222">
        <f>IFERROR(AVERAGEIFS(SAISIE!AF:AF,SAISIE!Y:Y,BILAN!B28,SAISIE!B:B,"PETB"),"")</f>
        <v/>
      </c>
      <c r="AH28" s="222" t="n"/>
      <c r="AI28" s="223" t="n">
        <v>0.95</v>
      </c>
      <c r="AK28" s="220" t="n">
        <v>16</v>
      </c>
      <c r="AL28" s="222">
        <f>IFERROR(AVERAGEIFS(SAISIE!AG:AG,SAISIE!Y:Y,BILAN!B28,SAISIE!B:B,"PEPP"),"")</f>
        <v/>
      </c>
      <c r="AM28" s="222">
        <f>IFERROR(AVERAGEIFS(SAISIE!AT:AT,SAISIE!Y:Y,BILAN!B28,SAISIE!B:B,"PEPP"),"")</f>
        <v/>
      </c>
      <c r="AN28" s="223" t="n">
        <v>0.95</v>
      </c>
      <c r="AP28" s="220" t="n">
        <v>16</v>
      </c>
      <c r="AQ28" s="222">
        <f>IFERROR(AVERAGEIFS(SAISIE!AH:AH,SAISIE!Y:Y,BILAN!B28,SAISIE!B:B,"ELA"),"")</f>
        <v/>
      </c>
      <c r="AR28" s="222">
        <f>IFERROR(AVERAGEIFS(SAISIE!AN:AN,SAISIE!Y:Y,BILAN!B28,SAISIE!B:B,"ELA"),"")</f>
        <v/>
      </c>
      <c r="AS28" s="111" t="n">
        <v>0.95</v>
      </c>
      <c r="AT28" s="223">
        <f>IFERROR(AVERAGEIFS(SAISIE!AW:AW,SAISIE!Y:Y,BILAN!B28,SAISIE!B:B,"ELA"),"")</f>
        <v/>
      </c>
      <c r="AV28" s="220" t="n">
        <v>16</v>
      </c>
      <c r="AW28" s="222">
        <f>IFERROR(AVERAGEIFS(SAISIE!AI:AI,SAISIE!Y:Y,BILAN!B28,SAISIE!B:B,"FILM"),"")</f>
        <v/>
      </c>
      <c r="AX28" s="222">
        <f>IFERROR(AVERAGEIFS(SAISIE!AV:AV,SAISIE!Y:Y,BILAN!B28,SAISIE!B:B,"FILM"),"")</f>
        <v/>
      </c>
      <c r="AY28" s="223" t="n">
        <v>0.95</v>
      </c>
      <c r="AZ28" s="111" t="n"/>
      <c r="BA28" s="220" t="n">
        <v>16</v>
      </c>
      <c r="BB28" s="222">
        <f>IFERROR(AVERAGEIFS(SAISIE!AJ:AJ,SAISIE!Y:Y,BILAN!B28,SAISIE!B:B,"ACIER"),"")</f>
        <v/>
      </c>
      <c r="BC28" s="222" t="n"/>
      <c r="BD28" s="223" t="n">
        <v>0.95</v>
      </c>
      <c r="BE28" s="41" t="n"/>
      <c r="BF28" s="235" t="n">
        <v>16</v>
      </c>
      <c r="BG28" s="222">
        <f>IFERROR(AVERAGEIFS(SAISIE!AK:AK,SAISIE!Y:Y,BILAN!B28,SAISIE!B:B,"ALU"),"")</f>
        <v/>
      </c>
      <c r="BH28" s="222" t="n"/>
      <c r="BI28" s="223" t="n">
        <v>0.95</v>
      </c>
      <c r="BK28" s="220" t="n">
        <v>16</v>
      </c>
      <c r="BL28" s="222">
        <f>IFERROR(AVERAGEIFS(SAISIE!AL:AL,SAISIE!Y:Y,BILAN!B28,SAISIE!B:B,"PETIT ALU"),"")</f>
        <v/>
      </c>
      <c r="BM28" s="222">
        <f>IFERROR(AVERAGEIFS(SAISIE!AK:AK,SAISIE!Y:Y,BILAN!B28,SAISIE!B:B,"PETIT ALU"),"")</f>
        <v/>
      </c>
      <c r="BN28" s="223" t="n">
        <v>0.95</v>
      </c>
      <c r="BP28" s="220" t="n">
        <v>16</v>
      </c>
      <c r="BQ28" s="222">
        <f>IFERROR(AVERAGEIFS(SAISIE!AM:AM,SAISIE!Y:Y,BILAN!B28,SAISIE!B:B,"REFUS"),"")</f>
        <v/>
      </c>
      <c r="BR28" s="222">
        <f>IFERROR(AVERAGEIFS(SAISIE!AU:AU,SAISIE!Y:Y,BILAN!B28,SAISIE!B:B,"REFUS"),"")</f>
        <v/>
      </c>
      <c r="BS28" s="223" t="n">
        <v>0.95</v>
      </c>
      <c r="BU28" s="41" t="n"/>
      <c r="BV28" s="41" t="n"/>
      <c r="BW28" s="41" t="n"/>
      <c r="BX28" s="41" t="n"/>
    </row>
    <row r="29">
      <c r="B29" s="220" t="n">
        <v>17</v>
      </c>
      <c r="C29" s="222">
        <f>IFERROR(AVERAGEIFS(SAISIE!Z:Z,SAISIE!Y:Y,BILAN!B29,SAISIE!B:B,"JRM"),"")</f>
        <v/>
      </c>
      <c r="D29" s="222">
        <f>IFERROR(AVERAGEIFS(SAISIE!AP:AP,SAISIE!Y:Y,BILAN!B29,SAISIE!B:B,"JRM"),"")</f>
        <v/>
      </c>
      <c r="E29" s="223" t="n">
        <v>0.97</v>
      </c>
      <c r="F29" s="111" t="n"/>
      <c r="G29" s="220" t="n">
        <v>17</v>
      </c>
      <c r="H29" s="222">
        <f>IFERROR(AVERAGEIFS(SAISIE!AA:AA,SAISIE!Y:Y,BILAN!B29,SAISIE!B:B,"EMR"),"")</f>
        <v/>
      </c>
      <c r="I29" s="222">
        <f>IFERROR(AVERAGEIFS(SAISIE!AS:AS,SAISIE!Y:Y,BILAN!B29,SAISIE!B:B,"EMR"),"")</f>
        <v/>
      </c>
      <c r="J29" s="223" t="n">
        <v>0.95</v>
      </c>
      <c r="L29" s="220" t="n">
        <v>17</v>
      </c>
      <c r="M29" s="222">
        <f>IFERROR(AVERAGEIFS(SAISIE!AB:AB,SAISIE!Y:Y,BILAN!B29,SAISIE!B:B,"CARTON"),"")</f>
        <v/>
      </c>
      <c r="N29" s="222">
        <f>IFERROR(AVERAGEIFS(SAISIE!AS:AS,SAISIE!Y:Y,BILAN!B29,SAISIE!B:B,"CARTON"),"")</f>
        <v/>
      </c>
      <c r="O29" s="223" t="n">
        <v>0.95</v>
      </c>
      <c r="Q29" s="220" t="n">
        <v>17</v>
      </c>
      <c r="R29" s="222">
        <f>IFERROR(AVERAGEIFS(SAISIE!AC:AC,SAISIE!Y:Y,BILAN!B29,SAISIE!B:B,"GM"),"")</f>
        <v/>
      </c>
      <c r="S29" s="222">
        <f>IFERROR(AVERAGEIFS(SAISIE!AS:AS,SAISIE!Y:Y,BILAN!B29,SAISIE!B:B,"GM"),"")</f>
        <v/>
      </c>
      <c r="T29" s="223" t="n">
        <v>0.98</v>
      </c>
      <c r="V29" s="220" t="n">
        <v>17</v>
      </c>
      <c r="W29" s="222">
        <f>IFERROR(AVERAGEIFS(SAISIE!AD:AD,SAISIE!Y:Y,BILAN!B29,SAISIE!B:B,"PETQ9"),"")</f>
        <v/>
      </c>
      <c r="X29" s="222">
        <f>IFERROR(AVERAGEIFS(SAISIE!AF:AF,SAISIE!Y:Y,BILAN!B29,SAISIE!B:B,"PETQ9"),"")</f>
        <v/>
      </c>
      <c r="Y29" s="223" t="n">
        <v>0.98</v>
      </c>
      <c r="Z29" s="60" t="n"/>
      <c r="AA29" s="220" t="n">
        <v>17</v>
      </c>
      <c r="AB29" s="222">
        <f>IFERROR(AVERAGEIFS(SAISIE!AE:AE,SAISIE!Y:Y,BILAN!B29,SAISIE!B:B,"FLUX DEV"),"")</f>
        <v/>
      </c>
      <c r="AC29" s="222">
        <f>IFERROR(AVERAGEIFS(SAISIE!AD:AD,SAISIE!Y:Y,BILAN!B29,SAISIE!B:B,"FLUX DEV"),"")</f>
        <v/>
      </c>
      <c r="AD29" s="223" t="n">
        <v>0.98</v>
      </c>
      <c r="AF29" s="220" t="n">
        <v>17</v>
      </c>
      <c r="AG29" s="222">
        <f>IFERROR(AVERAGEIFS(SAISIE!AF:AF,SAISIE!Y:Y,BILAN!B29,SAISIE!B:B,"PETB"),"")</f>
        <v/>
      </c>
      <c r="AH29" s="222" t="n"/>
      <c r="AI29" s="223" t="n">
        <v>0.95</v>
      </c>
      <c r="AK29" s="220" t="n">
        <v>17</v>
      </c>
      <c r="AL29" s="222">
        <f>IFERROR(AVERAGEIFS(SAISIE!AG:AG,SAISIE!Y:Y,BILAN!B29,SAISIE!B:B,"PEPP"),"")</f>
        <v/>
      </c>
      <c r="AM29" s="222">
        <f>IFERROR(AVERAGEIFS(SAISIE!AT:AT,SAISIE!Y:Y,BILAN!B29,SAISIE!B:B,"PEPP"),"")</f>
        <v/>
      </c>
      <c r="AN29" s="223" t="n">
        <v>0.95</v>
      </c>
      <c r="AP29" s="220" t="n">
        <v>17</v>
      </c>
      <c r="AQ29" s="222">
        <f>IFERROR(AVERAGEIFS(SAISIE!AH:AH,SAISIE!Y:Y,BILAN!B29,SAISIE!B:B,"ELA"),"")</f>
        <v/>
      </c>
      <c r="AR29" s="222">
        <f>IFERROR(AVERAGEIFS(SAISIE!AN:AN,SAISIE!Y:Y,BILAN!B29,SAISIE!B:B,"ELA"),"")</f>
        <v/>
      </c>
      <c r="AS29" s="111" t="n">
        <v>0.95</v>
      </c>
      <c r="AT29" s="223">
        <f>IFERROR(AVERAGEIFS(SAISIE!AW:AW,SAISIE!Y:Y,BILAN!B29,SAISIE!B:B,"ELA"),"")</f>
        <v/>
      </c>
      <c r="AV29" s="220" t="n">
        <v>17</v>
      </c>
      <c r="AW29" s="222">
        <f>IFERROR(AVERAGEIFS(SAISIE!AI:AI,SAISIE!Y:Y,BILAN!B29,SAISIE!B:B,"FILM"),"")</f>
        <v/>
      </c>
      <c r="AX29" s="222">
        <f>IFERROR(AVERAGEIFS(SAISIE!AV:AV,SAISIE!Y:Y,BILAN!B29,SAISIE!B:B,"FILM"),"")</f>
        <v/>
      </c>
      <c r="AY29" s="223" t="n">
        <v>0.95</v>
      </c>
      <c r="AZ29" s="111" t="n"/>
      <c r="BA29" s="220" t="n">
        <v>17</v>
      </c>
      <c r="BB29" s="222">
        <f>IFERROR(AVERAGEIFS(SAISIE!AJ:AJ,SAISIE!Y:Y,BILAN!B29,SAISIE!B:B,"ACIER"),"")</f>
        <v/>
      </c>
      <c r="BC29" s="222" t="n"/>
      <c r="BD29" s="223" t="n">
        <v>0.95</v>
      </c>
      <c r="BE29" s="41" t="n"/>
      <c r="BF29" s="235" t="n">
        <v>17</v>
      </c>
      <c r="BG29" s="222">
        <f>IFERROR(AVERAGEIFS(SAISIE!AK:AK,SAISIE!Y:Y,BILAN!B29,SAISIE!B:B,"ALU"),"")</f>
        <v/>
      </c>
      <c r="BH29" s="222" t="n"/>
      <c r="BI29" s="223" t="n">
        <v>0.95</v>
      </c>
      <c r="BK29" s="220" t="n">
        <v>17</v>
      </c>
      <c r="BL29" s="222">
        <f>IFERROR(AVERAGEIFS(SAISIE!AL:AL,SAISIE!Y:Y,BILAN!B29,SAISIE!B:B,"PETIT ALU"),"")</f>
        <v/>
      </c>
      <c r="BM29" s="222">
        <f>IFERROR(AVERAGEIFS(SAISIE!AK:AK,SAISIE!Y:Y,BILAN!B29,SAISIE!B:B,"PETIT ALU"),"")</f>
        <v/>
      </c>
      <c r="BN29" s="223" t="n">
        <v>0.95</v>
      </c>
      <c r="BP29" s="220" t="n">
        <v>17</v>
      </c>
      <c r="BQ29" s="222">
        <f>IFERROR(AVERAGEIFS(SAISIE!AM:AM,SAISIE!Y:Y,BILAN!B29,SAISIE!B:B,"REFUS"),"")</f>
        <v/>
      </c>
      <c r="BR29" s="222">
        <f>IFERROR(AVERAGEIFS(SAISIE!AU:AU,SAISIE!Y:Y,BILAN!B29,SAISIE!B:B,"REFUS"),"")</f>
        <v/>
      </c>
      <c r="BS29" s="223" t="n">
        <v>0.95</v>
      </c>
      <c r="BU29" s="41" t="n"/>
      <c r="BV29" s="41" t="n"/>
      <c r="BW29" s="41" t="n"/>
      <c r="BX29" s="41" t="n"/>
    </row>
    <row r="30">
      <c r="B30" s="220" t="n">
        <v>18</v>
      </c>
      <c r="C30" s="222">
        <f>IFERROR(AVERAGEIFS(SAISIE!Z:Z,SAISIE!Y:Y,BILAN!B30,SAISIE!B:B,"JRM"),"")</f>
        <v/>
      </c>
      <c r="D30" s="222">
        <f>IFERROR(AVERAGEIFS(SAISIE!AP:AP,SAISIE!Y:Y,BILAN!B30,SAISIE!B:B,"JRM"),"")</f>
        <v/>
      </c>
      <c r="E30" s="223" t="n">
        <v>0.97</v>
      </c>
      <c r="F30" s="111" t="n"/>
      <c r="G30" s="220" t="n">
        <v>18</v>
      </c>
      <c r="H30" s="222">
        <f>IFERROR(AVERAGEIFS(SAISIE!AA:AA,SAISIE!Y:Y,BILAN!B30,SAISIE!B:B,"EMR"),"")</f>
        <v/>
      </c>
      <c r="I30" s="222">
        <f>IFERROR(AVERAGEIFS(SAISIE!AS:AS,SAISIE!Y:Y,BILAN!B30,SAISIE!B:B,"EMR"),"")</f>
        <v/>
      </c>
      <c r="J30" s="223" t="n">
        <v>0.95</v>
      </c>
      <c r="L30" s="220" t="n">
        <v>18</v>
      </c>
      <c r="M30" s="222">
        <f>IFERROR(AVERAGEIFS(SAISIE!AB:AB,SAISIE!Y:Y,BILAN!B30,SAISIE!B:B,"CARTON"),"")</f>
        <v/>
      </c>
      <c r="N30" s="222">
        <f>IFERROR(AVERAGEIFS(SAISIE!AS:AS,SAISIE!Y:Y,BILAN!B30,SAISIE!B:B,"CARTON"),"")</f>
        <v/>
      </c>
      <c r="O30" s="223" t="n">
        <v>0.95</v>
      </c>
      <c r="Q30" s="220" t="n">
        <v>18</v>
      </c>
      <c r="R30" s="222">
        <f>IFERROR(AVERAGEIFS(SAISIE!AC:AC,SAISIE!Y:Y,BILAN!B30,SAISIE!B:B,"GM"),"")</f>
        <v/>
      </c>
      <c r="S30" s="222">
        <f>IFERROR(AVERAGEIFS(SAISIE!AS:AS,SAISIE!Y:Y,BILAN!B30,SAISIE!B:B,"GM"),"")</f>
        <v/>
      </c>
      <c r="T30" s="223" t="n">
        <v>0.98</v>
      </c>
      <c r="V30" s="220" t="n">
        <v>18</v>
      </c>
      <c r="W30" s="222">
        <f>IFERROR(AVERAGEIFS(SAISIE!AD:AD,SAISIE!Y:Y,BILAN!B30,SAISIE!B:B,"PETQ9"),"")</f>
        <v/>
      </c>
      <c r="X30" s="222">
        <f>IFERROR(AVERAGEIFS(SAISIE!AF:AF,SAISIE!Y:Y,BILAN!B30,SAISIE!B:B,"PETQ9"),"")</f>
        <v/>
      </c>
      <c r="Y30" s="223" t="n">
        <v>0.98</v>
      </c>
      <c r="Z30" s="60" t="n"/>
      <c r="AA30" s="220" t="n">
        <v>18</v>
      </c>
      <c r="AB30" s="222">
        <f>IFERROR(AVERAGEIFS(SAISIE!AE:AE,SAISIE!Y:Y,BILAN!B30,SAISIE!B:B,"FLUX DEV"),"")</f>
        <v/>
      </c>
      <c r="AC30" s="222">
        <f>IFERROR(AVERAGEIFS(SAISIE!AD:AD,SAISIE!Y:Y,BILAN!B30,SAISIE!B:B,"FLUX DEV"),"")</f>
        <v/>
      </c>
      <c r="AD30" s="223" t="n">
        <v>0.98</v>
      </c>
      <c r="AF30" s="220" t="n">
        <v>18</v>
      </c>
      <c r="AG30" s="222">
        <f>IFERROR(AVERAGEIFS(SAISIE!AF:AF,SAISIE!Y:Y,BILAN!B30,SAISIE!B:B,"PETB"),"")</f>
        <v/>
      </c>
      <c r="AH30" s="222" t="n"/>
      <c r="AI30" s="223" t="n">
        <v>0.95</v>
      </c>
      <c r="AK30" s="220" t="n">
        <v>18</v>
      </c>
      <c r="AL30" s="222">
        <f>IFERROR(AVERAGEIFS(SAISIE!AG:AG,SAISIE!Y:Y,BILAN!B30,SAISIE!B:B,"PEPP"),"")</f>
        <v/>
      </c>
      <c r="AM30" s="222">
        <f>IFERROR(AVERAGEIFS(SAISIE!AT:AT,SAISIE!Y:Y,BILAN!B30,SAISIE!B:B,"PEPP"),"")</f>
        <v/>
      </c>
      <c r="AN30" s="223" t="n">
        <v>0.95</v>
      </c>
      <c r="AP30" s="220" t="n">
        <v>18</v>
      </c>
      <c r="AQ30" s="222">
        <f>IFERROR(AVERAGEIFS(SAISIE!AH:AH,SAISIE!Y:Y,BILAN!B30,SAISIE!B:B,"ELA"),"")</f>
        <v/>
      </c>
      <c r="AR30" s="222">
        <f>IFERROR(AVERAGEIFS(SAISIE!AN:AN,SAISIE!Y:Y,BILAN!B30,SAISIE!B:B,"ELA"),"")</f>
        <v/>
      </c>
      <c r="AS30" s="111" t="n">
        <v>0.95</v>
      </c>
      <c r="AT30" s="223">
        <f>IFERROR(AVERAGEIFS(SAISIE!AW:AW,SAISIE!Y:Y,BILAN!B30,SAISIE!B:B,"ELA"),"")</f>
        <v/>
      </c>
      <c r="AV30" s="220" t="n">
        <v>18</v>
      </c>
      <c r="AW30" s="222">
        <f>IFERROR(AVERAGEIFS(SAISIE!AI:AI,SAISIE!Y:Y,BILAN!B30,SAISIE!B:B,"FILM"),"")</f>
        <v/>
      </c>
      <c r="AX30" s="222">
        <f>IFERROR(AVERAGEIFS(SAISIE!AV:AV,SAISIE!Y:Y,BILAN!B30,SAISIE!B:B,"FILM"),"")</f>
        <v/>
      </c>
      <c r="AY30" s="223" t="n">
        <v>0.95</v>
      </c>
      <c r="AZ30" s="111" t="n"/>
      <c r="BA30" s="220" t="n">
        <v>18</v>
      </c>
      <c r="BB30" s="222">
        <f>IFERROR(AVERAGEIFS(SAISIE!AJ:AJ,SAISIE!Y:Y,BILAN!B30,SAISIE!B:B,"ACIER"),"")</f>
        <v/>
      </c>
      <c r="BC30" s="222" t="n"/>
      <c r="BD30" s="223" t="n">
        <v>0.95</v>
      </c>
      <c r="BE30" s="41" t="n"/>
      <c r="BF30" s="235" t="n">
        <v>18</v>
      </c>
      <c r="BG30" s="222">
        <f>IFERROR(AVERAGEIFS(SAISIE!AK:AK,SAISIE!Y:Y,BILAN!B30,SAISIE!B:B,"ALU"),"")</f>
        <v/>
      </c>
      <c r="BH30" s="222" t="n"/>
      <c r="BI30" s="223" t="n">
        <v>0.95</v>
      </c>
      <c r="BK30" s="220" t="n">
        <v>18</v>
      </c>
      <c r="BL30" s="222">
        <f>IFERROR(AVERAGEIFS(SAISIE!AL:AL,SAISIE!Y:Y,BILAN!B30,SAISIE!B:B,"PETIT ALU"),"")</f>
        <v/>
      </c>
      <c r="BM30" s="222">
        <f>IFERROR(AVERAGEIFS(SAISIE!AK:AK,SAISIE!Y:Y,BILAN!B30,SAISIE!B:B,"PETIT ALU"),"")</f>
        <v/>
      </c>
      <c r="BN30" s="223" t="n">
        <v>0.95</v>
      </c>
      <c r="BP30" s="220" t="n">
        <v>18</v>
      </c>
      <c r="BQ30" s="222">
        <f>IFERROR(AVERAGEIFS(SAISIE!AM:AM,SAISIE!Y:Y,BILAN!B30,SAISIE!B:B,"REFUS"),"")</f>
        <v/>
      </c>
      <c r="BR30" s="222">
        <f>IFERROR(AVERAGEIFS(SAISIE!AU:AU,SAISIE!Y:Y,BILAN!B30,SAISIE!B:B,"REFUS"),"")</f>
        <v/>
      </c>
      <c r="BS30" s="223" t="n">
        <v>0.95</v>
      </c>
      <c r="BU30" s="41" t="n"/>
      <c r="BV30" s="41" t="n"/>
      <c r="BW30" s="41" t="n"/>
      <c r="BX30" s="41" t="n"/>
    </row>
    <row r="31">
      <c r="B31" s="220" t="n">
        <v>19</v>
      </c>
      <c r="C31" s="222">
        <f>IFERROR(AVERAGEIFS(SAISIE!Z:Z,SAISIE!Y:Y,BILAN!B31,SAISIE!B:B,"JRM"),"")</f>
        <v/>
      </c>
      <c r="D31" s="222">
        <f>IFERROR(AVERAGEIFS(SAISIE!AP:AP,SAISIE!Y:Y,BILAN!B31,SAISIE!B:B,"JRM"),"")</f>
        <v/>
      </c>
      <c r="E31" s="223" t="n">
        <v>0.97</v>
      </c>
      <c r="F31" s="111" t="n"/>
      <c r="G31" s="220" t="n">
        <v>19</v>
      </c>
      <c r="H31" s="222">
        <f>IFERROR(AVERAGEIFS(SAISIE!AA:AA,SAISIE!Y:Y,BILAN!B31,SAISIE!B:B,"EMR"),"")</f>
        <v/>
      </c>
      <c r="I31" s="222">
        <f>IFERROR(AVERAGEIFS(SAISIE!AS:AS,SAISIE!Y:Y,BILAN!B31,SAISIE!B:B,"EMR"),"")</f>
        <v/>
      </c>
      <c r="J31" s="223" t="n">
        <v>0.95</v>
      </c>
      <c r="L31" s="220" t="n">
        <v>19</v>
      </c>
      <c r="M31" s="222">
        <f>IFERROR(AVERAGEIFS(SAISIE!AB:AB,SAISIE!Y:Y,BILAN!B31,SAISIE!B:B,"CARTON"),"")</f>
        <v/>
      </c>
      <c r="N31" s="222">
        <f>IFERROR(AVERAGEIFS(SAISIE!AS:AS,SAISIE!Y:Y,BILAN!B31,SAISIE!B:B,"CARTON"),"")</f>
        <v/>
      </c>
      <c r="O31" s="223" t="n">
        <v>0.95</v>
      </c>
      <c r="Q31" s="220" t="n">
        <v>19</v>
      </c>
      <c r="R31" s="222">
        <f>IFERROR(AVERAGEIFS(SAISIE!AC:AC,SAISIE!Y:Y,BILAN!B31,SAISIE!B:B,"GM"),"")</f>
        <v/>
      </c>
      <c r="S31" s="222">
        <f>IFERROR(AVERAGEIFS(SAISIE!AS:AS,SAISIE!Y:Y,BILAN!B31,SAISIE!B:B,"GM"),"")</f>
        <v/>
      </c>
      <c r="T31" s="223" t="n">
        <v>0.98</v>
      </c>
      <c r="V31" s="220" t="n">
        <v>19</v>
      </c>
      <c r="W31" s="222">
        <f>IFERROR(AVERAGEIFS(SAISIE!AD:AD,SAISIE!Y:Y,BILAN!B31,SAISIE!B:B,"PETQ9"),"")</f>
        <v/>
      </c>
      <c r="X31" s="222">
        <f>IFERROR(AVERAGEIFS(SAISIE!AF:AF,SAISIE!Y:Y,BILAN!B31,SAISIE!B:B,"PETQ9"),"")</f>
        <v/>
      </c>
      <c r="Y31" s="223" t="n">
        <v>0.98</v>
      </c>
      <c r="Z31" s="60" t="n"/>
      <c r="AA31" s="220" t="n">
        <v>19</v>
      </c>
      <c r="AB31" s="222">
        <f>IFERROR(AVERAGEIFS(SAISIE!AE:AE,SAISIE!Y:Y,BILAN!B31,SAISIE!B:B,"FLUX DEV"),"")</f>
        <v/>
      </c>
      <c r="AC31" s="222">
        <f>IFERROR(AVERAGEIFS(SAISIE!AD:AD,SAISIE!Y:Y,BILAN!B31,SAISIE!B:B,"FLUX DEV"),"")</f>
        <v/>
      </c>
      <c r="AD31" s="223" t="n">
        <v>0.98</v>
      </c>
      <c r="AF31" s="220" t="n">
        <v>19</v>
      </c>
      <c r="AG31" s="222">
        <f>IFERROR(AVERAGEIFS(SAISIE!AF:AF,SAISIE!Y:Y,BILAN!B31,SAISIE!B:B,"PETB"),"")</f>
        <v/>
      </c>
      <c r="AH31" s="222" t="n"/>
      <c r="AI31" s="223" t="n">
        <v>0.95</v>
      </c>
      <c r="AK31" s="220" t="n">
        <v>19</v>
      </c>
      <c r="AL31" s="222">
        <f>IFERROR(AVERAGEIFS(SAISIE!AG:AG,SAISIE!Y:Y,BILAN!B31,SAISIE!B:B,"PEPP"),"")</f>
        <v/>
      </c>
      <c r="AM31" s="222">
        <f>IFERROR(AVERAGEIFS(SAISIE!AT:AT,SAISIE!Y:Y,BILAN!B31,SAISIE!B:B,"PEPP"),"")</f>
        <v/>
      </c>
      <c r="AN31" s="223" t="n">
        <v>0.95</v>
      </c>
      <c r="AP31" s="220" t="n">
        <v>19</v>
      </c>
      <c r="AQ31" s="222">
        <f>IFERROR(AVERAGEIFS(SAISIE!AH:AH,SAISIE!Y:Y,BILAN!B31,SAISIE!B:B,"ELA"),"")</f>
        <v/>
      </c>
      <c r="AR31" s="222">
        <f>IFERROR(AVERAGEIFS(SAISIE!AN:AN,SAISIE!Y:Y,BILAN!B31,SAISIE!B:B,"ELA"),"")</f>
        <v/>
      </c>
      <c r="AS31" s="111" t="n">
        <v>0.95</v>
      </c>
      <c r="AT31" s="223">
        <f>IFERROR(AVERAGEIFS(SAISIE!AW:AW,SAISIE!Y:Y,BILAN!B31,SAISIE!B:B,"ELA"),"")</f>
        <v/>
      </c>
      <c r="AV31" s="220" t="n">
        <v>19</v>
      </c>
      <c r="AW31" s="222">
        <f>IFERROR(AVERAGEIFS(SAISIE!AI:AI,SAISIE!Y:Y,BILAN!B31,SAISIE!B:B,"FILM"),"")</f>
        <v/>
      </c>
      <c r="AX31" s="222">
        <f>IFERROR(AVERAGEIFS(SAISIE!AV:AV,SAISIE!Y:Y,BILAN!B31,SAISIE!B:B,"FILM"),"")</f>
        <v/>
      </c>
      <c r="AY31" s="223" t="n">
        <v>0.95</v>
      </c>
      <c r="AZ31" s="111" t="n"/>
      <c r="BA31" s="220" t="n">
        <v>19</v>
      </c>
      <c r="BB31" s="222">
        <f>IFERROR(AVERAGEIFS(SAISIE!AJ:AJ,SAISIE!Y:Y,BILAN!B31,SAISIE!B:B,"ACIER"),"")</f>
        <v/>
      </c>
      <c r="BC31" s="222" t="n"/>
      <c r="BD31" s="223" t="n">
        <v>0.95</v>
      </c>
      <c r="BE31" s="41" t="n"/>
      <c r="BF31" s="235" t="n">
        <v>19</v>
      </c>
      <c r="BG31" s="222">
        <f>IFERROR(AVERAGEIFS(SAISIE!AK:AK,SAISIE!Y:Y,BILAN!B31,SAISIE!B:B,"ALU"),"")</f>
        <v/>
      </c>
      <c r="BH31" s="222" t="n"/>
      <c r="BI31" s="223" t="n">
        <v>0.95</v>
      </c>
      <c r="BK31" s="220" t="n">
        <v>19</v>
      </c>
      <c r="BL31" s="222">
        <f>IFERROR(AVERAGEIFS(SAISIE!AL:AL,SAISIE!Y:Y,BILAN!B31,SAISIE!B:B,"PETIT ALU"),"")</f>
        <v/>
      </c>
      <c r="BM31" s="222">
        <f>IFERROR(AVERAGEIFS(SAISIE!AK:AK,SAISIE!Y:Y,BILAN!B31,SAISIE!B:B,"PETIT ALU"),"")</f>
        <v/>
      </c>
      <c r="BN31" s="223" t="n">
        <v>0.95</v>
      </c>
      <c r="BP31" s="220" t="n">
        <v>19</v>
      </c>
      <c r="BQ31" s="222">
        <f>IFERROR(AVERAGEIFS(SAISIE!AM:AM,SAISIE!Y:Y,BILAN!B31,SAISIE!B:B,"REFUS"),"")</f>
        <v/>
      </c>
      <c r="BR31" s="222">
        <f>IFERROR(AVERAGEIFS(SAISIE!AU:AU,SAISIE!Y:Y,BILAN!B31,SAISIE!B:B,"REFUS"),"")</f>
        <v/>
      </c>
      <c r="BS31" s="223" t="n">
        <v>0.95</v>
      </c>
      <c r="BU31" s="41" t="n"/>
      <c r="BV31" s="41" t="n"/>
      <c r="BW31" s="41" t="n"/>
      <c r="BX31" s="41" t="n"/>
    </row>
    <row r="32">
      <c r="B32" s="220" t="n">
        <v>20</v>
      </c>
      <c r="C32" s="222">
        <f>IFERROR(AVERAGEIFS(SAISIE!Z:Z,SAISIE!Y:Y,BILAN!B32,SAISIE!B:B,"JRM"),"")</f>
        <v/>
      </c>
      <c r="D32" s="222">
        <f>IFERROR(AVERAGEIFS(SAISIE!AP:AP,SAISIE!Y:Y,BILAN!B32,SAISIE!B:B,"JRM"),"")</f>
        <v/>
      </c>
      <c r="E32" s="223" t="n">
        <v>0.97</v>
      </c>
      <c r="F32" s="111" t="n"/>
      <c r="G32" s="220" t="n">
        <v>20</v>
      </c>
      <c r="H32" s="222">
        <f>IFERROR(AVERAGEIFS(SAISIE!AA:AA,SAISIE!Y:Y,BILAN!B32,SAISIE!B:B,"EMR"),"")</f>
        <v/>
      </c>
      <c r="I32" s="222">
        <f>IFERROR(AVERAGEIFS(SAISIE!AS:AS,SAISIE!Y:Y,BILAN!B32,SAISIE!B:B,"EMR"),"")</f>
        <v/>
      </c>
      <c r="J32" s="223" t="n">
        <v>0.95</v>
      </c>
      <c r="L32" s="220" t="n">
        <v>20</v>
      </c>
      <c r="M32" s="222">
        <f>IFERROR(AVERAGEIFS(SAISIE!AB:AB,SAISIE!Y:Y,BILAN!B32,SAISIE!B:B,"CARTON"),"")</f>
        <v/>
      </c>
      <c r="N32" s="222">
        <f>IFERROR(AVERAGEIFS(SAISIE!AS:AS,SAISIE!Y:Y,BILAN!B32,SAISIE!B:B,"CARTON"),"")</f>
        <v/>
      </c>
      <c r="O32" s="223" t="n">
        <v>0.95</v>
      </c>
      <c r="Q32" s="220" t="n">
        <v>20</v>
      </c>
      <c r="R32" s="222">
        <f>IFERROR(AVERAGEIFS(SAISIE!AC:AC,SAISIE!Y:Y,BILAN!B32,SAISIE!B:B,"GM"),"")</f>
        <v/>
      </c>
      <c r="S32" s="222">
        <f>IFERROR(AVERAGEIFS(SAISIE!AS:AS,SAISIE!Y:Y,BILAN!B32,SAISIE!B:B,"GM"),"")</f>
        <v/>
      </c>
      <c r="T32" s="223" t="n">
        <v>0.98</v>
      </c>
      <c r="V32" s="220" t="n">
        <v>20</v>
      </c>
      <c r="W32" s="222">
        <f>IFERROR(AVERAGEIFS(SAISIE!AD:AD,SAISIE!Y:Y,BILAN!B32,SAISIE!B:B,"PETQ9"),"")</f>
        <v/>
      </c>
      <c r="X32" s="222">
        <f>IFERROR(AVERAGEIFS(SAISIE!AF:AF,SAISIE!Y:Y,BILAN!B32,SAISIE!B:B,"PETQ9"),"")</f>
        <v/>
      </c>
      <c r="Y32" s="223" t="n">
        <v>0.98</v>
      </c>
      <c r="Z32" s="60" t="n"/>
      <c r="AA32" s="220" t="n">
        <v>20</v>
      </c>
      <c r="AB32" s="222">
        <f>IFERROR(AVERAGEIFS(SAISIE!AE:AE,SAISIE!Y:Y,BILAN!B32,SAISIE!B:B,"FLUX DEV"),"")</f>
        <v/>
      </c>
      <c r="AC32" s="222">
        <f>IFERROR(AVERAGEIFS(SAISIE!AD:AD,SAISIE!Y:Y,BILAN!B32,SAISIE!B:B,"FLUX DEV"),"")</f>
        <v/>
      </c>
      <c r="AD32" s="223" t="n">
        <v>0.98</v>
      </c>
      <c r="AF32" s="220" t="n">
        <v>20</v>
      </c>
      <c r="AG32" s="222">
        <f>IFERROR(AVERAGEIFS(SAISIE!AF:AF,SAISIE!Y:Y,BILAN!B32,SAISIE!B:B,"PETB"),"")</f>
        <v/>
      </c>
      <c r="AH32" s="222" t="n"/>
      <c r="AI32" s="223" t="n">
        <v>0.95</v>
      </c>
      <c r="AK32" s="220" t="n">
        <v>20</v>
      </c>
      <c r="AL32" s="222">
        <f>IFERROR(AVERAGEIFS(SAISIE!AG:AG,SAISIE!Y:Y,BILAN!B32,SAISIE!B:B,"PEPP"),"")</f>
        <v/>
      </c>
      <c r="AM32" s="222">
        <f>IFERROR(AVERAGEIFS(SAISIE!AT:AT,SAISIE!Y:Y,BILAN!B32,SAISIE!B:B,"PEPP"),"")</f>
        <v/>
      </c>
      <c r="AN32" s="223" t="n">
        <v>0.95</v>
      </c>
      <c r="AP32" s="220" t="n">
        <v>20</v>
      </c>
      <c r="AQ32" s="222">
        <f>IFERROR(AVERAGEIFS(SAISIE!AH:AH,SAISIE!Y:Y,BILAN!B32,SAISIE!B:B,"ELA"),"")</f>
        <v/>
      </c>
      <c r="AR32" s="222">
        <f>IFERROR(AVERAGEIFS(SAISIE!AN:AN,SAISIE!Y:Y,BILAN!B32,SAISIE!B:B,"ELA"),"")</f>
        <v/>
      </c>
      <c r="AS32" s="111" t="n">
        <v>0.95</v>
      </c>
      <c r="AT32" s="223">
        <f>IFERROR(AVERAGEIFS(SAISIE!AW:AW,SAISIE!Y:Y,BILAN!B32,SAISIE!B:B,"ELA"),"")</f>
        <v/>
      </c>
      <c r="AV32" s="220" t="n">
        <v>20</v>
      </c>
      <c r="AW32" s="222">
        <f>IFERROR(AVERAGEIFS(SAISIE!AI:AI,SAISIE!Y:Y,BILAN!B32,SAISIE!B:B,"FILM"),"")</f>
        <v/>
      </c>
      <c r="AX32" s="222">
        <f>IFERROR(AVERAGEIFS(SAISIE!AV:AV,SAISIE!Y:Y,BILAN!B32,SAISIE!B:B,"FILM"),"")</f>
        <v/>
      </c>
      <c r="AY32" s="223" t="n">
        <v>0.95</v>
      </c>
      <c r="AZ32" s="111" t="n"/>
      <c r="BA32" s="220" t="n">
        <v>20</v>
      </c>
      <c r="BB32" s="222">
        <f>IFERROR(AVERAGEIFS(SAISIE!AJ:AJ,SAISIE!Y:Y,BILAN!B32,SAISIE!B:B,"ACIER"),"")</f>
        <v/>
      </c>
      <c r="BC32" s="222" t="n"/>
      <c r="BD32" s="223" t="n">
        <v>0.95</v>
      </c>
      <c r="BE32" s="41" t="n"/>
      <c r="BF32" s="235" t="n">
        <v>20</v>
      </c>
      <c r="BG32" s="222">
        <f>IFERROR(AVERAGEIFS(SAISIE!AK:AK,SAISIE!Y:Y,BILAN!B32,SAISIE!B:B,"ALU"),"")</f>
        <v/>
      </c>
      <c r="BH32" s="222" t="n"/>
      <c r="BI32" s="223" t="n">
        <v>0.95</v>
      </c>
      <c r="BK32" s="220" t="n">
        <v>20</v>
      </c>
      <c r="BL32" s="222">
        <f>IFERROR(AVERAGEIFS(SAISIE!AL:AL,SAISIE!Y:Y,BILAN!B32,SAISIE!B:B,"PETIT ALU"),"")</f>
        <v/>
      </c>
      <c r="BM32" s="222">
        <f>IFERROR(AVERAGEIFS(SAISIE!AK:AK,SAISIE!Y:Y,BILAN!B32,SAISIE!B:B,"PETIT ALU"),"")</f>
        <v/>
      </c>
      <c r="BN32" s="223" t="n">
        <v>0.95</v>
      </c>
      <c r="BP32" s="220" t="n">
        <v>20</v>
      </c>
      <c r="BQ32" s="222">
        <f>IFERROR(AVERAGEIFS(SAISIE!AM:AM,SAISIE!Y:Y,BILAN!B32,SAISIE!B:B,"REFUS"),"")</f>
        <v/>
      </c>
      <c r="BR32" s="222">
        <f>IFERROR(AVERAGEIFS(SAISIE!AU:AU,SAISIE!Y:Y,BILAN!B32,SAISIE!B:B,"REFUS"),"")</f>
        <v/>
      </c>
      <c r="BS32" s="223" t="n">
        <v>0.95</v>
      </c>
      <c r="BU32" s="41" t="n"/>
      <c r="BV32" s="41" t="n"/>
      <c r="BW32" s="41" t="n"/>
      <c r="BX32" s="41" t="n"/>
    </row>
    <row r="33">
      <c r="B33" s="220" t="n">
        <v>21</v>
      </c>
      <c r="C33" s="222">
        <f>IFERROR(AVERAGEIFS(SAISIE!Z:Z,SAISIE!Y:Y,BILAN!B33,SAISIE!B:B,"JRM"),"")</f>
        <v/>
      </c>
      <c r="D33" s="222">
        <f>IFERROR(AVERAGEIFS(SAISIE!AP:AP,SAISIE!Y:Y,BILAN!B33,SAISIE!B:B,"JRM"),"")</f>
        <v/>
      </c>
      <c r="E33" s="223" t="n">
        <v>0.97</v>
      </c>
      <c r="F33" s="111" t="n"/>
      <c r="G33" s="220" t="n">
        <v>21</v>
      </c>
      <c r="H33" s="222">
        <f>IFERROR(AVERAGEIFS(SAISIE!AA:AA,SAISIE!Y:Y,BILAN!B33,SAISIE!B:B,"EMR"),"")</f>
        <v/>
      </c>
      <c r="I33" s="222">
        <f>IFERROR(AVERAGEIFS(SAISIE!AS:AS,SAISIE!Y:Y,BILAN!B33,SAISIE!B:B,"EMR"),"")</f>
        <v/>
      </c>
      <c r="J33" s="223" t="n">
        <v>0.95</v>
      </c>
      <c r="L33" s="220" t="n">
        <v>21</v>
      </c>
      <c r="M33" s="222">
        <f>IFERROR(AVERAGEIFS(SAISIE!AB:AB,SAISIE!Y:Y,BILAN!B33,SAISIE!B:B,"CARTON"),"")</f>
        <v/>
      </c>
      <c r="N33" s="222">
        <f>IFERROR(AVERAGEIFS(SAISIE!AS:AS,SAISIE!Y:Y,BILAN!B33,SAISIE!B:B,"CARTON"),"")</f>
        <v/>
      </c>
      <c r="O33" s="223" t="n">
        <v>0.95</v>
      </c>
      <c r="Q33" s="220" t="n">
        <v>21</v>
      </c>
      <c r="R33" s="222">
        <f>IFERROR(AVERAGEIFS(SAISIE!AC:AC,SAISIE!Y:Y,BILAN!B33,SAISIE!B:B,"GM"),"")</f>
        <v/>
      </c>
      <c r="S33" s="222">
        <f>IFERROR(AVERAGEIFS(SAISIE!AS:AS,SAISIE!Y:Y,BILAN!B33,SAISIE!B:B,"GM"),"")</f>
        <v/>
      </c>
      <c r="T33" s="223" t="n">
        <v>0.98</v>
      </c>
      <c r="V33" s="220" t="n">
        <v>21</v>
      </c>
      <c r="W33" s="222">
        <f>IFERROR(AVERAGEIFS(SAISIE!AD:AD,SAISIE!Y:Y,BILAN!B33,SAISIE!B:B,"PETQ9"),"")</f>
        <v/>
      </c>
      <c r="X33" s="222">
        <f>IFERROR(AVERAGEIFS(SAISIE!AF:AF,SAISIE!Y:Y,BILAN!B33,SAISIE!B:B,"PETQ9"),"")</f>
        <v/>
      </c>
      <c r="Y33" s="223" t="n">
        <v>0.98</v>
      </c>
      <c r="Z33" s="60" t="n"/>
      <c r="AA33" s="220" t="n">
        <v>21</v>
      </c>
      <c r="AB33" s="222">
        <f>IFERROR(AVERAGEIFS(SAISIE!AE:AE,SAISIE!Y:Y,BILAN!B33,SAISIE!B:B,"FLUX DEV"),"")</f>
        <v/>
      </c>
      <c r="AC33" s="222">
        <f>IFERROR(AVERAGEIFS(SAISIE!AD:AD,SAISIE!Y:Y,BILAN!B33,SAISIE!B:B,"FLUX DEV"),"")</f>
        <v/>
      </c>
      <c r="AD33" s="223" t="n">
        <v>0.98</v>
      </c>
      <c r="AF33" s="220" t="n">
        <v>21</v>
      </c>
      <c r="AG33" s="222">
        <f>IFERROR(AVERAGEIFS(SAISIE!AF:AF,SAISIE!Y:Y,BILAN!B33,SAISIE!B:B,"PETB"),"")</f>
        <v/>
      </c>
      <c r="AH33" s="222" t="n"/>
      <c r="AI33" s="223" t="n">
        <v>0.95</v>
      </c>
      <c r="AK33" s="220" t="n">
        <v>21</v>
      </c>
      <c r="AL33" s="222">
        <f>IFERROR(AVERAGEIFS(SAISIE!AG:AG,SAISIE!Y:Y,BILAN!B33,SAISIE!B:B,"PEPP"),"")</f>
        <v/>
      </c>
      <c r="AM33" s="222">
        <f>IFERROR(AVERAGEIFS(SAISIE!AT:AT,SAISIE!Y:Y,BILAN!B33,SAISIE!B:B,"PEPP"),"")</f>
        <v/>
      </c>
      <c r="AN33" s="223" t="n">
        <v>0.95</v>
      </c>
      <c r="AP33" s="220" t="n">
        <v>21</v>
      </c>
      <c r="AQ33" s="222">
        <f>IFERROR(AVERAGEIFS(SAISIE!AH:AH,SAISIE!Y:Y,BILAN!B33,SAISIE!B:B,"ELA"),"")</f>
        <v/>
      </c>
      <c r="AR33" s="222">
        <f>IFERROR(AVERAGEIFS(SAISIE!AN:AN,SAISIE!Y:Y,BILAN!B33,SAISIE!B:B,"ELA"),"")</f>
        <v/>
      </c>
      <c r="AS33" s="111" t="n">
        <v>0.95</v>
      </c>
      <c r="AT33" s="223">
        <f>IFERROR(AVERAGEIFS(SAISIE!AW:AW,SAISIE!Y:Y,BILAN!B33,SAISIE!B:B,"ELA"),"")</f>
        <v/>
      </c>
      <c r="AV33" s="220" t="n">
        <v>21</v>
      </c>
      <c r="AW33" s="222">
        <f>IFERROR(AVERAGEIFS(SAISIE!AI:AI,SAISIE!Y:Y,BILAN!B33,SAISIE!B:B,"FILM"),"")</f>
        <v/>
      </c>
      <c r="AX33" s="222">
        <f>IFERROR(AVERAGEIFS(SAISIE!AV:AV,SAISIE!Y:Y,BILAN!B33,SAISIE!B:B,"FILM"),"")</f>
        <v/>
      </c>
      <c r="AY33" s="223" t="n">
        <v>0.95</v>
      </c>
      <c r="AZ33" s="111" t="n"/>
      <c r="BA33" s="220" t="n">
        <v>21</v>
      </c>
      <c r="BB33" s="222">
        <f>IFERROR(AVERAGEIFS(SAISIE!AJ:AJ,SAISIE!Y:Y,BILAN!B33,SAISIE!B:B,"ACIER"),"")</f>
        <v/>
      </c>
      <c r="BC33" s="222" t="n"/>
      <c r="BD33" s="223" t="n">
        <v>0.95</v>
      </c>
      <c r="BE33" s="41" t="n"/>
      <c r="BF33" s="235" t="n">
        <v>21</v>
      </c>
      <c r="BG33" s="222">
        <f>IFERROR(AVERAGEIFS(SAISIE!AK:AK,SAISIE!Y:Y,BILAN!B33,SAISIE!B:B,"ALU"),"")</f>
        <v/>
      </c>
      <c r="BH33" s="222" t="n"/>
      <c r="BI33" s="223" t="n">
        <v>0.95</v>
      </c>
      <c r="BK33" s="220" t="n">
        <v>21</v>
      </c>
      <c r="BL33" s="222">
        <f>IFERROR(AVERAGEIFS(SAISIE!AL:AL,SAISIE!Y:Y,BILAN!B33,SAISIE!B:B,"PETIT ALU"),"")</f>
        <v/>
      </c>
      <c r="BM33" s="222">
        <f>IFERROR(AVERAGEIFS(SAISIE!AK:AK,SAISIE!Y:Y,BILAN!B33,SAISIE!B:B,"PETIT ALU"),"")</f>
        <v/>
      </c>
      <c r="BN33" s="223" t="n">
        <v>0.95</v>
      </c>
      <c r="BP33" s="220" t="n">
        <v>21</v>
      </c>
      <c r="BQ33" s="222">
        <f>IFERROR(AVERAGEIFS(SAISIE!AM:AM,SAISIE!Y:Y,BILAN!B33,SAISIE!B:B,"REFUS"),"")</f>
        <v/>
      </c>
      <c r="BR33" s="222">
        <f>IFERROR(AVERAGEIFS(SAISIE!AU:AU,SAISIE!Y:Y,BILAN!B33,SAISIE!B:B,"REFUS"),"")</f>
        <v/>
      </c>
      <c r="BS33" s="223" t="n">
        <v>0.95</v>
      </c>
      <c r="BU33" s="41" t="n"/>
      <c r="BV33" s="41" t="n"/>
      <c r="BW33" s="41" t="n"/>
      <c r="BX33" s="41" t="n"/>
    </row>
    <row r="34">
      <c r="B34" s="220" t="n">
        <v>22</v>
      </c>
      <c r="C34" s="222">
        <f>IFERROR(AVERAGEIFS(SAISIE!Z:Z,SAISIE!Y:Y,BILAN!B34,SAISIE!B:B,"JRM"),"")</f>
        <v/>
      </c>
      <c r="D34" s="222">
        <f>IFERROR(AVERAGEIFS(SAISIE!AP:AP,SAISIE!Y:Y,BILAN!B34,SAISIE!B:B,"JRM"),"")</f>
        <v/>
      </c>
      <c r="E34" s="223" t="n">
        <v>0.97</v>
      </c>
      <c r="F34" s="111" t="n"/>
      <c r="G34" s="220" t="n">
        <v>22</v>
      </c>
      <c r="H34" s="222">
        <f>IFERROR(AVERAGEIFS(SAISIE!AA:AA,SAISIE!Y:Y,BILAN!B34,SAISIE!B:B,"EMR"),"")</f>
        <v/>
      </c>
      <c r="I34" s="222">
        <f>IFERROR(AVERAGEIFS(SAISIE!AS:AS,SAISIE!Y:Y,BILAN!B34,SAISIE!B:B,"EMR"),"")</f>
        <v/>
      </c>
      <c r="J34" s="223" t="n">
        <v>0.95</v>
      </c>
      <c r="L34" s="220" t="n">
        <v>22</v>
      </c>
      <c r="M34" s="222">
        <f>IFERROR(AVERAGEIFS(SAISIE!AB:AB,SAISIE!Y:Y,BILAN!B34,SAISIE!B:B,"CARTON"),"")</f>
        <v/>
      </c>
      <c r="N34" s="222">
        <f>IFERROR(AVERAGEIFS(SAISIE!AS:AS,SAISIE!Y:Y,BILAN!B34,SAISIE!B:B,"CARTON"),"")</f>
        <v/>
      </c>
      <c r="O34" s="223" t="n">
        <v>0.95</v>
      </c>
      <c r="Q34" s="220" t="n">
        <v>22</v>
      </c>
      <c r="R34" s="222">
        <f>IFERROR(AVERAGEIFS(SAISIE!AC:AC,SAISIE!Y:Y,BILAN!B34,SAISIE!B:B,"GM"),"")</f>
        <v/>
      </c>
      <c r="S34" s="222">
        <f>IFERROR(AVERAGEIFS(SAISIE!AS:AS,SAISIE!Y:Y,BILAN!B34,SAISIE!B:B,"GM"),"")</f>
        <v/>
      </c>
      <c r="T34" s="223" t="n">
        <v>0.98</v>
      </c>
      <c r="V34" s="220" t="n">
        <v>22</v>
      </c>
      <c r="W34" s="222">
        <f>IFERROR(AVERAGEIFS(SAISIE!AD:AD,SAISIE!Y:Y,BILAN!B34,SAISIE!B:B,"PETQ9"),"")</f>
        <v/>
      </c>
      <c r="X34" s="222">
        <f>IFERROR(AVERAGEIFS(SAISIE!AF:AF,SAISIE!Y:Y,BILAN!B34,SAISIE!B:B,"PETQ9"),"")</f>
        <v/>
      </c>
      <c r="Y34" s="223" t="n">
        <v>0.98</v>
      </c>
      <c r="Z34" s="60" t="n"/>
      <c r="AA34" s="220" t="n">
        <v>22</v>
      </c>
      <c r="AB34" s="222">
        <f>IFERROR(AVERAGEIFS(SAISIE!AE:AE,SAISIE!Y:Y,BILAN!B34,SAISIE!B:B,"FLUX DEV"),"")</f>
        <v/>
      </c>
      <c r="AC34" s="222">
        <f>IFERROR(AVERAGEIFS(SAISIE!AD:AD,SAISIE!Y:Y,BILAN!B34,SAISIE!B:B,"FLUX DEV"),"")</f>
        <v/>
      </c>
      <c r="AD34" s="223" t="n">
        <v>0.98</v>
      </c>
      <c r="AF34" s="220" t="n">
        <v>22</v>
      </c>
      <c r="AG34" s="222">
        <f>IFERROR(AVERAGEIFS(SAISIE!AF:AF,SAISIE!Y:Y,BILAN!B34,SAISIE!B:B,"PETB"),"")</f>
        <v/>
      </c>
      <c r="AH34" s="222" t="n"/>
      <c r="AI34" s="223" t="n">
        <v>0.95</v>
      </c>
      <c r="AK34" s="220" t="n">
        <v>22</v>
      </c>
      <c r="AL34" s="222">
        <f>IFERROR(AVERAGEIFS(SAISIE!AG:AG,SAISIE!Y:Y,BILAN!B34,SAISIE!B:B,"PEPP"),"")</f>
        <v/>
      </c>
      <c r="AM34" s="222">
        <f>IFERROR(AVERAGEIFS(SAISIE!AT:AT,SAISIE!Y:Y,BILAN!B34,SAISIE!B:B,"PEPP"),"")</f>
        <v/>
      </c>
      <c r="AN34" s="223" t="n">
        <v>0.95</v>
      </c>
      <c r="AP34" s="220" t="n">
        <v>22</v>
      </c>
      <c r="AQ34" s="222">
        <f>IFERROR(AVERAGEIFS(SAISIE!AH:AH,SAISIE!Y:Y,BILAN!B34,SAISIE!B:B,"ELA"),"")</f>
        <v/>
      </c>
      <c r="AR34" s="222">
        <f>IFERROR(AVERAGEIFS(SAISIE!AN:AN,SAISIE!Y:Y,BILAN!B34,SAISIE!B:B,"ELA"),"")</f>
        <v/>
      </c>
      <c r="AS34" s="111" t="n">
        <v>0.95</v>
      </c>
      <c r="AT34" s="223">
        <f>IFERROR(AVERAGEIFS(SAISIE!AW:AW,SAISIE!Y:Y,BILAN!B34,SAISIE!B:B,"ELA"),"")</f>
        <v/>
      </c>
      <c r="AV34" s="220" t="n">
        <v>22</v>
      </c>
      <c r="AW34" s="222">
        <f>IFERROR(AVERAGEIFS(SAISIE!AI:AI,SAISIE!Y:Y,BILAN!B34,SAISIE!B:B,"FILM"),"")</f>
        <v/>
      </c>
      <c r="AX34" s="222">
        <f>IFERROR(AVERAGEIFS(SAISIE!AV:AV,SAISIE!Y:Y,BILAN!B34,SAISIE!B:B,"FILM"),"")</f>
        <v/>
      </c>
      <c r="AY34" s="223" t="n">
        <v>0.95</v>
      </c>
      <c r="AZ34" s="111" t="n"/>
      <c r="BA34" s="220" t="n">
        <v>22</v>
      </c>
      <c r="BB34" s="222">
        <f>IFERROR(AVERAGEIFS(SAISIE!AJ:AJ,SAISIE!Y:Y,BILAN!B34,SAISIE!B:B,"ACIER"),"")</f>
        <v/>
      </c>
      <c r="BC34" s="222" t="n"/>
      <c r="BD34" s="223" t="n">
        <v>0.95</v>
      </c>
      <c r="BE34" s="41" t="n"/>
      <c r="BF34" s="235" t="n">
        <v>22</v>
      </c>
      <c r="BG34" s="222">
        <f>IFERROR(AVERAGEIFS(SAISIE!AK:AK,SAISIE!Y:Y,BILAN!B34,SAISIE!B:B,"ALU"),"")</f>
        <v/>
      </c>
      <c r="BH34" s="222" t="n"/>
      <c r="BI34" s="223" t="n">
        <v>0.95</v>
      </c>
      <c r="BK34" s="220" t="n">
        <v>22</v>
      </c>
      <c r="BL34" s="222">
        <f>IFERROR(AVERAGEIFS(SAISIE!AL:AL,SAISIE!Y:Y,BILAN!B34,SAISIE!B:B,"PETIT ALU"),"")</f>
        <v/>
      </c>
      <c r="BM34" s="222">
        <f>IFERROR(AVERAGEIFS(SAISIE!AK:AK,SAISIE!Y:Y,BILAN!B34,SAISIE!B:B,"PETIT ALU"),"")</f>
        <v/>
      </c>
      <c r="BN34" s="223" t="n">
        <v>0.95</v>
      </c>
      <c r="BP34" s="220" t="n">
        <v>22</v>
      </c>
      <c r="BQ34" s="222">
        <f>IFERROR(AVERAGEIFS(SAISIE!AM:AM,SAISIE!Y:Y,BILAN!B34,SAISIE!B:B,"REFUS"),"")</f>
        <v/>
      </c>
      <c r="BR34" s="222">
        <f>IFERROR(AVERAGEIFS(SAISIE!AU:AU,SAISIE!Y:Y,BILAN!B34,SAISIE!B:B,"REFUS"),"")</f>
        <v/>
      </c>
      <c r="BS34" s="223" t="n">
        <v>0.95</v>
      </c>
      <c r="BU34" s="41" t="n"/>
      <c r="BV34" s="41" t="n"/>
      <c r="BW34" s="41" t="n"/>
      <c r="BX34" s="41" t="n"/>
    </row>
    <row r="35">
      <c r="B35" s="220" t="n">
        <v>23</v>
      </c>
      <c r="C35" s="222">
        <f>IFERROR(AVERAGEIFS(SAISIE!Z:Z,SAISIE!Y:Y,BILAN!B35,SAISIE!B:B,"JRM"),"")</f>
        <v/>
      </c>
      <c r="D35" s="222">
        <f>IFERROR(AVERAGEIFS(SAISIE!AP:AP,SAISIE!Y:Y,BILAN!B35,SAISIE!B:B,"JRM"),"")</f>
        <v/>
      </c>
      <c r="E35" s="223" t="n">
        <v>0.97</v>
      </c>
      <c r="F35" s="111" t="n"/>
      <c r="G35" s="220" t="n">
        <v>23</v>
      </c>
      <c r="H35" s="222">
        <f>IFERROR(AVERAGEIFS(SAISIE!AA:AA,SAISIE!Y:Y,BILAN!B35,SAISIE!B:B,"EMR"),"")</f>
        <v/>
      </c>
      <c r="I35" s="222">
        <f>IFERROR(AVERAGEIFS(SAISIE!AS:AS,SAISIE!Y:Y,BILAN!B35,SAISIE!B:B,"EMR"),"")</f>
        <v/>
      </c>
      <c r="J35" s="223" t="n">
        <v>0.95</v>
      </c>
      <c r="L35" s="220" t="n">
        <v>23</v>
      </c>
      <c r="M35" s="222">
        <f>IFERROR(AVERAGEIFS(SAISIE!AB:AB,SAISIE!Y:Y,BILAN!B35,SAISIE!B:B,"CARTON"),"")</f>
        <v/>
      </c>
      <c r="N35" s="222">
        <f>IFERROR(AVERAGEIFS(SAISIE!AS:AS,SAISIE!Y:Y,BILAN!B35,SAISIE!B:B,"CARTON"),"")</f>
        <v/>
      </c>
      <c r="O35" s="223" t="n">
        <v>0.95</v>
      </c>
      <c r="Q35" s="220" t="n">
        <v>23</v>
      </c>
      <c r="R35" s="222">
        <f>IFERROR(AVERAGEIFS(SAISIE!AC:AC,SAISIE!Y:Y,BILAN!B35,SAISIE!B:B,"GM"),"")</f>
        <v/>
      </c>
      <c r="S35" s="222">
        <f>IFERROR(AVERAGEIFS(SAISIE!AS:AS,SAISIE!Y:Y,BILAN!B35,SAISIE!B:B,"GM"),"")</f>
        <v/>
      </c>
      <c r="T35" s="223" t="n">
        <v>0.98</v>
      </c>
      <c r="V35" s="220" t="n">
        <v>23</v>
      </c>
      <c r="W35" s="222">
        <f>IFERROR(AVERAGEIFS(SAISIE!AD:AD,SAISIE!Y:Y,BILAN!B35,SAISIE!B:B,"PETQ9"),"")</f>
        <v/>
      </c>
      <c r="X35" s="222">
        <f>IFERROR(AVERAGEIFS(SAISIE!AF:AF,SAISIE!Y:Y,BILAN!B35,SAISIE!B:B,"PETQ9"),"")</f>
        <v/>
      </c>
      <c r="Y35" s="223" t="n">
        <v>0.98</v>
      </c>
      <c r="Z35" s="60" t="n"/>
      <c r="AA35" s="220" t="n">
        <v>23</v>
      </c>
      <c r="AB35" s="222">
        <f>IFERROR(AVERAGEIFS(SAISIE!AE:AE,SAISIE!Y:Y,BILAN!B35,SAISIE!B:B,"FLUX DEV"),"")</f>
        <v/>
      </c>
      <c r="AC35" s="222">
        <f>IFERROR(AVERAGEIFS(SAISIE!AD:AD,SAISIE!Y:Y,BILAN!B35,SAISIE!B:B,"FLUX DEV"),"")</f>
        <v/>
      </c>
      <c r="AD35" s="223" t="n">
        <v>0.98</v>
      </c>
      <c r="AF35" s="220" t="n">
        <v>23</v>
      </c>
      <c r="AG35" s="222">
        <f>IFERROR(AVERAGEIFS(SAISIE!AF:AF,SAISIE!Y:Y,BILAN!B35,SAISIE!B:B,"PETB"),"")</f>
        <v/>
      </c>
      <c r="AH35" s="222" t="n"/>
      <c r="AI35" s="223" t="n">
        <v>0.95</v>
      </c>
      <c r="AK35" s="220" t="n">
        <v>23</v>
      </c>
      <c r="AL35" s="222">
        <f>IFERROR(AVERAGEIFS(SAISIE!AG:AG,SAISIE!Y:Y,BILAN!B35,SAISIE!B:B,"PEPP"),"")</f>
        <v/>
      </c>
      <c r="AM35" s="222">
        <f>IFERROR(AVERAGEIFS(SAISIE!AT:AT,SAISIE!Y:Y,BILAN!B35,SAISIE!B:B,"PEPP"),"")</f>
        <v/>
      </c>
      <c r="AN35" s="223" t="n">
        <v>0.95</v>
      </c>
      <c r="AP35" s="220" t="n">
        <v>23</v>
      </c>
      <c r="AQ35" s="222">
        <f>IFERROR(AVERAGEIFS(SAISIE!AH:AH,SAISIE!Y:Y,BILAN!B35,SAISIE!B:B,"ELA"),"")</f>
        <v/>
      </c>
      <c r="AR35" s="222">
        <f>IFERROR(AVERAGEIFS(SAISIE!AN:AN,SAISIE!Y:Y,BILAN!B35,SAISIE!B:B,"ELA"),"")</f>
        <v/>
      </c>
      <c r="AS35" s="111" t="n">
        <v>0.95</v>
      </c>
      <c r="AT35" s="223">
        <f>IFERROR(AVERAGEIFS(SAISIE!AW:AW,SAISIE!Y:Y,BILAN!B35,SAISIE!B:B,"ELA"),"")</f>
        <v/>
      </c>
      <c r="AV35" s="220" t="n">
        <v>23</v>
      </c>
      <c r="AW35" s="222">
        <f>IFERROR(AVERAGEIFS(SAISIE!AI:AI,SAISIE!Y:Y,BILAN!B35,SAISIE!B:B,"FILM"),"")</f>
        <v/>
      </c>
      <c r="AX35" s="222">
        <f>IFERROR(AVERAGEIFS(SAISIE!AV:AV,SAISIE!Y:Y,BILAN!B35,SAISIE!B:B,"FILM"),"")</f>
        <v/>
      </c>
      <c r="AY35" s="223" t="n">
        <v>0.95</v>
      </c>
      <c r="AZ35" s="111" t="n"/>
      <c r="BA35" s="220" t="n">
        <v>23</v>
      </c>
      <c r="BB35" s="222">
        <f>IFERROR(AVERAGEIFS(SAISIE!AJ:AJ,SAISIE!Y:Y,BILAN!B35,SAISIE!B:B,"ACIER"),"")</f>
        <v/>
      </c>
      <c r="BC35" s="222" t="n"/>
      <c r="BD35" s="223" t="n">
        <v>0.95</v>
      </c>
      <c r="BE35" s="41" t="n"/>
      <c r="BF35" s="235" t="n">
        <v>23</v>
      </c>
      <c r="BG35" s="222">
        <f>IFERROR(AVERAGEIFS(SAISIE!AK:AK,SAISIE!Y:Y,BILAN!B35,SAISIE!B:B,"ALU"),"")</f>
        <v/>
      </c>
      <c r="BH35" s="222" t="n"/>
      <c r="BI35" s="223" t="n">
        <v>0.95</v>
      </c>
      <c r="BK35" s="220" t="n">
        <v>23</v>
      </c>
      <c r="BL35" s="222">
        <f>IFERROR(AVERAGEIFS(SAISIE!AL:AL,SAISIE!Y:Y,BILAN!B35,SAISIE!B:B,"PETIT ALU"),"")</f>
        <v/>
      </c>
      <c r="BM35" s="222">
        <f>IFERROR(AVERAGEIFS(SAISIE!AK:AK,SAISIE!Y:Y,BILAN!B35,SAISIE!B:B,"PETIT ALU"),"")</f>
        <v/>
      </c>
      <c r="BN35" s="223" t="n">
        <v>0.95</v>
      </c>
      <c r="BP35" s="220" t="n">
        <v>23</v>
      </c>
      <c r="BQ35" s="222">
        <f>IFERROR(AVERAGEIFS(SAISIE!AM:AM,SAISIE!Y:Y,BILAN!B35,SAISIE!B:B,"REFUS"),"")</f>
        <v/>
      </c>
      <c r="BR35" s="222">
        <f>IFERROR(AVERAGEIFS(SAISIE!AU:AU,SAISIE!Y:Y,BILAN!B35,SAISIE!B:B,"REFUS"),"")</f>
        <v/>
      </c>
      <c r="BS35" s="223" t="n">
        <v>0.95</v>
      </c>
      <c r="BU35" s="41" t="n"/>
      <c r="BV35" s="41" t="n"/>
      <c r="BW35" s="41" t="n"/>
      <c r="BX35" s="41" t="n"/>
    </row>
    <row r="36">
      <c r="B36" s="220" t="n">
        <v>24</v>
      </c>
      <c r="C36" s="222">
        <f>IFERROR(AVERAGEIFS(SAISIE!Z:Z,SAISIE!Y:Y,BILAN!B36,SAISIE!B:B,"JRM"),"")</f>
        <v/>
      </c>
      <c r="D36" s="222">
        <f>IFERROR(AVERAGEIFS(SAISIE!AP:AP,SAISIE!Y:Y,BILAN!B36,SAISIE!B:B,"JRM"),"")</f>
        <v/>
      </c>
      <c r="E36" s="223" t="n">
        <v>0.97</v>
      </c>
      <c r="F36" s="111" t="n"/>
      <c r="G36" s="220" t="n">
        <v>24</v>
      </c>
      <c r="H36" s="222">
        <f>IFERROR(AVERAGEIFS(SAISIE!AA:AA,SAISIE!Y:Y,BILAN!B36,SAISIE!B:B,"EMR"),"")</f>
        <v/>
      </c>
      <c r="I36" s="222">
        <f>IFERROR(AVERAGEIFS(SAISIE!AS:AS,SAISIE!Y:Y,BILAN!B36,SAISIE!B:B,"EMR"),"")</f>
        <v/>
      </c>
      <c r="J36" s="223" t="n">
        <v>0.95</v>
      </c>
      <c r="L36" s="220" t="n">
        <v>24</v>
      </c>
      <c r="M36" s="222">
        <f>IFERROR(AVERAGEIFS(SAISIE!AB:AB,SAISIE!Y:Y,BILAN!B36,SAISIE!B:B,"CARTON"),"")</f>
        <v/>
      </c>
      <c r="N36" s="222">
        <f>IFERROR(AVERAGEIFS(SAISIE!AS:AS,SAISIE!Y:Y,BILAN!B36,SAISIE!B:B,"CARTON"),"")</f>
        <v/>
      </c>
      <c r="O36" s="223" t="n">
        <v>0.95</v>
      </c>
      <c r="Q36" s="220" t="n">
        <v>24</v>
      </c>
      <c r="R36" s="222">
        <f>IFERROR(AVERAGEIFS(SAISIE!AC:AC,SAISIE!Y:Y,BILAN!B36,SAISIE!B:B,"GM"),"")</f>
        <v/>
      </c>
      <c r="S36" s="222">
        <f>IFERROR(AVERAGEIFS(SAISIE!AS:AS,SAISIE!Y:Y,BILAN!B36,SAISIE!B:B,"GM"),"")</f>
        <v/>
      </c>
      <c r="T36" s="223" t="n">
        <v>0.98</v>
      </c>
      <c r="V36" s="220" t="n">
        <v>24</v>
      </c>
      <c r="W36" s="222">
        <f>IFERROR(AVERAGEIFS(SAISIE!AD:AD,SAISIE!Y:Y,BILAN!B36,SAISIE!B:B,"PETQ9"),"")</f>
        <v/>
      </c>
      <c r="X36" s="222">
        <f>IFERROR(AVERAGEIFS(SAISIE!AF:AF,SAISIE!Y:Y,BILAN!B36,SAISIE!B:B,"PETQ9"),"")</f>
        <v/>
      </c>
      <c r="Y36" s="223" t="n">
        <v>0.98</v>
      </c>
      <c r="Z36" s="60" t="n"/>
      <c r="AA36" s="220" t="n">
        <v>24</v>
      </c>
      <c r="AB36" s="222">
        <f>IFERROR(AVERAGEIFS(SAISIE!AE:AE,SAISIE!Y:Y,BILAN!B36,SAISIE!B:B,"FLUX DEV"),"")</f>
        <v/>
      </c>
      <c r="AC36" s="222">
        <f>IFERROR(AVERAGEIFS(SAISIE!AD:AD,SAISIE!Y:Y,BILAN!B36,SAISIE!B:B,"FLUX DEV"),"")</f>
        <v/>
      </c>
      <c r="AD36" s="223" t="n">
        <v>0.98</v>
      </c>
      <c r="AF36" s="220" t="n">
        <v>24</v>
      </c>
      <c r="AG36" s="222">
        <f>IFERROR(AVERAGEIFS(SAISIE!AF:AF,SAISIE!Y:Y,BILAN!B36,SAISIE!B:B,"PETB"),"")</f>
        <v/>
      </c>
      <c r="AH36" s="222" t="n"/>
      <c r="AI36" s="223" t="n">
        <v>0.95</v>
      </c>
      <c r="AK36" s="220" t="n">
        <v>24</v>
      </c>
      <c r="AL36" s="222">
        <f>IFERROR(AVERAGEIFS(SAISIE!AG:AG,SAISIE!Y:Y,BILAN!B36,SAISIE!B:B,"PEPP"),"")</f>
        <v/>
      </c>
      <c r="AM36" s="222">
        <f>IFERROR(AVERAGEIFS(SAISIE!AT:AT,SAISIE!Y:Y,BILAN!B36,SAISIE!B:B,"PEPP"),"")</f>
        <v/>
      </c>
      <c r="AN36" s="223" t="n">
        <v>0.95</v>
      </c>
      <c r="AP36" s="220" t="n">
        <v>24</v>
      </c>
      <c r="AQ36" s="222">
        <f>IFERROR(AVERAGEIFS(SAISIE!AH:AH,SAISIE!Y:Y,BILAN!B36,SAISIE!B:B,"ELA"),"")</f>
        <v/>
      </c>
      <c r="AR36" s="222">
        <f>IFERROR(AVERAGEIFS(SAISIE!AN:AN,SAISIE!Y:Y,BILAN!B36,SAISIE!B:B,"ELA"),"")</f>
        <v/>
      </c>
      <c r="AS36" s="111" t="n">
        <v>0.95</v>
      </c>
      <c r="AT36" s="223">
        <f>IFERROR(AVERAGEIFS(SAISIE!AW:AW,SAISIE!Y:Y,BILAN!B36,SAISIE!B:B,"ELA"),"")</f>
        <v/>
      </c>
      <c r="AV36" s="220" t="n">
        <v>24</v>
      </c>
      <c r="AW36" s="222">
        <f>IFERROR(AVERAGEIFS(SAISIE!AI:AI,SAISIE!Y:Y,BILAN!B36,SAISIE!B:B,"FILM"),"")</f>
        <v/>
      </c>
      <c r="AX36" s="222">
        <f>IFERROR(AVERAGEIFS(SAISIE!AV:AV,SAISIE!Y:Y,BILAN!B36,SAISIE!B:B,"FILM"),"")</f>
        <v/>
      </c>
      <c r="AY36" s="223" t="n">
        <v>0.95</v>
      </c>
      <c r="AZ36" s="111" t="n"/>
      <c r="BA36" s="220" t="n">
        <v>24</v>
      </c>
      <c r="BB36" s="222">
        <f>IFERROR(AVERAGEIFS(SAISIE!AJ:AJ,SAISIE!Y:Y,BILAN!B36,SAISIE!B:B,"ACIER"),"")</f>
        <v/>
      </c>
      <c r="BC36" s="222" t="n"/>
      <c r="BD36" s="223" t="n">
        <v>0.95</v>
      </c>
      <c r="BE36" s="41" t="n"/>
      <c r="BF36" s="235" t="n">
        <v>24</v>
      </c>
      <c r="BG36" s="222">
        <f>IFERROR(AVERAGEIFS(SAISIE!AK:AK,SAISIE!Y:Y,BILAN!B36,SAISIE!B:B,"ALU"),"")</f>
        <v/>
      </c>
      <c r="BH36" s="222" t="n"/>
      <c r="BI36" s="223" t="n">
        <v>0.95</v>
      </c>
      <c r="BK36" s="220" t="n">
        <v>24</v>
      </c>
      <c r="BL36" s="222">
        <f>IFERROR(AVERAGEIFS(SAISIE!AL:AL,SAISIE!Y:Y,BILAN!B36,SAISIE!B:B,"PETIT ALU"),"")</f>
        <v/>
      </c>
      <c r="BM36" s="222">
        <f>IFERROR(AVERAGEIFS(SAISIE!AK:AK,SAISIE!Y:Y,BILAN!B36,SAISIE!B:B,"PETIT ALU"),"")</f>
        <v/>
      </c>
      <c r="BN36" s="223" t="n">
        <v>0.95</v>
      </c>
      <c r="BP36" s="220" t="n">
        <v>24</v>
      </c>
      <c r="BQ36" s="222">
        <f>IFERROR(AVERAGEIFS(SAISIE!AM:AM,SAISIE!Y:Y,BILAN!B36,SAISIE!B:B,"REFUS"),"")</f>
        <v/>
      </c>
      <c r="BR36" s="222">
        <f>IFERROR(AVERAGEIFS(SAISIE!AU:AU,SAISIE!Y:Y,BILAN!B36,SAISIE!B:B,"REFUS"),"")</f>
        <v/>
      </c>
      <c r="BS36" s="223" t="n">
        <v>0.95</v>
      </c>
      <c r="BU36" s="41" t="n"/>
      <c r="BV36" s="41" t="n"/>
      <c r="BW36" s="41" t="n"/>
      <c r="BX36" s="41" t="n"/>
    </row>
    <row r="37">
      <c r="B37" s="220" t="n">
        <v>25</v>
      </c>
      <c r="C37" s="222">
        <f>IFERROR(AVERAGEIFS(SAISIE!Z:Z,SAISIE!Y:Y,BILAN!B37,SAISIE!B:B,"JRM"),"")</f>
        <v/>
      </c>
      <c r="D37" s="222">
        <f>IFERROR(AVERAGEIFS(SAISIE!AP:AP,SAISIE!Y:Y,BILAN!B37,SAISIE!B:B,"JRM"),"")</f>
        <v/>
      </c>
      <c r="E37" s="223" t="n">
        <v>0.97</v>
      </c>
      <c r="F37" s="111" t="n"/>
      <c r="G37" s="220" t="n">
        <v>25</v>
      </c>
      <c r="H37" s="222">
        <f>IFERROR(AVERAGEIFS(SAISIE!AA:AA,SAISIE!Y:Y,BILAN!B37,SAISIE!B:B,"EMR"),"")</f>
        <v/>
      </c>
      <c r="I37" s="222">
        <f>IFERROR(AVERAGEIFS(SAISIE!AS:AS,SAISIE!Y:Y,BILAN!B37,SAISIE!B:B,"EMR"),"")</f>
        <v/>
      </c>
      <c r="J37" s="223" t="n">
        <v>0.95</v>
      </c>
      <c r="L37" s="220" t="n">
        <v>25</v>
      </c>
      <c r="M37" s="222">
        <f>IFERROR(AVERAGEIFS(SAISIE!AB:AB,SAISIE!Y:Y,BILAN!B37,SAISIE!B:B,"CARTON"),"")</f>
        <v/>
      </c>
      <c r="N37" s="222">
        <f>IFERROR(AVERAGEIFS(SAISIE!AS:AS,SAISIE!Y:Y,BILAN!B37,SAISIE!B:B,"CARTON"),"")</f>
        <v/>
      </c>
      <c r="O37" s="223" t="n">
        <v>0.95</v>
      </c>
      <c r="Q37" s="220" t="n">
        <v>25</v>
      </c>
      <c r="R37" s="222">
        <f>IFERROR(AVERAGEIFS(SAISIE!AC:AC,SAISIE!Y:Y,BILAN!B37,SAISIE!B:B,"GM"),"")</f>
        <v/>
      </c>
      <c r="S37" s="222">
        <f>IFERROR(AVERAGEIFS(SAISIE!AS:AS,SAISIE!Y:Y,BILAN!B37,SAISIE!B:B,"GM"),"")</f>
        <v/>
      </c>
      <c r="T37" s="223" t="n">
        <v>0.98</v>
      </c>
      <c r="V37" s="220" t="n">
        <v>25</v>
      </c>
      <c r="W37" s="222">
        <f>IFERROR(AVERAGEIFS(SAISIE!AD:AD,SAISIE!Y:Y,BILAN!B37,SAISIE!B:B,"PETQ9"),"")</f>
        <v/>
      </c>
      <c r="X37" s="222">
        <f>IFERROR(AVERAGEIFS(SAISIE!AF:AF,SAISIE!Y:Y,BILAN!B37,SAISIE!B:B,"PETQ9"),"")</f>
        <v/>
      </c>
      <c r="Y37" s="223" t="n">
        <v>0.98</v>
      </c>
      <c r="Z37" s="60" t="n"/>
      <c r="AA37" s="220" t="n">
        <v>25</v>
      </c>
      <c r="AB37" s="222">
        <f>IFERROR(AVERAGEIFS(SAISIE!AE:AE,SAISIE!Y:Y,BILAN!B37,SAISIE!B:B,"FLUX DEV"),"")</f>
        <v/>
      </c>
      <c r="AC37" s="222">
        <f>IFERROR(AVERAGEIFS(SAISIE!AD:AD,SAISIE!Y:Y,BILAN!B37,SAISIE!B:B,"FLUX DEV"),"")</f>
        <v/>
      </c>
      <c r="AD37" s="223" t="n">
        <v>0.98</v>
      </c>
      <c r="AF37" s="220" t="n">
        <v>25</v>
      </c>
      <c r="AG37" s="222">
        <f>IFERROR(AVERAGEIFS(SAISIE!AF:AF,SAISIE!Y:Y,BILAN!B37,SAISIE!B:B,"PETB"),"")</f>
        <v/>
      </c>
      <c r="AH37" s="222" t="n"/>
      <c r="AI37" s="223" t="n">
        <v>0.95</v>
      </c>
      <c r="AK37" s="220" t="n">
        <v>25</v>
      </c>
      <c r="AL37" s="222">
        <f>IFERROR(AVERAGEIFS(SAISIE!AG:AG,SAISIE!Y:Y,BILAN!B37,SAISIE!B:B,"PEPP"),"")</f>
        <v/>
      </c>
      <c r="AM37" s="222">
        <f>IFERROR(AVERAGEIFS(SAISIE!AT:AT,SAISIE!Y:Y,BILAN!B37,SAISIE!B:B,"PEPP"),"")</f>
        <v/>
      </c>
      <c r="AN37" s="223" t="n">
        <v>0.95</v>
      </c>
      <c r="AP37" s="220" t="n">
        <v>25</v>
      </c>
      <c r="AQ37" s="222">
        <f>IFERROR(AVERAGEIFS(SAISIE!AH:AH,SAISIE!Y:Y,BILAN!B37,SAISIE!B:B,"ELA"),"")</f>
        <v/>
      </c>
      <c r="AR37" s="222">
        <f>IFERROR(AVERAGEIFS(SAISIE!AN:AN,SAISIE!Y:Y,BILAN!B37,SAISIE!B:B,"ELA"),"")</f>
        <v/>
      </c>
      <c r="AS37" s="111" t="n">
        <v>0.95</v>
      </c>
      <c r="AT37" s="223">
        <f>IFERROR(AVERAGEIFS(SAISIE!AW:AW,SAISIE!Y:Y,BILAN!B37,SAISIE!B:B,"ELA"),"")</f>
        <v/>
      </c>
      <c r="AV37" s="220" t="n">
        <v>25</v>
      </c>
      <c r="AW37" s="222">
        <f>IFERROR(AVERAGEIFS(SAISIE!AI:AI,SAISIE!Y:Y,BILAN!B37,SAISIE!B:B,"FILM"),"")</f>
        <v/>
      </c>
      <c r="AX37" s="222">
        <f>IFERROR(AVERAGEIFS(SAISIE!AV:AV,SAISIE!Y:Y,BILAN!B37,SAISIE!B:B,"FILM"),"")</f>
        <v/>
      </c>
      <c r="AY37" s="223" t="n">
        <v>0.95</v>
      </c>
      <c r="AZ37" s="111" t="n"/>
      <c r="BA37" s="220" t="n">
        <v>25</v>
      </c>
      <c r="BB37" s="222">
        <f>IFERROR(AVERAGEIFS(SAISIE!AJ:AJ,SAISIE!Y:Y,BILAN!B37,SAISIE!B:B,"ACIER"),"")</f>
        <v/>
      </c>
      <c r="BC37" s="222" t="n"/>
      <c r="BD37" s="223" t="n">
        <v>0.95</v>
      </c>
      <c r="BE37" s="41" t="n"/>
      <c r="BF37" s="235" t="n">
        <v>25</v>
      </c>
      <c r="BG37" s="222">
        <f>IFERROR(AVERAGEIFS(SAISIE!AK:AK,SAISIE!Y:Y,BILAN!B37,SAISIE!B:B,"ALU"),"")</f>
        <v/>
      </c>
      <c r="BH37" s="222" t="n"/>
      <c r="BI37" s="223" t="n">
        <v>0.95</v>
      </c>
      <c r="BK37" s="220" t="n">
        <v>25</v>
      </c>
      <c r="BL37" s="222">
        <f>IFERROR(AVERAGEIFS(SAISIE!AL:AL,SAISIE!Y:Y,BILAN!B37,SAISIE!B:B,"PETIT ALU"),"")</f>
        <v/>
      </c>
      <c r="BM37" s="222">
        <f>IFERROR(AVERAGEIFS(SAISIE!AK:AK,SAISIE!Y:Y,BILAN!B37,SAISIE!B:B,"PETIT ALU"),"")</f>
        <v/>
      </c>
      <c r="BN37" s="223" t="n">
        <v>0.95</v>
      </c>
      <c r="BP37" s="220" t="n">
        <v>25</v>
      </c>
      <c r="BQ37" s="222">
        <f>IFERROR(AVERAGEIFS(SAISIE!AM:AM,SAISIE!Y:Y,BILAN!B37,SAISIE!B:B,"REFUS"),"")</f>
        <v/>
      </c>
      <c r="BR37" s="222">
        <f>IFERROR(AVERAGEIFS(SAISIE!AU:AU,SAISIE!Y:Y,BILAN!B37,SAISIE!B:B,"REFUS"),"")</f>
        <v/>
      </c>
      <c r="BS37" s="223" t="n">
        <v>0.95</v>
      </c>
      <c r="BU37" s="41" t="n"/>
      <c r="BV37" s="41" t="n"/>
      <c r="BW37" s="41" t="n"/>
      <c r="BX37" s="41" t="n"/>
    </row>
    <row r="38">
      <c r="B38" s="220" t="n">
        <v>26</v>
      </c>
      <c r="C38" s="222">
        <f>IFERROR(AVERAGEIFS(SAISIE!Z:Z,SAISIE!Y:Y,BILAN!B38,SAISIE!B:B,"JRM"),"")</f>
        <v/>
      </c>
      <c r="D38" s="222">
        <f>IFERROR(AVERAGEIFS(SAISIE!AP:AP,SAISIE!Y:Y,BILAN!B38,SAISIE!B:B,"JRM"),"")</f>
        <v/>
      </c>
      <c r="E38" s="223" t="n">
        <v>0.97</v>
      </c>
      <c r="F38" s="111" t="n"/>
      <c r="G38" s="220" t="n">
        <v>26</v>
      </c>
      <c r="H38" s="222">
        <f>IFERROR(AVERAGEIFS(SAISIE!AA:AA,SAISIE!Y:Y,BILAN!B38,SAISIE!B:B,"EMR"),"")</f>
        <v/>
      </c>
      <c r="I38" s="222">
        <f>IFERROR(AVERAGEIFS(SAISIE!AS:AS,SAISIE!Y:Y,BILAN!B38,SAISIE!B:B,"EMR"),"")</f>
        <v/>
      </c>
      <c r="J38" s="223" t="n">
        <v>0.95</v>
      </c>
      <c r="L38" s="220" t="n">
        <v>26</v>
      </c>
      <c r="M38" s="222">
        <f>IFERROR(AVERAGEIFS(SAISIE!AB:AB,SAISIE!Y:Y,BILAN!B38,SAISIE!B:B,"CARTON"),"")</f>
        <v/>
      </c>
      <c r="N38" s="222">
        <f>IFERROR(AVERAGEIFS(SAISIE!AS:AS,SAISIE!Y:Y,BILAN!B38,SAISIE!B:B,"CARTON"),"")</f>
        <v/>
      </c>
      <c r="O38" s="223" t="n">
        <v>0.95</v>
      </c>
      <c r="Q38" s="220" t="n">
        <v>26</v>
      </c>
      <c r="R38" s="222">
        <f>IFERROR(AVERAGEIFS(SAISIE!AC:AC,SAISIE!Y:Y,BILAN!B38,SAISIE!B:B,"GM"),"")</f>
        <v/>
      </c>
      <c r="S38" s="222">
        <f>IFERROR(AVERAGEIFS(SAISIE!AS:AS,SAISIE!Y:Y,BILAN!B38,SAISIE!B:B,"GM"),"")</f>
        <v/>
      </c>
      <c r="T38" s="223" t="n">
        <v>0.98</v>
      </c>
      <c r="V38" s="220" t="n">
        <v>26</v>
      </c>
      <c r="W38" s="222">
        <f>IFERROR(AVERAGEIFS(SAISIE!AD:AD,SAISIE!Y:Y,BILAN!B38,SAISIE!B:B,"PETQ9"),"")</f>
        <v/>
      </c>
      <c r="X38" s="222">
        <f>IFERROR(AVERAGEIFS(SAISIE!AF:AF,SAISIE!Y:Y,BILAN!B38,SAISIE!B:B,"PETQ9"),"")</f>
        <v/>
      </c>
      <c r="Y38" s="223" t="n">
        <v>0.98</v>
      </c>
      <c r="Z38" s="60" t="n"/>
      <c r="AA38" s="220" t="n">
        <v>26</v>
      </c>
      <c r="AB38" s="222">
        <f>IFERROR(AVERAGEIFS(SAISIE!AE:AE,SAISIE!Y:Y,BILAN!B38,SAISIE!B:B,"FLUX DEV"),"")</f>
        <v/>
      </c>
      <c r="AC38" s="222">
        <f>IFERROR(AVERAGEIFS(SAISIE!AD:AD,SAISIE!Y:Y,BILAN!B38,SAISIE!B:B,"FLUX DEV"),"")</f>
        <v/>
      </c>
      <c r="AD38" s="223" t="n">
        <v>0.98</v>
      </c>
      <c r="AF38" s="220" t="n">
        <v>26</v>
      </c>
      <c r="AG38" s="222">
        <f>IFERROR(AVERAGEIFS(SAISIE!AF:AF,SAISIE!Y:Y,BILAN!B38,SAISIE!B:B,"PETB"),"")</f>
        <v/>
      </c>
      <c r="AH38" s="222" t="n"/>
      <c r="AI38" s="223" t="n">
        <v>0.95</v>
      </c>
      <c r="AK38" s="220" t="n">
        <v>26</v>
      </c>
      <c r="AL38" s="222">
        <f>IFERROR(AVERAGEIFS(SAISIE!AG:AG,SAISIE!Y:Y,BILAN!B38,SAISIE!B:B,"PEPP"),"")</f>
        <v/>
      </c>
      <c r="AM38" s="222">
        <f>IFERROR(AVERAGEIFS(SAISIE!AT:AT,SAISIE!Y:Y,BILAN!B38,SAISIE!B:B,"PEPP"),"")</f>
        <v/>
      </c>
      <c r="AN38" s="223" t="n">
        <v>0.95</v>
      </c>
      <c r="AP38" s="220" t="n">
        <v>26</v>
      </c>
      <c r="AQ38" s="222">
        <f>IFERROR(AVERAGEIFS(SAISIE!AH:AH,SAISIE!Y:Y,BILAN!B38,SAISIE!B:B,"ELA"),"")</f>
        <v/>
      </c>
      <c r="AR38" s="222">
        <f>IFERROR(AVERAGEIFS(SAISIE!AN:AN,SAISIE!Y:Y,BILAN!B38,SAISIE!B:B,"ELA"),"")</f>
        <v/>
      </c>
      <c r="AS38" s="111" t="n">
        <v>0.95</v>
      </c>
      <c r="AT38" s="223">
        <f>IFERROR(AVERAGEIFS(SAISIE!AW:AW,SAISIE!Y:Y,BILAN!B38,SAISIE!B:B,"ELA"),"")</f>
        <v/>
      </c>
      <c r="AV38" s="220" t="n">
        <v>26</v>
      </c>
      <c r="AW38" s="222">
        <f>IFERROR(AVERAGEIFS(SAISIE!AI:AI,SAISIE!Y:Y,BILAN!B38,SAISIE!B:B,"FILM"),"")</f>
        <v/>
      </c>
      <c r="AX38" s="222">
        <f>IFERROR(AVERAGEIFS(SAISIE!AV:AV,SAISIE!Y:Y,BILAN!B38,SAISIE!B:B,"FILM"),"")</f>
        <v/>
      </c>
      <c r="AY38" s="223" t="n">
        <v>0.95</v>
      </c>
      <c r="AZ38" s="111" t="n"/>
      <c r="BA38" s="220" t="n">
        <v>26</v>
      </c>
      <c r="BB38" s="222">
        <f>IFERROR(AVERAGEIFS(SAISIE!AJ:AJ,SAISIE!Y:Y,BILAN!B38,SAISIE!B:B,"ACIER"),"")</f>
        <v/>
      </c>
      <c r="BC38" s="222" t="n"/>
      <c r="BD38" s="223" t="n">
        <v>0.95</v>
      </c>
      <c r="BE38" s="41" t="n"/>
      <c r="BF38" s="235" t="n">
        <v>26</v>
      </c>
      <c r="BG38" s="222">
        <f>IFERROR(AVERAGEIFS(SAISIE!AK:AK,SAISIE!Y:Y,BILAN!B38,SAISIE!B:B,"ALU"),"")</f>
        <v/>
      </c>
      <c r="BH38" s="222" t="n"/>
      <c r="BI38" s="223" t="n">
        <v>0.95</v>
      </c>
      <c r="BK38" s="220" t="n">
        <v>26</v>
      </c>
      <c r="BL38" s="222">
        <f>IFERROR(AVERAGEIFS(SAISIE!AL:AL,SAISIE!Y:Y,BILAN!B38,SAISIE!B:B,"PETIT ALU"),"")</f>
        <v/>
      </c>
      <c r="BM38" s="222">
        <f>IFERROR(AVERAGEIFS(SAISIE!AK:AK,SAISIE!Y:Y,BILAN!B38,SAISIE!B:B,"PETIT ALU"),"")</f>
        <v/>
      </c>
      <c r="BN38" s="223" t="n">
        <v>0.95</v>
      </c>
      <c r="BP38" s="220" t="n">
        <v>26</v>
      </c>
      <c r="BQ38" s="222">
        <f>IFERROR(AVERAGEIFS(SAISIE!AM:AM,SAISIE!Y:Y,BILAN!B38,SAISIE!B:B,"REFUS"),"")</f>
        <v/>
      </c>
      <c r="BR38" s="222">
        <f>IFERROR(AVERAGEIFS(SAISIE!AU:AU,SAISIE!Y:Y,BILAN!B38,SAISIE!B:B,"REFUS"),"")</f>
        <v/>
      </c>
      <c r="BS38" s="223" t="n">
        <v>0.95</v>
      </c>
      <c r="BU38" s="41" t="n"/>
      <c r="BV38" s="41" t="n"/>
      <c r="BW38" s="41" t="n"/>
      <c r="BX38" s="41" t="n"/>
    </row>
    <row r="39">
      <c r="B39" s="220" t="n">
        <v>27</v>
      </c>
      <c r="C39" s="222">
        <f>IFERROR(AVERAGEIFS(SAISIE!Z:Z,SAISIE!Y:Y,BILAN!B39,SAISIE!B:B,"JRM"),"")</f>
        <v/>
      </c>
      <c r="D39" s="222">
        <f>IFERROR(AVERAGEIFS(SAISIE!AP:AP,SAISIE!Y:Y,BILAN!B39,SAISIE!B:B,"JRM"),"")</f>
        <v/>
      </c>
      <c r="E39" s="223" t="n">
        <v>0.97</v>
      </c>
      <c r="F39" s="111" t="n"/>
      <c r="G39" s="220" t="n">
        <v>27</v>
      </c>
      <c r="H39" s="222">
        <f>IFERROR(AVERAGEIFS(SAISIE!AA:AA,SAISIE!Y:Y,BILAN!B39,SAISIE!B:B,"EMR"),"")</f>
        <v/>
      </c>
      <c r="I39" s="222">
        <f>IFERROR(AVERAGEIFS(SAISIE!AS:AS,SAISIE!Y:Y,BILAN!B39,SAISIE!B:B,"EMR"),"")</f>
        <v/>
      </c>
      <c r="J39" s="223" t="n">
        <v>0.95</v>
      </c>
      <c r="L39" s="220" t="n">
        <v>27</v>
      </c>
      <c r="M39" s="222">
        <f>IFERROR(AVERAGEIFS(SAISIE!AB:AB,SAISIE!Y:Y,BILAN!B39,SAISIE!B:B,"CARTON"),"")</f>
        <v/>
      </c>
      <c r="N39" s="222">
        <f>IFERROR(AVERAGEIFS(SAISIE!AS:AS,SAISIE!Y:Y,BILAN!B39,SAISIE!B:B,"CARTON"),"")</f>
        <v/>
      </c>
      <c r="O39" s="223" t="n">
        <v>0.95</v>
      </c>
      <c r="Q39" s="220" t="n">
        <v>27</v>
      </c>
      <c r="R39" s="222">
        <f>IFERROR(AVERAGEIFS(SAISIE!AC:AC,SAISIE!Y:Y,BILAN!B39,SAISIE!B:B,"GM"),"")</f>
        <v/>
      </c>
      <c r="S39" s="222">
        <f>IFERROR(AVERAGEIFS(SAISIE!AS:AS,SAISIE!Y:Y,BILAN!B39,SAISIE!B:B,"GM"),"")</f>
        <v/>
      </c>
      <c r="T39" s="223" t="n">
        <v>0.98</v>
      </c>
      <c r="V39" s="220" t="n">
        <v>27</v>
      </c>
      <c r="W39" s="222">
        <f>IFERROR(AVERAGEIFS(SAISIE!AD:AD,SAISIE!Y:Y,BILAN!B39,SAISIE!B:B,"PETQ9"),"")</f>
        <v/>
      </c>
      <c r="X39" s="222">
        <f>IFERROR(AVERAGEIFS(SAISIE!AF:AF,SAISIE!Y:Y,BILAN!B39,SAISIE!B:B,"PETQ9"),"")</f>
        <v/>
      </c>
      <c r="Y39" s="223" t="n">
        <v>0.98</v>
      </c>
      <c r="Z39" s="60" t="n"/>
      <c r="AA39" s="220" t="n">
        <v>27</v>
      </c>
      <c r="AB39" s="222">
        <f>IFERROR(AVERAGEIFS(SAISIE!AE:AE,SAISIE!Y:Y,BILAN!B39,SAISIE!B:B,"FLUX DEV"),"")</f>
        <v/>
      </c>
      <c r="AC39" s="222">
        <f>IFERROR(AVERAGEIFS(SAISIE!AD:AD,SAISIE!Y:Y,BILAN!B39,SAISIE!B:B,"FLUX DEV"),"")</f>
        <v/>
      </c>
      <c r="AD39" s="223" t="n">
        <v>0.98</v>
      </c>
      <c r="AF39" s="220" t="n">
        <v>27</v>
      </c>
      <c r="AG39" s="222">
        <f>IFERROR(AVERAGEIFS(SAISIE!AF:AF,SAISIE!Y:Y,BILAN!B39,SAISIE!B:B,"PETB"),"")</f>
        <v/>
      </c>
      <c r="AH39" s="222" t="n"/>
      <c r="AI39" s="223" t="n">
        <v>0.95</v>
      </c>
      <c r="AK39" s="220" t="n">
        <v>27</v>
      </c>
      <c r="AL39" s="222">
        <f>IFERROR(AVERAGEIFS(SAISIE!AG:AG,SAISIE!Y:Y,BILAN!B39,SAISIE!B:B,"PEPP"),"")</f>
        <v/>
      </c>
      <c r="AM39" s="222">
        <f>IFERROR(AVERAGEIFS(SAISIE!AT:AT,SAISIE!Y:Y,BILAN!B39,SAISIE!B:B,"PEPP"),"")</f>
        <v/>
      </c>
      <c r="AN39" s="223" t="n">
        <v>0.95</v>
      </c>
      <c r="AP39" s="220" t="n">
        <v>27</v>
      </c>
      <c r="AQ39" s="222">
        <f>IFERROR(AVERAGEIFS(SAISIE!AH:AH,SAISIE!Y:Y,BILAN!B39,SAISIE!B:B,"ELA"),"")</f>
        <v/>
      </c>
      <c r="AR39" s="222">
        <f>IFERROR(AVERAGEIFS(SAISIE!AN:AN,SAISIE!Y:Y,BILAN!B39,SAISIE!B:B,"ELA"),"")</f>
        <v/>
      </c>
      <c r="AS39" s="111" t="n">
        <v>0.95</v>
      </c>
      <c r="AT39" s="223">
        <f>IFERROR(AVERAGEIFS(SAISIE!AW:AW,SAISIE!Y:Y,BILAN!B39,SAISIE!B:B,"ELA"),"")</f>
        <v/>
      </c>
      <c r="AV39" s="220" t="n">
        <v>27</v>
      </c>
      <c r="AW39" s="222">
        <f>IFERROR(AVERAGEIFS(SAISIE!AI:AI,SAISIE!Y:Y,BILAN!B39,SAISIE!B:B,"FILM"),"")</f>
        <v/>
      </c>
      <c r="AX39" s="222">
        <f>IFERROR(AVERAGEIFS(SAISIE!AV:AV,SAISIE!Y:Y,BILAN!B39,SAISIE!B:B,"FILM"),"")</f>
        <v/>
      </c>
      <c r="AY39" s="223" t="n">
        <v>0.95</v>
      </c>
      <c r="AZ39" s="111" t="n"/>
      <c r="BA39" s="220" t="n">
        <v>27</v>
      </c>
      <c r="BB39" s="222">
        <f>IFERROR(AVERAGEIFS(SAISIE!AJ:AJ,SAISIE!Y:Y,BILAN!B39,SAISIE!B:B,"ACIER"),"")</f>
        <v/>
      </c>
      <c r="BC39" s="222" t="n"/>
      <c r="BD39" s="223" t="n">
        <v>0.95</v>
      </c>
      <c r="BE39" s="41" t="n"/>
      <c r="BF39" s="235" t="n">
        <v>27</v>
      </c>
      <c r="BG39" s="222">
        <f>IFERROR(AVERAGEIFS(SAISIE!AK:AK,SAISIE!Y:Y,BILAN!B39,SAISIE!B:B,"ALU"),"")</f>
        <v/>
      </c>
      <c r="BH39" s="222" t="n"/>
      <c r="BI39" s="223" t="n">
        <v>0.95</v>
      </c>
      <c r="BK39" s="220" t="n">
        <v>27</v>
      </c>
      <c r="BL39" s="222">
        <f>IFERROR(AVERAGEIFS(SAISIE!AL:AL,SAISIE!Y:Y,BILAN!B39,SAISIE!B:B,"PETIT ALU"),"")</f>
        <v/>
      </c>
      <c r="BM39" s="222">
        <f>IFERROR(AVERAGEIFS(SAISIE!AK:AK,SAISIE!Y:Y,BILAN!B39,SAISIE!B:B,"PETIT ALU"),"")</f>
        <v/>
      </c>
      <c r="BN39" s="223" t="n">
        <v>0.95</v>
      </c>
      <c r="BP39" s="220" t="n">
        <v>27</v>
      </c>
      <c r="BQ39" s="222">
        <f>IFERROR(AVERAGEIFS(SAISIE!AM:AM,SAISIE!Y:Y,BILAN!B39,SAISIE!B:B,"REFUS"),"")</f>
        <v/>
      </c>
      <c r="BR39" s="222">
        <f>IFERROR(AVERAGEIFS(SAISIE!AU:AU,SAISIE!Y:Y,BILAN!B39,SAISIE!B:B,"REFUS"),"")</f>
        <v/>
      </c>
      <c r="BS39" s="223" t="n">
        <v>0.95</v>
      </c>
      <c r="BU39" s="41" t="n"/>
      <c r="BV39" s="41" t="n"/>
      <c r="BW39" s="41" t="n"/>
      <c r="BX39" s="41" t="n"/>
    </row>
    <row r="40">
      <c r="B40" s="220" t="n">
        <v>28</v>
      </c>
      <c r="C40" s="222">
        <f>IFERROR(AVERAGEIFS(SAISIE!Z:Z,SAISIE!Y:Y,BILAN!B40,SAISIE!B:B,"JRM"),"")</f>
        <v/>
      </c>
      <c r="D40" s="222">
        <f>IFERROR(AVERAGEIFS(SAISIE!AP:AP,SAISIE!Y:Y,BILAN!B40,SAISIE!B:B,"JRM"),"")</f>
        <v/>
      </c>
      <c r="E40" s="223" t="n">
        <v>0.97</v>
      </c>
      <c r="F40" s="111" t="n"/>
      <c r="G40" s="220" t="n">
        <v>28</v>
      </c>
      <c r="H40" s="222">
        <f>IFERROR(AVERAGEIFS(SAISIE!AA:AA,SAISIE!Y:Y,BILAN!B40,SAISIE!B:B,"EMR"),"")</f>
        <v/>
      </c>
      <c r="I40" s="222">
        <f>IFERROR(AVERAGEIFS(SAISIE!AS:AS,SAISIE!Y:Y,BILAN!B40,SAISIE!B:B,"EMR"),"")</f>
        <v/>
      </c>
      <c r="J40" s="223" t="n">
        <v>0.95</v>
      </c>
      <c r="L40" s="220" t="n">
        <v>28</v>
      </c>
      <c r="M40" s="222">
        <f>IFERROR(AVERAGEIFS(SAISIE!AB:AB,SAISIE!Y:Y,BILAN!B40,SAISIE!B:B,"CARTON"),"")</f>
        <v/>
      </c>
      <c r="N40" s="222">
        <f>IFERROR(AVERAGEIFS(SAISIE!AS:AS,SAISIE!Y:Y,BILAN!B40,SAISIE!B:B,"CARTON"),"")</f>
        <v/>
      </c>
      <c r="O40" s="223" t="n">
        <v>0.95</v>
      </c>
      <c r="Q40" s="220" t="n">
        <v>28</v>
      </c>
      <c r="R40" s="222">
        <f>IFERROR(AVERAGEIFS(SAISIE!AC:AC,SAISIE!Y:Y,BILAN!B40,SAISIE!B:B,"GM"),"")</f>
        <v/>
      </c>
      <c r="S40" s="222">
        <f>IFERROR(AVERAGEIFS(SAISIE!AS:AS,SAISIE!Y:Y,BILAN!B40,SAISIE!B:B,"GM"),"")</f>
        <v/>
      </c>
      <c r="T40" s="223" t="n">
        <v>0.98</v>
      </c>
      <c r="V40" s="220" t="n">
        <v>28</v>
      </c>
      <c r="W40" s="222">
        <f>IFERROR(AVERAGEIFS(SAISIE!AD:AD,SAISIE!Y:Y,BILAN!B40,SAISIE!B:B,"PETQ9"),"")</f>
        <v/>
      </c>
      <c r="X40" s="222">
        <f>IFERROR(AVERAGEIFS(SAISIE!AF:AF,SAISIE!Y:Y,BILAN!B40,SAISIE!B:B,"PETQ9"),"")</f>
        <v/>
      </c>
      <c r="Y40" s="223" t="n">
        <v>0.98</v>
      </c>
      <c r="Z40" s="60" t="n"/>
      <c r="AA40" s="220" t="n">
        <v>28</v>
      </c>
      <c r="AB40" s="222">
        <f>IFERROR(AVERAGEIFS(SAISIE!AE:AE,SAISIE!Y:Y,BILAN!B40,SAISIE!B:B,"FLUX DEV"),"")</f>
        <v/>
      </c>
      <c r="AC40" s="222">
        <f>IFERROR(AVERAGEIFS(SAISIE!AD:AD,SAISIE!Y:Y,BILAN!B40,SAISIE!B:B,"FLUX DEV"),"")</f>
        <v/>
      </c>
      <c r="AD40" s="223" t="n">
        <v>0.98</v>
      </c>
      <c r="AF40" s="220" t="n">
        <v>28</v>
      </c>
      <c r="AG40" s="222">
        <f>IFERROR(AVERAGEIFS(SAISIE!AF:AF,SAISIE!Y:Y,BILAN!B40,SAISIE!B:B,"PETB"),"")</f>
        <v/>
      </c>
      <c r="AH40" s="222" t="n"/>
      <c r="AI40" s="223" t="n">
        <v>0.95</v>
      </c>
      <c r="AK40" s="220" t="n">
        <v>28</v>
      </c>
      <c r="AL40" s="222">
        <f>IFERROR(AVERAGEIFS(SAISIE!AG:AG,SAISIE!Y:Y,BILAN!B40,SAISIE!B:B,"PEPP"),"")</f>
        <v/>
      </c>
      <c r="AM40" s="222">
        <f>IFERROR(AVERAGEIFS(SAISIE!AT:AT,SAISIE!Y:Y,BILAN!B40,SAISIE!B:B,"PEPP"),"")</f>
        <v/>
      </c>
      <c r="AN40" s="223" t="n">
        <v>0.95</v>
      </c>
      <c r="AP40" s="220" t="n">
        <v>28</v>
      </c>
      <c r="AQ40" s="222">
        <f>IFERROR(AVERAGEIFS(SAISIE!AH:AH,SAISIE!Y:Y,BILAN!B40,SAISIE!B:B,"ELA"),"")</f>
        <v/>
      </c>
      <c r="AR40" s="222">
        <f>IFERROR(AVERAGEIFS(SAISIE!AN:AN,SAISIE!Y:Y,BILAN!B40,SAISIE!B:B,"ELA"),"")</f>
        <v/>
      </c>
      <c r="AS40" s="111" t="n">
        <v>0.95</v>
      </c>
      <c r="AT40" s="223">
        <f>IFERROR(AVERAGEIFS(SAISIE!AW:AW,SAISIE!Y:Y,BILAN!B40,SAISIE!B:B,"ELA"),"")</f>
        <v/>
      </c>
      <c r="AV40" s="220" t="n">
        <v>28</v>
      </c>
      <c r="AW40" s="222">
        <f>IFERROR(AVERAGEIFS(SAISIE!AI:AI,SAISIE!Y:Y,BILAN!B40,SAISIE!B:B,"FILM"),"")</f>
        <v/>
      </c>
      <c r="AX40" s="222">
        <f>IFERROR(AVERAGEIFS(SAISIE!AV:AV,SAISIE!Y:Y,BILAN!B40,SAISIE!B:B,"FILM"),"")</f>
        <v/>
      </c>
      <c r="AY40" s="223" t="n">
        <v>0.95</v>
      </c>
      <c r="AZ40" s="111" t="n"/>
      <c r="BA40" s="220" t="n">
        <v>28</v>
      </c>
      <c r="BB40" s="222">
        <f>IFERROR(AVERAGEIFS(SAISIE!AJ:AJ,SAISIE!Y:Y,BILAN!B40,SAISIE!B:B,"ACIER"),"")</f>
        <v/>
      </c>
      <c r="BC40" s="222" t="n"/>
      <c r="BD40" s="223" t="n">
        <v>0.95</v>
      </c>
      <c r="BE40" s="41" t="n"/>
      <c r="BF40" s="235" t="n">
        <v>28</v>
      </c>
      <c r="BG40" s="222">
        <f>IFERROR(AVERAGEIFS(SAISIE!AK:AK,SAISIE!Y:Y,BILAN!B40,SAISIE!B:B,"ALU"),"")</f>
        <v/>
      </c>
      <c r="BH40" s="222" t="n"/>
      <c r="BI40" s="223" t="n">
        <v>0.95</v>
      </c>
      <c r="BK40" s="220" t="n">
        <v>28</v>
      </c>
      <c r="BL40" s="222">
        <f>IFERROR(AVERAGEIFS(SAISIE!AL:AL,SAISIE!Y:Y,BILAN!B40,SAISIE!B:B,"PETIT ALU"),"")</f>
        <v/>
      </c>
      <c r="BM40" s="222">
        <f>IFERROR(AVERAGEIFS(SAISIE!AK:AK,SAISIE!Y:Y,BILAN!B40,SAISIE!B:B,"PETIT ALU"),"")</f>
        <v/>
      </c>
      <c r="BN40" s="223" t="n">
        <v>0.95</v>
      </c>
      <c r="BP40" s="220" t="n">
        <v>28</v>
      </c>
      <c r="BQ40" s="222">
        <f>IFERROR(AVERAGEIFS(SAISIE!AM:AM,SAISIE!Y:Y,BILAN!B40,SAISIE!B:B,"REFUS"),"")</f>
        <v/>
      </c>
      <c r="BR40" s="222">
        <f>IFERROR(AVERAGEIFS(SAISIE!AU:AU,SAISIE!Y:Y,BILAN!B40,SAISIE!B:B,"REFUS"),"")</f>
        <v/>
      </c>
      <c r="BS40" s="223" t="n">
        <v>0.95</v>
      </c>
      <c r="BU40" s="41" t="n"/>
      <c r="BV40" s="41" t="n"/>
      <c r="BW40" s="41" t="n"/>
      <c r="BX40" s="41" t="n"/>
    </row>
    <row r="41">
      <c r="B41" s="220" t="n">
        <v>29</v>
      </c>
      <c r="C41" s="222">
        <f>IFERROR(AVERAGEIFS(SAISIE!Z:Z,SAISIE!Y:Y,BILAN!B41,SAISIE!B:B,"JRM"),"")</f>
        <v/>
      </c>
      <c r="D41" s="222">
        <f>IFERROR(AVERAGEIFS(SAISIE!AP:AP,SAISIE!Y:Y,BILAN!B41,SAISIE!B:B,"JRM"),"")</f>
        <v/>
      </c>
      <c r="E41" s="223" t="n">
        <v>0.97</v>
      </c>
      <c r="F41" s="111" t="n"/>
      <c r="G41" s="220" t="n">
        <v>29</v>
      </c>
      <c r="H41" s="222">
        <f>IFERROR(AVERAGEIFS(SAISIE!AA:AA,SAISIE!Y:Y,BILAN!B41,SAISIE!B:B,"EMR"),"")</f>
        <v/>
      </c>
      <c r="I41" s="222">
        <f>IFERROR(AVERAGEIFS(SAISIE!AS:AS,SAISIE!Y:Y,BILAN!B41,SAISIE!B:B,"EMR"),"")</f>
        <v/>
      </c>
      <c r="J41" s="223" t="n">
        <v>0.95</v>
      </c>
      <c r="L41" s="220" t="n">
        <v>29</v>
      </c>
      <c r="M41" s="222">
        <f>IFERROR(AVERAGEIFS(SAISIE!AB:AB,SAISIE!Y:Y,BILAN!B41,SAISIE!B:B,"CARTON"),"")</f>
        <v/>
      </c>
      <c r="N41" s="222">
        <f>IFERROR(AVERAGEIFS(SAISIE!AS:AS,SAISIE!Y:Y,BILAN!B41,SAISIE!B:B,"CARTON"),"")</f>
        <v/>
      </c>
      <c r="O41" s="223" t="n">
        <v>0.95</v>
      </c>
      <c r="Q41" s="220" t="n">
        <v>29</v>
      </c>
      <c r="R41" s="222">
        <f>IFERROR(AVERAGEIFS(SAISIE!AC:AC,SAISIE!Y:Y,BILAN!B41,SAISIE!B:B,"GM"),"")</f>
        <v/>
      </c>
      <c r="S41" s="222">
        <f>IFERROR(AVERAGEIFS(SAISIE!AS:AS,SAISIE!Y:Y,BILAN!B41,SAISIE!B:B,"GM"),"")</f>
        <v/>
      </c>
      <c r="T41" s="223" t="n">
        <v>0.98</v>
      </c>
      <c r="V41" s="220" t="n">
        <v>29</v>
      </c>
      <c r="W41" s="222">
        <f>IFERROR(AVERAGEIFS(SAISIE!AD:AD,SAISIE!Y:Y,BILAN!B41,SAISIE!B:B,"PETQ9"),"")</f>
        <v/>
      </c>
      <c r="X41" s="222">
        <f>IFERROR(AVERAGEIFS(SAISIE!AF:AF,SAISIE!Y:Y,BILAN!B41,SAISIE!B:B,"PETQ9"),"")</f>
        <v/>
      </c>
      <c r="Y41" s="223" t="n">
        <v>0.98</v>
      </c>
      <c r="Z41" s="60" t="n"/>
      <c r="AA41" s="220" t="n">
        <v>29</v>
      </c>
      <c r="AB41" s="222">
        <f>IFERROR(AVERAGEIFS(SAISIE!AE:AE,SAISIE!Y:Y,BILAN!B41,SAISIE!B:B,"FLUX DEV"),"")</f>
        <v/>
      </c>
      <c r="AC41" s="222">
        <f>IFERROR(AVERAGEIFS(SAISIE!AD:AD,SAISIE!Y:Y,BILAN!B41,SAISIE!B:B,"FLUX DEV"),"")</f>
        <v/>
      </c>
      <c r="AD41" s="223" t="n">
        <v>0.98</v>
      </c>
      <c r="AF41" s="220" t="n">
        <v>29</v>
      </c>
      <c r="AG41" s="222">
        <f>IFERROR(AVERAGEIFS(SAISIE!AF:AF,SAISIE!Y:Y,BILAN!B41,SAISIE!B:B,"PETB"),"")</f>
        <v/>
      </c>
      <c r="AH41" s="222" t="n"/>
      <c r="AI41" s="223" t="n">
        <v>0.95</v>
      </c>
      <c r="AK41" s="220" t="n">
        <v>29</v>
      </c>
      <c r="AL41" s="222">
        <f>IFERROR(AVERAGEIFS(SAISIE!AG:AG,SAISIE!Y:Y,BILAN!B41,SAISIE!B:B,"PEPP"),"")</f>
        <v/>
      </c>
      <c r="AM41" s="222">
        <f>IFERROR(AVERAGEIFS(SAISIE!AT:AT,SAISIE!Y:Y,BILAN!B41,SAISIE!B:B,"PEPP"),"")</f>
        <v/>
      </c>
      <c r="AN41" s="223" t="n">
        <v>0.95</v>
      </c>
      <c r="AP41" s="220" t="n">
        <v>29</v>
      </c>
      <c r="AQ41" s="222">
        <f>IFERROR(AVERAGEIFS(SAISIE!AH:AH,SAISIE!Y:Y,BILAN!B41,SAISIE!B:B,"ELA"),"")</f>
        <v/>
      </c>
      <c r="AR41" s="222">
        <f>IFERROR(AVERAGEIFS(SAISIE!AN:AN,SAISIE!Y:Y,BILAN!B41,SAISIE!B:B,"ELA"),"")</f>
        <v/>
      </c>
      <c r="AS41" s="111" t="n">
        <v>0.95</v>
      </c>
      <c r="AT41" s="223">
        <f>IFERROR(AVERAGEIFS(SAISIE!AW:AW,SAISIE!Y:Y,BILAN!B41,SAISIE!B:B,"ELA"),"")</f>
        <v/>
      </c>
      <c r="AV41" s="220" t="n">
        <v>29</v>
      </c>
      <c r="AW41" s="222">
        <f>IFERROR(AVERAGEIFS(SAISIE!AI:AI,SAISIE!Y:Y,BILAN!B41,SAISIE!B:B,"FILM"),"")</f>
        <v/>
      </c>
      <c r="AX41" s="222">
        <f>IFERROR(AVERAGEIFS(SAISIE!AV:AV,SAISIE!Y:Y,BILAN!B41,SAISIE!B:B,"FILM"),"")</f>
        <v/>
      </c>
      <c r="AY41" s="223" t="n">
        <v>0.95</v>
      </c>
      <c r="AZ41" s="111" t="n"/>
      <c r="BA41" s="220" t="n">
        <v>29</v>
      </c>
      <c r="BB41" s="222">
        <f>IFERROR(AVERAGEIFS(SAISIE!AJ:AJ,SAISIE!Y:Y,BILAN!B41,SAISIE!B:B,"ACIER"),"")</f>
        <v/>
      </c>
      <c r="BC41" s="222" t="n"/>
      <c r="BD41" s="223" t="n">
        <v>0.95</v>
      </c>
      <c r="BE41" s="41" t="n"/>
      <c r="BF41" s="235" t="n">
        <v>29</v>
      </c>
      <c r="BG41" s="222">
        <f>IFERROR(AVERAGEIFS(SAISIE!AK:AK,SAISIE!Y:Y,BILAN!B41,SAISIE!B:B,"ALU"),"")</f>
        <v/>
      </c>
      <c r="BH41" s="222" t="n"/>
      <c r="BI41" s="223" t="n">
        <v>0.95</v>
      </c>
      <c r="BK41" s="220" t="n">
        <v>29</v>
      </c>
      <c r="BL41" s="222">
        <f>IFERROR(AVERAGEIFS(SAISIE!AL:AL,SAISIE!Y:Y,BILAN!B41,SAISIE!B:B,"PETIT ALU"),"")</f>
        <v/>
      </c>
      <c r="BM41" s="222">
        <f>IFERROR(AVERAGEIFS(SAISIE!AK:AK,SAISIE!Y:Y,BILAN!B41,SAISIE!B:B,"PETIT ALU"),"")</f>
        <v/>
      </c>
      <c r="BN41" s="223" t="n">
        <v>0.95</v>
      </c>
      <c r="BP41" s="220" t="n">
        <v>29</v>
      </c>
      <c r="BQ41" s="222">
        <f>IFERROR(AVERAGEIFS(SAISIE!AM:AM,SAISIE!Y:Y,BILAN!B41,SAISIE!B:B,"REFUS"),"")</f>
        <v/>
      </c>
      <c r="BR41" s="222">
        <f>IFERROR(AVERAGEIFS(SAISIE!AU:AU,SAISIE!Y:Y,BILAN!B41,SAISIE!B:B,"REFUS"),"")</f>
        <v/>
      </c>
      <c r="BS41" s="223" t="n">
        <v>0.95</v>
      </c>
      <c r="BU41" s="41" t="n"/>
      <c r="BV41" s="41" t="n"/>
      <c r="BW41" s="41" t="n"/>
      <c r="BX41" s="41" t="n"/>
    </row>
    <row r="42">
      <c r="B42" s="220" t="n">
        <v>30</v>
      </c>
      <c r="C42" s="222">
        <f>IFERROR(AVERAGEIFS(SAISIE!Z:Z,SAISIE!Y:Y,BILAN!B42,SAISIE!B:B,"JRM"),"")</f>
        <v/>
      </c>
      <c r="D42" s="222">
        <f>IFERROR(AVERAGEIFS(SAISIE!AP:AP,SAISIE!Y:Y,BILAN!B42,SAISIE!B:B,"JRM"),"")</f>
        <v/>
      </c>
      <c r="E42" s="223" t="n">
        <v>0.97</v>
      </c>
      <c r="F42" s="111" t="n"/>
      <c r="G42" s="220" t="n">
        <v>30</v>
      </c>
      <c r="H42" s="222">
        <f>IFERROR(AVERAGEIFS(SAISIE!AA:AA,SAISIE!Y:Y,BILAN!B42,SAISIE!B:B,"EMR"),"")</f>
        <v/>
      </c>
      <c r="I42" s="222">
        <f>IFERROR(AVERAGEIFS(SAISIE!AS:AS,SAISIE!Y:Y,BILAN!B42,SAISIE!B:B,"EMR"),"")</f>
        <v/>
      </c>
      <c r="J42" s="223" t="n">
        <v>0.95</v>
      </c>
      <c r="L42" s="220" t="n">
        <v>30</v>
      </c>
      <c r="M42" s="222">
        <f>IFERROR(AVERAGEIFS(SAISIE!AB:AB,SAISIE!Y:Y,BILAN!B42,SAISIE!B:B,"CARTON"),"")</f>
        <v/>
      </c>
      <c r="N42" s="222">
        <f>IFERROR(AVERAGEIFS(SAISIE!AS:AS,SAISIE!Y:Y,BILAN!B42,SAISIE!B:B,"CARTON"),"")</f>
        <v/>
      </c>
      <c r="O42" s="223" t="n">
        <v>0.95</v>
      </c>
      <c r="Q42" s="220" t="n">
        <v>30</v>
      </c>
      <c r="R42" s="222">
        <f>IFERROR(AVERAGEIFS(SAISIE!AC:AC,SAISIE!Y:Y,BILAN!B42,SAISIE!B:B,"GM"),"")</f>
        <v/>
      </c>
      <c r="S42" s="222">
        <f>IFERROR(AVERAGEIFS(SAISIE!AS:AS,SAISIE!Y:Y,BILAN!B42,SAISIE!B:B,"GM"),"")</f>
        <v/>
      </c>
      <c r="T42" s="223" t="n">
        <v>0.98</v>
      </c>
      <c r="V42" s="220" t="n">
        <v>30</v>
      </c>
      <c r="W42" s="222">
        <f>IFERROR(AVERAGEIFS(SAISIE!AD:AD,SAISIE!Y:Y,BILAN!B42,SAISIE!B:B,"PETQ9"),"")</f>
        <v/>
      </c>
      <c r="X42" s="222">
        <f>IFERROR(AVERAGEIFS(SAISIE!AF:AF,SAISIE!Y:Y,BILAN!B42,SAISIE!B:B,"PETQ9"),"")</f>
        <v/>
      </c>
      <c r="Y42" s="223" t="n">
        <v>0.98</v>
      </c>
      <c r="Z42" s="60" t="n"/>
      <c r="AA42" s="220" t="n">
        <v>30</v>
      </c>
      <c r="AB42" s="222">
        <f>IFERROR(AVERAGEIFS(SAISIE!AE:AE,SAISIE!Y:Y,BILAN!B42,SAISIE!B:B,"FLUX DEV"),"")</f>
        <v/>
      </c>
      <c r="AC42" s="222">
        <f>IFERROR(AVERAGEIFS(SAISIE!AD:AD,SAISIE!Y:Y,BILAN!B42,SAISIE!B:B,"FLUX DEV"),"")</f>
        <v/>
      </c>
      <c r="AD42" s="223" t="n">
        <v>0.98</v>
      </c>
      <c r="AF42" s="220" t="n">
        <v>30</v>
      </c>
      <c r="AG42" s="222">
        <f>IFERROR(AVERAGEIFS(SAISIE!AF:AF,SAISIE!Y:Y,BILAN!B42,SAISIE!B:B,"PETB"),"")</f>
        <v/>
      </c>
      <c r="AH42" s="222" t="n"/>
      <c r="AI42" s="223" t="n">
        <v>0.95</v>
      </c>
      <c r="AK42" s="220" t="n">
        <v>30</v>
      </c>
      <c r="AL42" s="222">
        <f>IFERROR(AVERAGEIFS(SAISIE!AG:AG,SAISIE!Y:Y,BILAN!B42,SAISIE!B:B,"PEPP"),"")</f>
        <v/>
      </c>
      <c r="AM42" s="222">
        <f>IFERROR(AVERAGEIFS(SAISIE!AT:AT,SAISIE!Y:Y,BILAN!B42,SAISIE!B:B,"PEPP"),"")</f>
        <v/>
      </c>
      <c r="AN42" s="223" t="n">
        <v>0.95</v>
      </c>
      <c r="AP42" s="220" t="n">
        <v>30</v>
      </c>
      <c r="AQ42" s="222">
        <f>IFERROR(AVERAGEIFS(SAISIE!AH:AH,SAISIE!Y:Y,BILAN!B42,SAISIE!B:B,"ELA"),"")</f>
        <v/>
      </c>
      <c r="AR42" s="222">
        <f>IFERROR(AVERAGEIFS(SAISIE!AN:AN,SAISIE!Y:Y,BILAN!B42,SAISIE!B:B,"ELA"),"")</f>
        <v/>
      </c>
      <c r="AS42" s="111" t="n">
        <v>0.95</v>
      </c>
      <c r="AT42" s="223">
        <f>IFERROR(AVERAGEIFS(SAISIE!AW:AW,SAISIE!Y:Y,BILAN!B42,SAISIE!B:B,"ELA"),"")</f>
        <v/>
      </c>
      <c r="AV42" s="220" t="n">
        <v>30</v>
      </c>
      <c r="AW42" s="222">
        <f>IFERROR(AVERAGEIFS(SAISIE!AI:AI,SAISIE!Y:Y,BILAN!B42,SAISIE!B:B,"FILM"),"")</f>
        <v/>
      </c>
      <c r="AX42" s="222">
        <f>IFERROR(AVERAGEIFS(SAISIE!AV:AV,SAISIE!Y:Y,BILAN!B42,SAISIE!B:B,"FILM"),"")</f>
        <v/>
      </c>
      <c r="AY42" s="223" t="n">
        <v>0.95</v>
      </c>
      <c r="AZ42" s="111" t="n"/>
      <c r="BA42" s="220" t="n">
        <v>30</v>
      </c>
      <c r="BB42" s="222">
        <f>IFERROR(AVERAGEIFS(SAISIE!AJ:AJ,SAISIE!Y:Y,BILAN!B42,SAISIE!B:B,"ACIER"),"")</f>
        <v/>
      </c>
      <c r="BC42" s="222" t="n"/>
      <c r="BD42" s="223" t="n">
        <v>0.95</v>
      </c>
      <c r="BE42" s="41" t="n"/>
      <c r="BF42" s="235" t="n">
        <v>30</v>
      </c>
      <c r="BG42" s="222">
        <f>IFERROR(AVERAGEIFS(SAISIE!AK:AK,SAISIE!Y:Y,BILAN!B42,SAISIE!B:B,"ALU"),"")</f>
        <v/>
      </c>
      <c r="BH42" s="222" t="n"/>
      <c r="BI42" s="223" t="n">
        <v>0.95</v>
      </c>
      <c r="BK42" s="220" t="n">
        <v>30</v>
      </c>
      <c r="BL42" s="222">
        <f>IFERROR(AVERAGEIFS(SAISIE!AL:AL,SAISIE!Y:Y,BILAN!B42,SAISIE!B:B,"PETIT ALU"),"")</f>
        <v/>
      </c>
      <c r="BM42" s="222">
        <f>IFERROR(AVERAGEIFS(SAISIE!AK:AK,SAISIE!Y:Y,BILAN!B42,SAISIE!B:B,"PETIT ALU"),"")</f>
        <v/>
      </c>
      <c r="BN42" s="223" t="n">
        <v>0.95</v>
      </c>
      <c r="BP42" s="220" t="n">
        <v>30</v>
      </c>
      <c r="BQ42" s="222">
        <f>IFERROR(AVERAGEIFS(SAISIE!AM:AM,SAISIE!Y:Y,BILAN!B42,SAISIE!B:B,"REFUS"),"")</f>
        <v/>
      </c>
      <c r="BR42" s="222">
        <f>IFERROR(AVERAGEIFS(SAISIE!AU:AU,SAISIE!Y:Y,BILAN!B42,SAISIE!B:B,"REFUS"),"")</f>
        <v/>
      </c>
      <c r="BS42" s="223" t="n">
        <v>0.95</v>
      </c>
      <c r="BU42" s="41" t="n"/>
      <c r="BV42" s="41" t="n"/>
      <c r="BW42" s="41" t="n"/>
      <c r="BX42" s="41" t="n"/>
    </row>
    <row r="43">
      <c r="B43" s="220" t="n">
        <v>31</v>
      </c>
      <c r="C43" s="222">
        <f>IFERROR(AVERAGEIFS(SAISIE!Z:Z,SAISIE!Y:Y,BILAN!B43,SAISIE!B:B,"JRM"),"")</f>
        <v/>
      </c>
      <c r="D43" s="222">
        <f>IFERROR(AVERAGEIFS(SAISIE!AP:AP,SAISIE!Y:Y,BILAN!B43,SAISIE!B:B,"JRM"),"")</f>
        <v/>
      </c>
      <c r="E43" s="223" t="n">
        <v>0.97</v>
      </c>
      <c r="F43" s="111" t="n"/>
      <c r="G43" s="220" t="n">
        <v>31</v>
      </c>
      <c r="H43" s="222">
        <f>IFERROR(AVERAGEIFS(SAISIE!AA:AA,SAISIE!Y:Y,BILAN!B43,SAISIE!B:B,"EMR"),"")</f>
        <v/>
      </c>
      <c r="I43" s="222">
        <f>IFERROR(AVERAGEIFS(SAISIE!AS:AS,SAISIE!Y:Y,BILAN!B43,SAISIE!B:B,"EMR"),"")</f>
        <v/>
      </c>
      <c r="J43" s="223" t="n">
        <v>0.95</v>
      </c>
      <c r="L43" s="220" t="n">
        <v>31</v>
      </c>
      <c r="M43" s="222">
        <f>IFERROR(AVERAGEIFS(SAISIE!AB:AB,SAISIE!Y:Y,BILAN!B43,SAISIE!B:B,"CARTON"),"")</f>
        <v/>
      </c>
      <c r="N43" s="222">
        <f>IFERROR(AVERAGEIFS(SAISIE!AS:AS,SAISIE!Y:Y,BILAN!B43,SAISIE!B:B,"CARTON"),"")</f>
        <v/>
      </c>
      <c r="O43" s="223" t="n">
        <v>0.95</v>
      </c>
      <c r="Q43" s="220" t="n">
        <v>31</v>
      </c>
      <c r="R43" s="222">
        <f>IFERROR(AVERAGEIFS(SAISIE!AC:AC,SAISIE!Y:Y,BILAN!B43,SAISIE!B:B,"GM"),"")</f>
        <v/>
      </c>
      <c r="S43" s="222">
        <f>IFERROR(AVERAGEIFS(SAISIE!AS:AS,SAISIE!Y:Y,BILAN!B43,SAISIE!B:B,"GM"),"")</f>
        <v/>
      </c>
      <c r="T43" s="223" t="n">
        <v>0.98</v>
      </c>
      <c r="V43" s="220" t="n">
        <v>31</v>
      </c>
      <c r="W43" s="222">
        <f>IFERROR(AVERAGEIFS(SAISIE!AD:AD,SAISIE!Y:Y,BILAN!B43,SAISIE!B:B,"PETQ9"),"")</f>
        <v/>
      </c>
      <c r="X43" s="222">
        <f>IFERROR(AVERAGEIFS(SAISIE!AF:AF,SAISIE!Y:Y,BILAN!B43,SAISIE!B:B,"PETQ9"),"")</f>
        <v/>
      </c>
      <c r="Y43" s="223" t="n">
        <v>0.98</v>
      </c>
      <c r="Z43" s="60" t="n"/>
      <c r="AA43" s="220" t="n">
        <v>31</v>
      </c>
      <c r="AB43" s="222">
        <f>IFERROR(AVERAGEIFS(SAISIE!AE:AE,SAISIE!Y:Y,BILAN!B43,SAISIE!B:B,"FLUX DEV"),"")</f>
        <v/>
      </c>
      <c r="AC43" s="222">
        <f>IFERROR(AVERAGEIFS(SAISIE!AD:AD,SAISIE!Y:Y,BILAN!B43,SAISIE!B:B,"FLUX DEV"),"")</f>
        <v/>
      </c>
      <c r="AD43" s="223" t="n">
        <v>0.98</v>
      </c>
      <c r="AF43" s="220" t="n">
        <v>31</v>
      </c>
      <c r="AG43" s="222">
        <f>IFERROR(AVERAGEIFS(SAISIE!AF:AF,SAISIE!Y:Y,BILAN!B43,SAISIE!B:B,"PETB"),"")</f>
        <v/>
      </c>
      <c r="AH43" s="222" t="n"/>
      <c r="AI43" s="223" t="n">
        <v>0.95</v>
      </c>
      <c r="AK43" s="220" t="n">
        <v>31</v>
      </c>
      <c r="AL43" s="222">
        <f>IFERROR(AVERAGEIFS(SAISIE!AG:AG,SAISIE!Y:Y,BILAN!B43,SAISIE!B:B,"PEPP"),"")</f>
        <v/>
      </c>
      <c r="AM43" s="222">
        <f>IFERROR(AVERAGEIFS(SAISIE!AT:AT,SAISIE!Y:Y,BILAN!B43,SAISIE!B:B,"PEPP"),"")</f>
        <v/>
      </c>
      <c r="AN43" s="223" t="n">
        <v>0.95</v>
      </c>
      <c r="AP43" s="220" t="n">
        <v>31</v>
      </c>
      <c r="AQ43" s="222">
        <f>IFERROR(AVERAGEIFS(SAISIE!AH:AH,SAISIE!Y:Y,BILAN!B43,SAISIE!B:B,"ELA"),"")</f>
        <v/>
      </c>
      <c r="AR43" s="222">
        <f>IFERROR(AVERAGEIFS(SAISIE!AN:AN,SAISIE!Y:Y,BILAN!B43,SAISIE!B:B,"ELA"),"")</f>
        <v/>
      </c>
      <c r="AS43" s="111" t="n">
        <v>0.95</v>
      </c>
      <c r="AT43" s="223">
        <f>IFERROR(AVERAGEIFS(SAISIE!AW:AW,SAISIE!Y:Y,BILAN!B43,SAISIE!B:B,"ELA"),"")</f>
        <v/>
      </c>
      <c r="AV43" s="220" t="n">
        <v>31</v>
      </c>
      <c r="AW43" s="222">
        <f>IFERROR(AVERAGEIFS(SAISIE!AI:AI,SAISIE!Y:Y,BILAN!B43,SAISIE!B:B,"FILM"),"")</f>
        <v/>
      </c>
      <c r="AX43" s="222">
        <f>IFERROR(AVERAGEIFS(SAISIE!AV:AV,SAISIE!Y:Y,BILAN!B43,SAISIE!B:B,"FILM"),"")</f>
        <v/>
      </c>
      <c r="AY43" s="223" t="n">
        <v>0.95</v>
      </c>
      <c r="AZ43" s="111" t="n"/>
      <c r="BA43" s="220" t="n">
        <v>31</v>
      </c>
      <c r="BB43" s="222">
        <f>IFERROR(AVERAGEIFS(SAISIE!AJ:AJ,SAISIE!Y:Y,BILAN!B43,SAISIE!B:B,"ACIER"),"")</f>
        <v/>
      </c>
      <c r="BC43" s="222" t="n"/>
      <c r="BD43" s="223" t="n">
        <v>0.95</v>
      </c>
      <c r="BE43" s="41" t="n"/>
      <c r="BF43" s="235" t="n">
        <v>31</v>
      </c>
      <c r="BG43" s="222">
        <f>IFERROR(AVERAGEIFS(SAISIE!AK:AK,SAISIE!Y:Y,BILAN!B43,SAISIE!B:B,"ALU"),"")</f>
        <v/>
      </c>
      <c r="BH43" s="222" t="n"/>
      <c r="BI43" s="223" t="n">
        <v>0.95</v>
      </c>
      <c r="BK43" s="220" t="n">
        <v>31</v>
      </c>
      <c r="BL43" s="222">
        <f>IFERROR(AVERAGEIFS(SAISIE!AL:AL,SAISIE!Y:Y,BILAN!B43,SAISIE!B:B,"PETIT ALU"),"")</f>
        <v/>
      </c>
      <c r="BM43" s="222">
        <f>IFERROR(AVERAGEIFS(SAISIE!AK:AK,SAISIE!Y:Y,BILAN!B43,SAISIE!B:B,"PETIT ALU"),"")</f>
        <v/>
      </c>
      <c r="BN43" s="223" t="n">
        <v>0.95</v>
      </c>
      <c r="BP43" s="220" t="n">
        <v>31</v>
      </c>
      <c r="BQ43" s="222">
        <f>IFERROR(AVERAGEIFS(SAISIE!AM:AM,SAISIE!Y:Y,BILAN!B43,SAISIE!B:B,"REFUS"),"")</f>
        <v/>
      </c>
      <c r="BR43" s="222">
        <f>IFERROR(AVERAGEIFS(SAISIE!AU:AU,SAISIE!Y:Y,BILAN!B43,SAISIE!B:B,"REFUS"),"")</f>
        <v/>
      </c>
      <c r="BS43" s="223" t="n">
        <v>0.95</v>
      </c>
      <c r="BU43" s="41" t="n"/>
      <c r="BV43" s="41" t="n"/>
      <c r="BW43" s="41" t="n"/>
      <c r="BX43" s="41" t="n"/>
    </row>
    <row r="44">
      <c r="B44" s="220" t="n">
        <v>32</v>
      </c>
      <c r="C44" s="222">
        <f>IFERROR(AVERAGEIFS(SAISIE!Z:Z,SAISIE!Y:Y,BILAN!B44,SAISIE!B:B,"JRM"),"")</f>
        <v/>
      </c>
      <c r="D44" s="222">
        <f>IFERROR(AVERAGEIFS(SAISIE!AP:AP,SAISIE!Y:Y,BILAN!B44,SAISIE!B:B,"JRM"),"")</f>
        <v/>
      </c>
      <c r="E44" s="223" t="n">
        <v>0.97</v>
      </c>
      <c r="F44" s="111" t="n"/>
      <c r="G44" s="220" t="n">
        <v>32</v>
      </c>
      <c r="H44" s="222">
        <f>IFERROR(AVERAGEIFS(SAISIE!AA:AA,SAISIE!Y:Y,BILAN!B44,SAISIE!B:B,"EMR"),"")</f>
        <v/>
      </c>
      <c r="I44" s="222">
        <f>IFERROR(AVERAGEIFS(SAISIE!AS:AS,SAISIE!Y:Y,BILAN!B44,SAISIE!B:B,"EMR"),"")</f>
        <v/>
      </c>
      <c r="J44" s="223" t="n">
        <v>0.95</v>
      </c>
      <c r="L44" s="220" t="n">
        <v>32</v>
      </c>
      <c r="M44" s="222">
        <f>IFERROR(AVERAGEIFS(SAISIE!AB:AB,SAISIE!Y:Y,BILAN!B44,SAISIE!B:B,"CARTON"),"")</f>
        <v/>
      </c>
      <c r="N44" s="222">
        <f>IFERROR(AVERAGEIFS(SAISIE!AS:AS,SAISIE!Y:Y,BILAN!B44,SAISIE!B:B,"CARTON"),"")</f>
        <v/>
      </c>
      <c r="O44" s="223" t="n">
        <v>0.95</v>
      </c>
      <c r="Q44" s="220" t="n">
        <v>32</v>
      </c>
      <c r="R44" s="222">
        <f>IFERROR(AVERAGEIFS(SAISIE!AC:AC,SAISIE!Y:Y,BILAN!B44,SAISIE!B:B,"GM"),"")</f>
        <v/>
      </c>
      <c r="S44" s="222">
        <f>IFERROR(AVERAGEIFS(SAISIE!AS:AS,SAISIE!Y:Y,BILAN!B44,SAISIE!B:B,"GM"),"")</f>
        <v/>
      </c>
      <c r="T44" s="223" t="n">
        <v>0.98</v>
      </c>
      <c r="V44" s="220" t="n">
        <v>32</v>
      </c>
      <c r="W44" s="222">
        <f>IFERROR(AVERAGEIFS(SAISIE!AD:AD,SAISIE!Y:Y,BILAN!B44,SAISIE!B:B,"PETQ9"),"")</f>
        <v/>
      </c>
      <c r="X44" s="222">
        <f>IFERROR(AVERAGEIFS(SAISIE!AF:AF,SAISIE!Y:Y,BILAN!B44,SAISIE!B:B,"PETQ9"),"")</f>
        <v/>
      </c>
      <c r="Y44" s="223" t="n">
        <v>0.98</v>
      </c>
      <c r="Z44" s="60" t="n"/>
      <c r="AA44" s="220" t="n">
        <v>32</v>
      </c>
      <c r="AB44" s="222">
        <f>IFERROR(AVERAGEIFS(SAISIE!AE:AE,SAISIE!Y:Y,BILAN!B44,SAISIE!B:B,"FLUX DEV"),"")</f>
        <v/>
      </c>
      <c r="AC44" s="222">
        <f>IFERROR(AVERAGEIFS(SAISIE!AD:AD,SAISIE!Y:Y,BILAN!B44,SAISIE!B:B,"FLUX DEV"),"")</f>
        <v/>
      </c>
      <c r="AD44" s="223" t="n">
        <v>0.98</v>
      </c>
      <c r="AF44" s="220" t="n">
        <v>32</v>
      </c>
      <c r="AG44" s="222">
        <f>IFERROR(AVERAGEIFS(SAISIE!AF:AF,SAISIE!Y:Y,BILAN!B44,SAISIE!B:B,"PETB"),"")</f>
        <v/>
      </c>
      <c r="AH44" s="222" t="n"/>
      <c r="AI44" s="223" t="n">
        <v>0.95</v>
      </c>
      <c r="AK44" s="220" t="n">
        <v>32</v>
      </c>
      <c r="AL44" s="222">
        <f>IFERROR(AVERAGEIFS(SAISIE!AG:AG,SAISIE!Y:Y,BILAN!B44,SAISIE!B:B,"PEPP"),"")</f>
        <v/>
      </c>
      <c r="AM44" s="222">
        <f>IFERROR(AVERAGEIFS(SAISIE!AT:AT,SAISIE!Y:Y,BILAN!B44,SAISIE!B:B,"PEPP"),"")</f>
        <v/>
      </c>
      <c r="AN44" s="223" t="n">
        <v>0.95</v>
      </c>
      <c r="AP44" s="220" t="n">
        <v>32</v>
      </c>
      <c r="AQ44" s="222">
        <f>IFERROR(AVERAGEIFS(SAISIE!AH:AH,SAISIE!Y:Y,BILAN!B44,SAISIE!B:B,"ELA"),"")</f>
        <v/>
      </c>
      <c r="AR44" s="222">
        <f>IFERROR(AVERAGEIFS(SAISIE!AN:AN,SAISIE!Y:Y,BILAN!B44,SAISIE!B:B,"ELA"),"")</f>
        <v/>
      </c>
      <c r="AS44" s="111" t="n">
        <v>0.95</v>
      </c>
      <c r="AT44" s="223">
        <f>IFERROR(AVERAGEIFS(SAISIE!AW:AW,SAISIE!Y:Y,BILAN!B44,SAISIE!B:B,"ELA"),"")</f>
        <v/>
      </c>
      <c r="AV44" s="220" t="n">
        <v>32</v>
      </c>
      <c r="AW44" s="222">
        <f>IFERROR(AVERAGEIFS(SAISIE!AI:AI,SAISIE!Y:Y,BILAN!B44,SAISIE!B:B,"FILM"),"")</f>
        <v/>
      </c>
      <c r="AX44" s="222">
        <f>IFERROR(AVERAGEIFS(SAISIE!AV:AV,SAISIE!Y:Y,BILAN!B44,SAISIE!B:B,"FILM"),"")</f>
        <v/>
      </c>
      <c r="AY44" s="223" t="n">
        <v>0.95</v>
      </c>
      <c r="AZ44" s="111" t="n"/>
      <c r="BA44" s="220" t="n">
        <v>32</v>
      </c>
      <c r="BB44" s="222">
        <f>IFERROR(AVERAGEIFS(SAISIE!AJ:AJ,SAISIE!Y:Y,BILAN!B44,SAISIE!B:B,"ACIER"),"")</f>
        <v/>
      </c>
      <c r="BC44" s="222" t="n"/>
      <c r="BD44" s="223" t="n">
        <v>0.95</v>
      </c>
      <c r="BE44" s="41" t="n"/>
      <c r="BF44" s="235" t="n">
        <v>32</v>
      </c>
      <c r="BG44" s="222">
        <f>IFERROR(AVERAGEIFS(SAISIE!AK:AK,SAISIE!Y:Y,BILAN!B44,SAISIE!B:B,"ALU"),"")</f>
        <v/>
      </c>
      <c r="BH44" s="222" t="n"/>
      <c r="BI44" s="223" t="n">
        <v>0.95</v>
      </c>
      <c r="BK44" s="220" t="n">
        <v>32</v>
      </c>
      <c r="BL44" s="222">
        <f>IFERROR(AVERAGEIFS(SAISIE!AL:AL,SAISIE!Y:Y,BILAN!B44,SAISIE!B:B,"PETIT ALU"),"")</f>
        <v/>
      </c>
      <c r="BM44" s="222">
        <f>IFERROR(AVERAGEIFS(SAISIE!AK:AK,SAISIE!Y:Y,BILAN!B44,SAISIE!B:B,"PETIT ALU"),"")</f>
        <v/>
      </c>
      <c r="BN44" s="223" t="n">
        <v>0.95</v>
      </c>
      <c r="BP44" s="220" t="n">
        <v>32</v>
      </c>
      <c r="BQ44" s="222">
        <f>IFERROR(AVERAGEIFS(SAISIE!AM:AM,SAISIE!Y:Y,BILAN!B44,SAISIE!B:B,"REFUS"),"")</f>
        <v/>
      </c>
      <c r="BR44" s="222">
        <f>IFERROR(AVERAGEIFS(SAISIE!AU:AU,SAISIE!Y:Y,BILAN!B44,SAISIE!B:B,"REFUS"),"")</f>
        <v/>
      </c>
      <c r="BS44" s="223" t="n">
        <v>0.95</v>
      </c>
      <c r="BU44" s="41" t="n"/>
      <c r="BV44" s="41" t="n"/>
      <c r="BW44" s="41" t="n"/>
      <c r="BX44" s="41" t="n"/>
    </row>
    <row r="45">
      <c r="B45" s="220" t="n">
        <v>33</v>
      </c>
      <c r="C45" s="222">
        <f>IFERROR(AVERAGEIFS(SAISIE!Z:Z,SAISIE!Y:Y,BILAN!B45,SAISIE!B:B,"JRM"),"")</f>
        <v/>
      </c>
      <c r="D45" s="222">
        <f>IFERROR(AVERAGEIFS(SAISIE!AP:AP,SAISIE!Y:Y,BILAN!B45,SAISIE!B:B,"JRM"),"")</f>
        <v/>
      </c>
      <c r="E45" s="223" t="n">
        <v>0.97</v>
      </c>
      <c r="F45" s="111" t="n"/>
      <c r="G45" s="220" t="n">
        <v>33</v>
      </c>
      <c r="H45" s="222">
        <f>IFERROR(AVERAGEIFS(SAISIE!AA:AA,SAISIE!Y:Y,BILAN!B45,SAISIE!B:B,"EMR"),"")</f>
        <v/>
      </c>
      <c r="I45" s="222">
        <f>IFERROR(AVERAGEIFS(SAISIE!AS:AS,SAISIE!Y:Y,BILAN!B45,SAISIE!B:B,"EMR"),"")</f>
        <v/>
      </c>
      <c r="J45" s="223" t="n">
        <v>0.95</v>
      </c>
      <c r="L45" s="220" t="n">
        <v>33</v>
      </c>
      <c r="M45" s="222">
        <f>IFERROR(AVERAGEIFS(SAISIE!AB:AB,SAISIE!Y:Y,BILAN!B45,SAISIE!B:B,"CARTON"),"")</f>
        <v/>
      </c>
      <c r="N45" s="222">
        <f>IFERROR(AVERAGEIFS(SAISIE!AS:AS,SAISIE!Y:Y,BILAN!B45,SAISIE!B:B,"CARTON"),"")</f>
        <v/>
      </c>
      <c r="O45" s="223" t="n">
        <v>0.95</v>
      </c>
      <c r="Q45" s="220" t="n">
        <v>33</v>
      </c>
      <c r="R45" s="222">
        <f>IFERROR(AVERAGEIFS(SAISIE!AC:AC,SAISIE!Y:Y,BILAN!B45,SAISIE!B:B,"GM"),"")</f>
        <v/>
      </c>
      <c r="S45" s="222">
        <f>IFERROR(AVERAGEIFS(SAISIE!AS:AS,SAISIE!Y:Y,BILAN!B45,SAISIE!B:B,"GM"),"")</f>
        <v/>
      </c>
      <c r="T45" s="223" t="n">
        <v>0.98</v>
      </c>
      <c r="V45" s="220" t="n">
        <v>33</v>
      </c>
      <c r="W45" s="222">
        <f>IFERROR(AVERAGEIFS(SAISIE!AD:AD,SAISIE!Y:Y,BILAN!B45,SAISIE!B:B,"PETQ9"),"")</f>
        <v/>
      </c>
      <c r="X45" s="222">
        <f>IFERROR(AVERAGEIFS(SAISIE!AF:AF,SAISIE!Y:Y,BILAN!B45,SAISIE!B:B,"PETQ9"),"")</f>
        <v/>
      </c>
      <c r="Y45" s="223" t="n">
        <v>0.98</v>
      </c>
      <c r="Z45" s="60" t="n"/>
      <c r="AA45" s="220" t="n">
        <v>33</v>
      </c>
      <c r="AB45" s="222">
        <f>IFERROR(AVERAGEIFS(SAISIE!AE:AE,SAISIE!Y:Y,BILAN!B45,SAISIE!B:B,"FLUX DEV"),"")</f>
        <v/>
      </c>
      <c r="AC45" s="222">
        <f>IFERROR(AVERAGEIFS(SAISIE!AD:AD,SAISIE!Y:Y,BILAN!B45,SAISIE!B:B,"FLUX DEV"),"")</f>
        <v/>
      </c>
      <c r="AD45" s="223" t="n">
        <v>0.98</v>
      </c>
      <c r="AF45" s="220" t="n">
        <v>33</v>
      </c>
      <c r="AG45" s="222">
        <f>IFERROR(AVERAGEIFS(SAISIE!AF:AF,SAISIE!Y:Y,BILAN!B45,SAISIE!B:B,"PETB"),"")</f>
        <v/>
      </c>
      <c r="AH45" s="222" t="n"/>
      <c r="AI45" s="223" t="n">
        <v>0.95</v>
      </c>
      <c r="AK45" s="220" t="n">
        <v>33</v>
      </c>
      <c r="AL45" s="222">
        <f>IFERROR(AVERAGEIFS(SAISIE!AG:AG,SAISIE!Y:Y,BILAN!B45,SAISIE!B:B,"PEPP"),"")</f>
        <v/>
      </c>
      <c r="AM45" s="222">
        <f>IFERROR(AVERAGEIFS(SAISIE!AT:AT,SAISIE!Y:Y,BILAN!B45,SAISIE!B:B,"PEPP"),"")</f>
        <v/>
      </c>
      <c r="AN45" s="223" t="n">
        <v>0.95</v>
      </c>
      <c r="AP45" s="220" t="n">
        <v>33</v>
      </c>
      <c r="AQ45" s="222">
        <f>IFERROR(AVERAGEIFS(SAISIE!AH:AH,SAISIE!Y:Y,BILAN!B45,SAISIE!B:B,"ELA"),"")</f>
        <v/>
      </c>
      <c r="AR45" s="222">
        <f>IFERROR(AVERAGEIFS(SAISIE!AN:AN,SAISIE!Y:Y,BILAN!B45,SAISIE!B:B,"ELA"),"")</f>
        <v/>
      </c>
      <c r="AS45" s="111" t="n">
        <v>0.95</v>
      </c>
      <c r="AT45" s="223">
        <f>IFERROR(AVERAGEIFS(SAISIE!AW:AW,SAISIE!Y:Y,BILAN!B45,SAISIE!B:B,"ELA"),"")</f>
        <v/>
      </c>
      <c r="AV45" s="220" t="n">
        <v>33</v>
      </c>
      <c r="AW45" s="222">
        <f>IFERROR(AVERAGEIFS(SAISIE!AI:AI,SAISIE!Y:Y,BILAN!B45,SAISIE!B:B,"FILM"),"")</f>
        <v/>
      </c>
      <c r="AX45" s="222">
        <f>IFERROR(AVERAGEIFS(SAISIE!AV:AV,SAISIE!Y:Y,BILAN!B45,SAISIE!B:B,"FILM"),"")</f>
        <v/>
      </c>
      <c r="AY45" s="223" t="n">
        <v>0.95</v>
      </c>
      <c r="AZ45" s="111" t="n"/>
      <c r="BA45" s="220" t="n">
        <v>33</v>
      </c>
      <c r="BB45" s="222">
        <f>IFERROR(AVERAGEIFS(SAISIE!AJ:AJ,SAISIE!Y:Y,BILAN!B45,SAISIE!B:B,"ACIER"),"")</f>
        <v/>
      </c>
      <c r="BC45" s="222" t="n"/>
      <c r="BD45" s="223" t="n">
        <v>0.95</v>
      </c>
      <c r="BE45" s="41" t="n"/>
      <c r="BF45" s="235" t="n">
        <v>33</v>
      </c>
      <c r="BG45" s="222">
        <f>IFERROR(AVERAGEIFS(SAISIE!AK:AK,SAISIE!Y:Y,BILAN!B45,SAISIE!B:B,"ALU"),"")</f>
        <v/>
      </c>
      <c r="BH45" s="222" t="n"/>
      <c r="BI45" s="223" t="n">
        <v>0.95</v>
      </c>
      <c r="BK45" s="220" t="n">
        <v>33</v>
      </c>
      <c r="BL45" s="222">
        <f>IFERROR(AVERAGEIFS(SAISIE!AL:AL,SAISIE!Y:Y,BILAN!B45,SAISIE!B:B,"PETIT ALU"),"")</f>
        <v/>
      </c>
      <c r="BM45" s="222">
        <f>IFERROR(AVERAGEIFS(SAISIE!AK:AK,SAISIE!Y:Y,BILAN!B45,SAISIE!B:B,"PETIT ALU"),"")</f>
        <v/>
      </c>
      <c r="BN45" s="223" t="n">
        <v>0.95</v>
      </c>
      <c r="BP45" s="220" t="n">
        <v>33</v>
      </c>
      <c r="BQ45" s="222">
        <f>IFERROR(AVERAGEIFS(SAISIE!AM:AM,SAISIE!Y:Y,BILAN!B45,SAISIE!B:B,"REFUS"),"")</f>
        <v/>
      </c>
      <c r="BR45" s="222">
        <f>IFERROR(AVERAGEIFS(SAISIE!AU:AU,SAISIE!Y:Y,BILAN!B45,SAISIE!B:B,"REFUS"),"")</f>
        <v/>
      </c>
      <c r="BS45" s="223" t="n">
        <v>0.95</v>
      </c>
      <c r="BU45" s="41" t="n"/>
      <c r="BV45" s="41" t="n"/>
      <c r="BW45" s="41" t="n"/>
      <c r="BX45" s="41" t="n"/>
    </row>
    <row r="46">
      <c r="B46" s="220" t="n">
        <v>34</v>
      </c>
      <c r="C46" s="222">
        <f>IFERROR(AVERAGEIFS(SAISIE!Z:Z,SAISIE!Y:Y,BILAN!B46,SAISIE!B:B,"JRM"),"")</f>
        <v/>
      </c>
      <c r="D46" s="222">
        <f>IFERROR(AVERAGEIFS(SAISIE!AP:AP,SAISIE!Y:Y,BILAN!B46,SAISIE!B:B,"JRM"),"")</f>
        <v/>
      </c>
      <c r="E46" s="223" t="n">
        <v>0.97</v>
      </c>
      <c r="F46" s="111" t="n"/>
      <c r="G46" s="220" t="n">
        <v>34</v>
      </c>
      <c r="H46" s="222">
        <f>IFERROR(AVERAGEIFS(SAISIE!AA:AA,SAISIE!Y:Y,BILAN!B46,SAISIE!B:B,"EMR"),"")</f>
        <v/>
      </c>
      <c r="I46" s="222">
        <f>IFERROR(AVERAGEIFS(SAISIE!AS:AS,SAISIE!Y:Y,BILAN!B46,SAISIE!B:B,"EMR"),"")</f>
        <v/>
      </c>
      <c r="J46" s="223" t="n">
        <v>0.95</v>
      </c>
      <c r="L46" s="220" t="n">
        <v>34</v>
      </c>
      <c r="M46" s="222">
        <f>IFERROR(AVERAGEIFS(SAISIE!AB:AB,SAISIE!Y:Y,BILAN!B46,SAISIE!B:B,"CARTON"),"")</f>
        <v/>
      </c>
      <c r="N46" s="222">
        <f>IFERROR(AVERAGEIFS(SAISIE!AS:AS,SAISIE!Y:Y,BILAN!B46,SAISIE!B:B,"CARTON"),"")</f>
        <v/>
      </c>
      <c r="O46" s="223" t="n">
        <v>0.95</v>
      </c>
      <c r="Q46" s="220" t="n">
        <v>34</v>
      </c>
      <c r="R46" s="222">
        <f>IFERROR(AVERAGEIFS(SAISIE!AC:AC,SAISIE!Y:Y,BILAN!B46,SAISIE!B:B,"GM"),"")</f>
        <v/>
      </c>
      <c r="S46" s="222">
        <f>IFERROR(AVERAGEIFS(SAISIE!AS:AS,SAISIE!Y:Y,BILAN!B46,SAISIE!B:B,"GM"),"")</f>
        <v/>
      </c>
      <c r="T46" s="223" t="n">
        <v>0.98</v>
      </c>
      <c r="V46" s="220" t="n">
        <v>34</v>
      </c>
      <c r="W46" s="222">
        <f>IFERROR(AVERAGEIFS(SAISIE!AD:AD,SAISIE!Y:Y,BILAN!B46,SAISIE!B:B,"PETQ9"),"")</f>
        <v/>
      </c>
      <c r="X46" s="222">
        <f>IFERROR(AVERAGEIFS(SAISIE!AF:AF,SAISIE!Y:Y,BILAN!B46,SAISIE!B:B,"PETQ9"),"")</f>
        <v/>
      </c>
      <c r="Y46" s="223" t="n">
        <v>0.98</v>
      </c>
      <c r="Z46" s="60" t="n"/>
      <c r="AA46" s="220" t="n">
        <v>34</v>
      </c>
      <c r="AB46" s="222">
        <f>IFERROR(AVERAGEIFS(SAISIE!AE:AE,SAISIE!Y:Y,BILAN!B46,SAISIE!B:B,"FLUX DEV"),"")</f>
        <v/>
      </c>
      <c r="AC46" s="222">
        <f>IFERROR(AVERAGEIFS(SAISIE!AD:AD,SAISIE!Y:Y,BILAN!B46,SAISIE!B:B,"FLUX DEV"),"")</f>
        <v/>
      </c>
      <c r="AD46" s="223" t="n">
        <v>0.98</v>
      </c>
      <c r="AF46" s="220" t="n">
        <v>34</v>
      </c>
      <c r="AG46" s="222">
        <f>IFERROR(AVERAGEIFS(SAISIE!AF:AF,SAISIE!Y:Y,BILAN!B46,SAISIE!B:B,"PETB"),"")</f>
        <v/>
      </c>
      <c r="AH46" s="222" t="n"/>
      <c r="AI46" s="223" t="n">
        <v>0.95</v>
      </c>
      <c r="AK46" s="220" t="n">
        <v>34</v>
      </c>
      <c r="AL46" s="222">
        <f>IFERROR(AVERAGEIFS(SAISIE!AG:AG,SAISIE!Y:Y,BILAN!B46,SAISIE!B:B,"PEPP"),"")</f>
        <v/>
      </c>
      <c r="AM46" s="222">
        <f>IFERROR(AVERAGEIFS(SAISIE!AT:AT,SAISIE!Y:Y,BILAN!B46,SAISIE!B:B,"PEPP"),"")</f>
        <v/>
      </c>
      <c r="AN46" s="223" t="n">
        <v>0.95</v>
      </c>
      <c r="AP46" s="220" t="n">
        <v>34</v>
      </c>
      <c r="AQ46" s="222">
        <f>IFERROR(AVERAGEIFS(SAISIE!AH:AH,SAISIE!Y:Y,BILAN!B46,SAISIE!B:B,"ELA"),"")</f>
        <v/>
      </c>
      <c r="AR46" s="222">
        <f>IFERROR(AVERAGEIFS(SAISIE!AN:AN,SAISIE!Y:Y,BILAN!B46,SAISIE!B:B,"ELA"),"")</f>
        <v/>
      </c>
      <c r="AS46" s="111" t="n">
        <v>0.95</v>
      </c>
      <c r="AT46" s="223">
        <f>IFERROR(AVERAGEIFS(SAISIE!AW:AW,SAISIE!Y:Y,BILAN!B46,SAISIE!B:B,"ELA"),"")</f>
        <v/>
      </c>
      <c r="AV46" s="220" t="n">
        <v>34</v>
      </c>
      <c r="AW46" s="222">
        <f>IFERROR(AVERAGEIFS(SAISIE!AI:AI,SAISIE!Y:Y,BILAN!B46,SAISIE!B:B,"FILM"),"")</f>
        <v/>
      </c>
      <c r="AX46" s="222">
        <f>IFERROR(AVERAGEIFS(SAISIE!AV:AV,SAISIE!Y:Y,BILAN!B46,SAISIE!B:B,"FILM"),"")</f>
        <v/>
      </c>
      <c r="AY46" s="223" t="n">
        <v>0.95</v>
      </c>
      <c r="AZ46" s="111" t="n"/>
      <c r="BA46" s="220" t="n">
        <v>34</v>
      </c>
      <c r="BB46" s="222">
        <f>IFERROR(AVERAGEIFS(SAISIE!AJ:AJ,SAISIE!Y:Y,BILAN!B46,SAISIE!B:B,"ACIER"),"")</f>
        <v/>
      </c>
      <c r="BC46" s="222" t="n"/>
      <c r="BD46" s="223" t="n">
        <v>0.95</v>
      </c>
      <c r="BE46" s="41" t="n"/>
      <c r="BF46" s="235" t="n">
        <v>34</v>
      </c>
      <c r="BG46" s="222">
        <f>IFERROR(AVERAGEIFS(SAISIE!AK:AK,SAISIE!Y:Y,BILAN!B46,SAISIE!B:B,"ALU"),"")</f>
        <v/>
      </c>
      <c r="BH46" s="222" t="n"/>
      <c r="BI46" s="223" t="n">
        <v>0.95</v>
      </c>
      <c r="BK46" s="220" t="n">
        <v>34</v>
      </c>
      <c r="BL46" s="222">
        <f>IFERROR(AVERAGEIFS(SAISIE!AL:AL,SAISIE!Y:Y,BILAN!B46,SAISIE!B:B,"PETIT ALU"),"")</f>
        <v/>
      </c>
      <c r="BM46" s="222">
        <f>IFERROR(AVERAGEIFS(SAISIE!AK:AK,SAISIE!Y:Y,BILAN!B46,SAISIE!B:B,"PETIT ALU"),"")</f>
        <v/>
      </c>
      <c r="BN46" s="223" t="n">
        <v>0.95</v>
      </c>
      <c r="BP46" s="220" t="n">
        <v>34</v>
      </c>
      <c r="BQ46" s="222">
        <f>IFERROR(AVERAGEIFS(SAISIE!AM:AM,SAISIE!Y:Y,BILAN!B46,SAISIE!B:B,"REFUS"),"")</f>
        <v/>
      </c>
      <c r="BR46" s="222">
        <f>IFERROR(AVERAGEIFS(SAISIE!AU:AU,SAISIE!Y:Y,BILAN!B46,SAISIE!B:B,"REFUS"),"")</f>
        <v/>
      </c>
      <c r="BS46" s="223" t="n">
        <v>0.95</v>
      </c>
      <c r="BU46" s="41" t="n"/>
      <c r="BV46" s="41" t="n"/>
      <c r="BW46" s="41" t="n"/>
      <c r="BX46" s="41" t="n"/>
    </row>
    <row r="47">
      <c r="B47" s="220" t="n">
        <v>35</v>
      </c>
      <c r="C47" s="222">
        <f>IFERROR(AVERAGEIFS(SAISIE!Z:Z,SAISIE!Y:Y,BILAN!B47,SAISIE!B:B,"JRM"),"")</f>
        <v/>
      </c>
      <c r="D47" s="222">
        <f>IFERROR(AVERAGEIFS(SAISIE!AP:AP,SAISIE!Y:Y,BILAN!B47,SAISIE!B:B,"JRM"),"")</f>
        <v/>
      </c>
      <c r="E47" s="223" t="n">
        <v>0.97</v>
      </c>
      <c r="F47" s="111" t="n"/>
      <c r="G47" s="220" t="n">
        <v>35</v>
      </c>
      <c r="H47" s="222">
        <f>IFERROR(AVERAGEIFS(SAISIE!AA:AA,SAISIE!Y:Y,BILAN!B47,SAISIE!B:B,"EMR"),"")</f>
        <v/>
      </c>
      <c r="I47" s="222">
        <f>IFERROR(AVERAGEIFS(SAISIE!AS:AS,SAISIE!Y:Y,BILAN!B47,SAISIE!B:B,"EMR"),"")</f>
        <v/>
      </c>
      <c r="J47" s="223" t="n">
        <v>0.95</v>
      </c>
      <c r="L47" s="220" t="n">
        <v>35</v>
      </c>
      <c r="M47" s="222">
        <f>IFERROR(AVERAGEIFS(SAISIE!AB:AB,SAISIE!Y:Y,BILAN!B47,SAISIE!B:B,"CARTON"),"")</f>
        <v/>
      </c>
      <c r="N47" s="222">
        <f>IFERROR(AVERAGEIFS(SAISIE!AS:AS,SAISIE!Y:Y,BILAN!B47,SAISIE!B:B,"CARTON"),"")</f>
        <v/>
      </c>
      <c r="O47" s="223" t="n">
        <v>0.95</v>
      </c>
      <c r="Q47" s="220" t="n">
        <v>35</v>
      </c>
      <c r="R47" s="222">
        <f>IFERROR(AVERAGEIFS(SAISIE!AC:AC,SAISIE!Y:Y,BILAN!B47,SAISIE!B:B,"GM"),"")</f>
        <v/>
      </c>
      <c r="S47" s="222">
        <f>IFERROR(AVERAGEIFS(SAISIE!AS:AS,SAISIE!Y:Y,BILAN!B47,SAISIE!B:B,"GM"),"")</f>
        <v/>
      </c>
      <c r="T47" s="223" t="n">
        <v>0.98</v>
      </c>
      <c r="V47" s="220" t="n">
        <v>35</v>
      </c>
      <c r="W47" s="222">
        <f>IFERROR(AVERAGEIFS(SAISIE!AD:AD,SAISIE!Y:Y,BILAN!B47,SAISIE!B:B,"PETQ9"),"")</f>
        <v/>
      </c>
      <c r="X47" s="222">
        <f>IFERROR(AVERAGEIFS(SAISIE!AF:AF,SAISIE!Y:Y,BILAN!B47,SAISIE!B:B,"PETQ9"),"")</f>
        <v/>
      </c>
      <c r="Y47" s="223" t="n">
        <v>0.98</v>
      </c>
      <c r="Z47" s="60" t="n"/>
      <c r="AA47" s="220" t="n">
        <v>35</v>
      </c>
      <c r="AB47" s="222">
        <f>IFERROR(AVERAGEIFS(SAISIE!AE:AE,SAISIE!Y:Y,BILAN!B47,SAISIE!B:B,"FLUX DEV"),"")</f>
        <v/>
      </c>
      <c r="AC47" s="222">
        <f>IFERROR(AVERAGEIFS(SAISIE!AD:AD,SAISIE!Y:Y,BILAN!B47,SAISIE!B:B,"FLUX DEV"),"")</f>
        <v/>
      </c>
      <c r="AD47" s="223" t="n">
        <v>0.98</v>
      </c>
      <c r="AF47" s="220" t="n">
        <v>35</v>
      </c>
      <c r="AG47" s="222">
        <f>IFERROR(AVERAGEIFS(SAISIE!AF:AF,SAISIE!Y:Y,BILAN!B47,SAISIE!B:B,"PETB"),"")</f>
        <v/>
      </c>
      <c r="AH47" s="222" t="n"/>
      <c r="AI47" s="223" t="n">
        <v>0.95</v>
      </c>
      <c r="AK47" s="220" t="n">
        <v>35</v>
      </c>
      <c r="AL47" s="222">
        <f>IFERROR(AVERAGEIFS(SAISIE!AG:AG,SAISIE!Y:Y,BILAN!B47,SAISIE!B:B,"PEPP"),"")</f>
        <v/>
      </c>
      <c r="AM47" s="222">
        <f>IFERROR(AVERAGEIFS(SAISIE!AT:AT,SAISIE!Y:Y,BILAN!B47,SAISIE!B:B,"PEPP"),"")</f>
        <v/>
      </c>
      <c r="AN47" s="223" t="n">
        <v>0.95</v>
      </c>
      <c r="AP47" s="220" t="n">
        <v>35</v>
      </c>
      <c r="AQ47" s="222">
        <f>IFERROR(AVERAGEIFS(SAISIE!AH:AH,SAISIE!Y:Y,BILAN!B47,SAISIE!B:B,"ELA"),"")</f>
        <v/>
      </c>
      <c r="AR47" s="222">
        <f>IFERROR(AVERAGEIFS(SAISIE!AN:AN,SAISIE!Y:Y,BILAN!B47,SAISIE!B:B,"ELA"),"")</f>
        <v/>
      </c>
      <c r="AS47" s="111" t="n">
        <v>0.95</v>
      </c>
      <c r="AT47" s="223">
        <f>IFERROR(AVERAGEIFS(SAISIE!AW:AW,SAISIE!Y:Y,BILAN!B47,SAISIE!B:B,"ELA"),"")</f>
        <v/>
      </c>
      <c r="AV47" s="220" t="n">
        <v>35</v>
      </c>
      <c r="AW47" s="222">
        <f>IFERROR(AVERAGEIFS(SAISIE!AI:AI,SAISIE!Y:Y,BILAN!B47,SAISIE!B:B,"FILM"),"")</f>
        <v/>
      </c>
      <c r="AX47" s="222">
        <f>IFERROR(AVERAGEIFS(SAISIE!AV:AV,SAISIE!Y:Y,BILAN!B47,SAISIE!B:B,"FILM"),"")</f>
        <v/>
      </c>
      <c r="AY47" s="223" t="n">
        <v>0.95</v>
      </c>
      <c r="AZ47" s="111" t="n"/>
      <c r="BA47" s="220" t="n">
        <v>35</v>
      </c>
      <c r="BB47" s="222">
        <f>IFERROR(AVERAGEIFS(SAISIE!AJ:AJ,SAISIE!Y:Y,BILAN!B47,SAISIE!B:B,"ACIER"),"")</f>
        <v/>
      </c>
      <c r="BC47" s="222" t="n"/>
      <c r="BD47" s="223" t="n">
        <v>0.95</v>
      </c>
      <c r="BE47" s="41" t="n"/>
      <c r="BF47" s="235" t="n">
        <v>35</v>
      </c>
      <c r="BG47" s="222">
        <f>IFERROR(AVERAGEIFS(SAISIE!AK:AK,SAISIE!Y:Y,BILAN!B47,SAISIE!B:B,"ALU"),"")</f>
        <v/>
      </c>
      <c r="BH47" s="222" t="n"/>
      <c r="BI47" s="223" t="n">
        <v>0.95</v>
      </c>
      <c r="BK47" s="220" t="n">
        <v>35</v>
      </c>
      <c r="BL47" s="222">
        <f>IFERROR(AVERAGEIFS(SAISIE!AL:AL,SAISIE!Y:Y,BILAN!B47,SAISIE!B:B,"PETIT ALU"),"")</f>
        <v/>
      </c>
      <c r="BM47" s="222">
        <f>IFERROR(AVERAGEIFS(SAISIE!AK:AK,SAISIE!Y:Y,BILAN!B47,SAISIE!B:B,"PETIT ALU"),"")</f>
        <v/>
      </c>
      <c r="BN47" s="223" t="n">
        <v>0.95</v>
      </c>
      <c r="BP47" s="220" t="n">
        <v>35</v>
      </c>
      <c r="BQ47" s="222">
        <f>IFERROR(AVERAGEIFS(SAISIE!AM:AM,SAISIE!Y:Y,BILAN!B47,SAISIE!B:B,"REFUS"),"")</f>
        <v/>
      </c>
      <c r="BR47" s="222">
        <f>IFERROR(AVERAGEIFS(SAISIE!AU:AU,SAISIE!Y:Y,BILAN!B47,SAISIE!B:B,"REFUS"),"")</f>
        <v/>
      </c>
      <c r="BS47" s="223" t="n">
        <v>0.95</v>
      </c>
      <c r="BU47" s="41" t="n"/>
      <c r="BV47" s="41" t="n"/>
      <c r="BW47" s="41" t="n"/>
      <c r="BX47" s="41" t="n"/>
    </row>
    <row r="48">
      <c r="B48" s="220" t="n">
        <v>36</v>
      </c>
      <c r="C48" s="222">
        <f>IFERROR(AVERAGEIFS(SAISIE!Z:Z,SAISIE!Y:Y,BILAN!B48,SAISIE!B:B,"JRM"),"")</f>
        <v/>
      </c>
      <c r="D48" s="222">
        <f>IFERROR(AVERAGEIFS(SAISIE!AP:AP,SAISIE!Y:Y,BILAN!B48,SAISIE!B:B,"JRM"),"")</f>
        <v/>
      </c>
      <c r="E48" s="223" t="n">
        <v>0.97</v>
      </c>
      <c r="F48" s="111" t="n"/>
      <c r="G48" s="220" t="n">
        <v>36</v>
      </c>
      <c r="H48" s="222">
        <f>IFERROR(AVERAGEIFS(SAISIE!AA:AA,SAISIE!Y:Y,BILAN!B48,SAISIE!B:B,"EMR"),"")</f>
        <v/>
      </c>
      <c r="I48" s="222">
        <f>IFERROR(AVERAGEIFS(SAISIE!AS:AS,SAISIE!Y:Y,BILAN!B48,SAISIE!B:B,"EMR"),"")</f>
        <v/>
      </c>
      <c r="J48" s="223" t="n">
        <v>0.95</v>
      </c>
      <c r="L48" s="220" t="n">
        <v>36</v>
      </c>
      <c r="M48" s="222">
        <f>IFERROR(AVERAGEIFS(SAISIE!AB:AB,SAISIE!Y:Y,BILAN!B48,SAISIE!B:B,"CARTON"),"")</f>
        <v/>
      </c>
      <c r="N48" s="222">
        <f>IFERROR(AVERAGEIFS(SAISIE!AS:AS,SAISIE!Y:Y,BILAN!B48,SAISIE!B:B,"CARTON"),"")</f>
        <v/>
      </c>
      <c r="O48" s="223" t="n">
        <v>0.95</v>
      </c>
      <c r="Q48" s="220" t="n">
        <v>36</v>
      </c>
      <c r="R48" s="222">
        <f>IFERROR(AVERAGEIFS(SAISIE!AC:AC,SAISIE!Y:Y,BILAN!B48,SAISIE!B:B,"GM"),"")</f>
        <v/>
      </c>
      <c r="S48" s="222">
        <f>IFERROR(AVERAGEIFS(SAISIE!AS:AS,SAISIE!Y:Y,BILAN!B48,SAISIE!B:B,"GM"),"")</f>
        <v/>
      </c>
      <c r="T48" s="223" t="n">
        <v>0.98</v>
      </c>
      <c r="V48" s="220" t="n">
        <v>36</v>
      </c>
      <c r="W48" s="222">
        <f>IFERROR(AVERAGEIFS(SAISIE!AD:AD,SAISIE!Y:Y,BILAN!B48,SAISIE!B:B,"PETQ9"),"")</f>
        <v/>
      </c>
      <c r="X48" s="222">
        <f>IFERROR(AVERAGEIFS(SAISIE!AF:AF,SAISIE!Y:Y,BILAN!B48,SAISIE!B:B,"PETQ9"),"")</f>
        <v/>
      </c>
      <c r="Y48" s="223" t="n">
        <v>0.98</v>
      </c>
      <c r="Z48" s="60" t="n"/>
      <c r="AA48" s="220" t="n">
        <v>36</v>
      </c>
      <c r="AB48" s="222">
        <f>IFERROR(AVERAGEIFS(SAISIE!AE:AE,SAISIE!Y:Y,BILAN!B48,SAISIE!B:B,"FLUX DEV"),"")</f>
        <v/>
      </c>
      <c r="AC48" s="222">
        <f>IFERROR(AVERAGEIFS(SAISIE!AD:AD,SAISIE!Y:Y,BILAN!B48,SAISIE!B:B,"FLUX DEV"),"")</f>
        <v/>
      </c>
      <c r="AD48" s="223" t="n">
        <v>0.98</v>
      </c>
      <c r="AF48" s="220" t="n">
        <v>36</v>
      </c>
      <c r="AG48" s="222">
        <f>IFERROR(AVERAGEIFS(SAISIE!AF:AF,SAISIE!Y:Y,BILAN!B48,SAISIE!B:B,"PETB"),"")</f>
        <v/>
      </c>
      <c r="AH48" s="222" t="n"/>
      <c r="AI48" s="223" t="n">
        <v>0.95</v>
      </c>
      <c r="AK48" s="220" t="n">
        <v>36</v>
      </c>
      <c r="AL48" s="222">
        <f>IFERROR(AVERAGEIFS(SAISIE!AG:AG,SAISIE!Y:Y,BILAN!B48,SAISIE!B:B,"PEPP"),"")</f>
        <v/>
      </c>
      <c r="AM48" s="222">
        <f>IFERROR(AVERAGEIFS(SAISIE!AT:AT,SAISIE!Y:Y,BILAN!B48,SAISIE!B:B,"PEPP"),"")</f>
        <v/>
      </c>
      <c r="AN48" s="223" t="n">
        <v>0.95</v>
      </c>
      <c r="AP48" s="220" t="n">
        <v>36</v>
      </c>
      <c r="AQ48" s="222">
        <f>IFERROR(AVERAGEIFS(SAISIE!AH:AH,SAISIE!Y:Y,BILAN!B48,SAISIE!B:B,"ELA"),"")</f>
        <v/>
      </c>
      <c r="AR48" s="222">
        <f>IFERROR(AVERAGEIFS(SAISIE!AN:AN,SAISIE!Y:Y,BILAN!B48,SAISIE!B:B,"ELA"),"")</f>
        <v/>
      </c>
      <c r="AS48" s="111" t="n">
        <v>0.95</v>
      </c>
      <c r="AT48" s="223">
        <f>IFERROR(AVERAGEIFS(SAISIE!AW:AW,SAISIE!Y:Y,BILAN!B48,SAISIE!B:B,"ELA"),"")</f>
        <v/>
      </c>
      <c r="AV48" s="220" t="n">
        <v>36</v>
      </c>
      <c r="AW48" s="222">
        <f>IFERROR(AVERAGEIFS(SAISIE!AI:AI,SAISIE!Y:Y,BILAN!B48,SAISIE!B:B,"FILM"),"")</f>
        <v/>
      </c>
      <c r="AX48" s="222">
        <f>IFERROR(AVERAGEIFS(SAISIE!AV:AV,SAISIE!Y:Y,BILAN!B48,SAISIE!B:B,"FILM"),"")</f>
        <v/>
      </c>
      <c r="AY48" s="223" t="n">
        <v>0.95</v>
      </c>
      <c r="AZ48" s="111" t="n"/>
      <c r="BA48" s="220" t="n">
        <v>36</v>
      </c>
      <c r="BB48" s="222">
        <f>IFERROR(AVERAGEIFS(SAISIE!AJ:AJ,SAISIE!Y:Y,BILAN!B48,SAISIE!B:B,"ACIER"),"")</f>
        <v/>
      </c>
      <c r="BC48" s="222" t="n"/>
      <c r="BD48" s="223" t="n">
        <v>0.95</v>
      </c>
      <c r="BE48" s="41" t="n"/>
      <c r="BF48" s="235" t="n">
        <v>36</v>
      </c>
      <c r="BG48" s="222">
        <f>IFERROR(AVERAGEIFS(SAISIE!AK:AK,SAISIE!Y:Y,BILAN!B48,SAISIE!B:B,"ALU"),"")</f>
        <v/>
      </c>
      <c r="BH48" s="222" t="n"/>
      <c r="BI48" s="223" t="n">
        <v>0.95</v>
      </c>
      <c r="BK48" s="220" t="n">
        <v>36</v>
      </c>
      <c r="BL48" s="222">
        <f>IFERROR(AVERAGEIFS(SAISIE!AL:AL,SAISIE!Y:Y,BILAN!B48,SAISIE!B:B,"PETIT ALU"),"")</f>
        <v/>
      </c>
      <c r="BM48" s="222">
        <f>IFERROR(AVERAGEIFS(SAISIE!AK:AK,SAISIE!Y:Y,BILAN!B48,SAISIE!B:B,"PETIT ALU"),"")</f>
        <v/>
      </c>
      <c r="BN48" s="223" t="n">
        <v>0.95</v>
      </c>
      <c r="BP48" s="220" t="n">
        <v>36</v>
      </c>
      <c r="BQ48" s="222">
        <f>IFERROR(AVERAGEIFS(SAISIE!AM:AM,SAISIE!Y:Y,BILAN!B48,SAISIE!B:B,"REFUS"),"")</f>
        <v/>
      </c>
      <c r="BR48" s="222">
        <f>IFERROR(AVERAGEIFS(SAISIE!AU:AU,SAISIE!Y:Y,BILAN!B48,SAISIE!B:B,"REFUS"),"")</f>
        <v/>
      </c>
      <c r="BS48" s="223" t="n">
        <v>0.95</v>
      </c>
      <c r="BU48" s="41" t="n"/>
      <c r="BV48" s="41" t="n"/>
      <c r="BW48" s="41" t="n"/>
      <c r="BX48" s="41" t="n"/>
    </row>
    <row r="49">
      <c r="B49" s="220" t="n">
        <v>37</v>
      </c>
      <c r="C49" s="222">
        <f>IFERROR(AVERAGEIFS(SAISIE!Z:Z,SAISIE!Y:Y,BILAN!B49,SAISIE!B:B,"JRM"),"")</f>
        <v/>
      </c>
      <c r="D49" s="222">
        <f>IFERROR(AVERAGEIFS(SAISIE!AP:AP,SAISIE!Y:Y,BILAN!B49,SAISIE!B:B,"JRM"),"")</f>
        <v/>
      </c>
      <c r="E49" s="223" t="n">
        <v>0.97</v>
      </c>
      <c r="F49" s="111" t="n"/>
      <c r="G49" s="220" t="n">
        <v>37</v>
      </c>
      <c r="H49" s="222">
        <f>IFERROR(AVERAGEIFS(SAISIE!AA:AA,SAISIE!Y:Y,BILAN!B49,SAISIE!B:B,"EMR"),"")</f>
        <v/>
      </c>
      <c r="I49" s="222">
        <f>IFERROR(AVERAGEIFS(SAISIE!AS:AS,SAISIE!Y:Y,BILAN!B49,SAISIE!B:B,"EMR"),"")</f>
        <v/>
      </c>
      <c r="J49" s="223" t="n">
        <v>0.95</v>
      </c>
      <c r="L49" s="220" t="n">
        <v>37</v>
      </c>
      <c r="M49" s="222">
        <f>IFERROR(AVERAGEIFS(SAISIE!AB:AB,SAISIE!Y:Y,BILAN!B49,SAISIE!B:B,"CARTON"),"")</f>
        <v/>
      </c>
      <c r="N49" s="222">
        <f>IFERROR(AVERAGEIFS(SAISIE!AS:AS,SAISIE!Y:Y,BILAN!B49,SAISIE!B:B,"CARTON"),"")</f>
        <v/>
      </c>
      <c r="O49" s="223" t="n">
        <v>0.95</v>
      </c>
      <c r="Q49" s="220" t="n">
        <v>37</v>
      </c>
      <c r="R49" s="222">
        <f>IFERROR(AVERAGEIFS(SAISIE!AC:AC,SAISIE!Y:Y,BILAN!B49,SAISIE!B:B,"GM"),"")</f>
        <v/>
      </c>
      <c r="S49" s="222">
        <f>IFERROR(AVERAGEIFS(SAISIE!AS:AS,SAISIE!Y:Y,BILAN!B49,SAISIE!B:B,"GM"),"")</f>
        <v/>
      </c>
      <c r="T49" s="223" t="n">
        <v>0.98</v>
      </c>
      <c r="V49" s="220" t="n">
        <v>37</v>
      </c>
      <c r="W49" s="222">
        <f>IFERROR(AVERAGEIFS(SAISIE!AD:AD,SAISIE!Y:Y,BILAN!B49,SAISIE!B:B,"PETQ9"),"")</f>
        <v/>
      </c>
      <c r="X49" s="222">
        <f>IFERROR(AVERAGEIFS(SAISIE!AF:AF,SAISIE!Y:Y,BILAN!B49,SAISIE!B:B,"PETQ9"),"")</f>
        <v/>
      </c>
      <c r="Y49" s="223" t="n">
        <v>0.98</v>
      </c>
      <c r="Z49" s="60" t="n"/>
      <c r="AA49" s="220" t="n">
        <v>37</v>
      </c>
      <c r="AB49" s="222">
        <f>IFERROR(AVERAGEIFS(SAISIE!AE:AE,SAISIE!Y:Y,BILAN!B49,SAISIE!B:B,"FLUX DEV"),"")</f>
        <v/>
      </c>
      <c r="AC49" s="222">
        <f>IFERROR(AVERAGEIFS(SAISIE!AD:AD,SAISIE!Y:Y,BILAN!B49,SAISIE!B:B,"FLUX DEV"),"")</f>
        <v/>
      </c>
      <c r="AD49" s="223" t="n">
        <v>0.98</v>
      </c>
      <c r="AF49" s="220" t="n">
        <v>37</v>
      </c>
      <c r="AG49" s="222">
        <f>IFERROR(AVERAGEIFS(SAISIE!AF:AF,SAISIE!Y:Y,BILAN!B49,SAISIE!B:B,"PETB"),"")</f>
        <v/>
      </c>
      <c r="AH49" s="222" t="n"/>
      <c r="AI49" s="223" t="n">
        <v>0.95</v>
      </c>
      <c r="AK49" s="220" t="n">
        <v>37</v>
      </c>
      <c r="AL49" s="222">
        <f>IFERROR(AVERAGEIFS(SAISIE!AG:AG,SAISIE!Y:Y,BILAN!B49,SAISIE!B:B,"PEPP"),"")</f>
        <v/>
      </c>
      <c r="AM49" s="222">
        <f>IFERROR(AVERAGEIFS(SAISIE!AT:AT,SAISIE!Y:Y,BILAN!B49,SAISIE!B:B,"PEPP"),"")</f>
        <v/>
      </c>
      <c r="AN49" s="223" t="n">
        <v>0.95</v>
      </c>
      <c r="AP49" s="220" t="n">
        <v>37</v>
      </c>
      <c r="AQ49" s="222">
        <f>IFERROR(AVERAGEIFS(SAISIE!AH:AH,SAISIE!Y:Y,BILAN!B49,SAISIE!B:B,"ELA"),"")</f>
        <v/>
      </c>
      <c r="AR49" s="222">
        <f>IFERROR(AVERAGEIFS(SAISIE!AN:AN,SAISIE!Y:Y,BILAN!B49,SAISIE!B:B,"ELA"),"")</f>
        <v/>
      </c>
      <c r="AS49" s="111" t="n">
        <v>0.95</v>
      </c>
      <c r="AT49" s="223">
        <f>IFERROR(AVERAGEIFS(SAISIE!AW:AW,SAISIE!Y:Y,BILAN!B49,SAISIE!B:B,"ELA"),"")</f>
        <v/>
      </c>
      <c r="AV49" s="220" t="n">
        <v>37</v>
      </c>
      <c r="AW49" s="222">
        <f>IFERROR(AVERAGEIFS(SAISIE!AI:AI,SAISIE!Y:Y,BILAN!B49,SAISIE!B:B,"FILM"),"")</f>
        <v/>
      </c>
      <c r="AX49" s="222">
        <f>IFERROR(AVERAGEIFS(SAISIE!AV:AV,SAISIE!Y:Y,BILAN!B49,SAISIE!B:B,"FILM"),"")</f>
        <v/>
      </c>
      <c r="AY49" s="223" t="n">
        <v>0.95</v>
      </c>
      <c r="AZ49" s="111" t="n"/>
      <c r="BA49" s="220" t="n">
        <v>37</v>
      </c>
      <c r="BB49" s="222">
        <f>IFERROR(AVERAGEIFS(SAISIE!AJ:AJ,SAISIE!Y:Y,BILAN!B49,SAISIE!B:B,"ACIER"),"")</f>
        <v/>
      </c>
      <c r="BC49" s="222" t="n"/>
      <c r="BD49" s="223" t="n">
        <v>0.95</v>
      </c>
      <c r="BE49" s="41" t="n"/>
      <c r="BF49" s="235" t="n">
        <v>37</v>
      </c>
      <c r="BG49" s="222">
        <f>IFERROR(AVERAGEIFS(SAISIE!AK:AK,SAISIE!Y:Y,BILAN!B49,SAISIE!B:B,"ALU"),"")</f>
        <v/>
      </c>
      <c r="BH49" s="222" t="n"/>
      <c r="BI49" s="223" t="n">
        <v>0.95</v>
      </c>
      <c r="BK49" s="220" t="n">
        <v>37</v>
      </c>
      <c r="BL49" s="222">
        <f>IFERROR(AVERAGEIFS(SAISIE!AL:AL,SAISIE!Y:Y,BILAN!B49,SAISIE!B:B,"PETIT ALU"),"")</f>
        <v/>
      </c>
      <c r="BM49" s="222">
        <f>IFERROR(AVERAGEIFS(SAISIE!AK:AK,SAISIE!Y:Y,BILAN!B49,SAISIE!B:B,"PETIT ALU"),"")</f>
        <v/>
      </c>
      <c r="BN49" s="223" t="n">
        <v>0.95</v>
      </c>
      <c r="BP49" s="220" t="n">
        <v>37</v>
      </c>
      <c r="BQ49" s="222">
        <f>IFERROR(AVERAGEIFS(SAISIE!AM:AM,SAISIE!Y:Y,BILAN!B49,SAISIE!B:B,"REFUS"),"")</f>
        <v/>
      </c>
      <c r="BR49" s="222">
        <f>IFERROR(AVERAGEIFS(SAISIE!AU:AU,SAISIE!Y:Y,BILAN!B49,SAISIE!B:B,"REFUS"),"")</f>
        <v/>
      </c>
      <c r="BS49" s="223" t="n">
        <v>0.95</v>
      </c>
      <c r="BU49" s="41" t="n"/>
      <c r="BV49" s="41" t="n"/>
      <c r="BW49" s="41" t="n"/>
      <c r="BX49" s="41" t="n"/>
    </row>
    <row r="50">
      <c r="B50" s="220" t="n">
        <v>38</v>
      </c>
      <c r="C50" s="222">
        <f>IFERROR(AVERAGEIFS(SAISIE!Z:Z,SAISIE!Y:Y,BILAN!B50,SAISIE!B:B,"JRM"),"")</f>
        <v/>
      </c>
      <c r="D50" s="222">
        <f>IFERROR(AVERAGEIFS(SAISIE!AP:AP,SAISIE!Y:Y,BILAN!B50,SAISIE!B:B,"JRM"),"")</f>
        <v/>
      </c>
      <c r="E50" s="223" t="n">
        <v>0.97</v>
      </c>
      <c r="F50" s="111" t="n"/>
      <c r="G50" s="220" t="n">
        <v>38</v>
      </c>
      <c r="H50" s="222">
        <f>IFERROR(AVERAGEIFS(SAISIE!AA:AA,SAISIE!Y:Y,BILAN!B50,SAISIE!B:B,"EMR"),"")</f>
        <v/>
      </c>
      <c r="I50" s="222">
        <f>IFERROR(AVERAGEIFS(SAISIE!AS:AS,SAISIE!Y:Y,BILAN!B50,SAISIE!B:B,"EMR"),"")</f>
        <v/>
      </c>
      <c r="J50" s="223" t="n">
        <v>0.95</v>
      </c>
      <c r="L50" s="220" t="n">
        <v>38</v>
      </c>
      <c r="M50" s="222">
        <f>IFERROR(AVERAGEIFS(SAISIE!AB:AB,SAISIE!Y:Y,BILAN!B50,SAISIE!B:B,"CARTON"),"")</f>
        <v/>
      </c>
      <c r="N50" s="222">
        <f>IFERROR(AVERAGEIFS(SAISIE!AS:AS,SAISIE!Y:Y,BILAN!B50,SAISIE!B:B,"CARTON"),"")</f>
        <v/>
      </c>
      <c r="O50" s="223" t="n">
        <v>0.95</v>
      </c>
      <c r="Q50" s="220" t="n">
        <v>38</v>
      </c>
      <c r="R50" s="222">
        <f>IFERROR(AVERAGEIFS(SAISIE!AC:AC,SAISIE!Y:Y,BILAN!B50,SAISIE!B:B,"GM"),"")</f>
        <v/>
      </c>
      <c r="S50" s="222">
        <f>IFERROR(AVERAGEIFS(SAISIE!AS:AS,SAISIE!Y:Y,BILAN!B50,SAISIE!B:B,"GM"),"")</f>
        <v/>
      </c>
      <c r="T50" s="223" t="n">
        <v>0.98</v>
      </c>
      <c r="V50" s="220" t="n">
        <v>38</v>
      </c>
      <c r="W50" s="222">
        <f>IFERROR(AVERAGEIFS(SAISIE!AD:AD,SAISIE!Y:Y,BILAN!B50,SAISIE!B:B,"PETQ9"),"")</f>
        <v/>
      </c>
      <c r="X50" s="222">
        <f>IFERROR(AVERAGEIFS(SAISIE!AF:AF,SAISIE!Y:Y,BILAN!B50,SAISIE!B:B,"PETQ9"),"")</f>
        <v/>
      </c>
      <c r="Y50" s="223" t="n">
        <v>0.98</v>
      </c>
      <c r="Z50" s="60" t="n"/>
      <c r="AA50" s="220" t="n">
        <v>38</v>
      </c>
      <c r="AB50" s="222">
        <f>IFERROR(AVERAGEIFS(SAISIE!AE:AE,SAISIE!Y:Y,BILAN!B50,SAISIE!B:B,"FLUX DEV"),"")</f>
        <v/>
      </c>
      <c r="AC50" s="222">
        <f>IFERROR(AVERAGEIFS(SAISIE!AD:AD,SAISIE!Y:Y,BILAN!B50,SAISIE!B:B,"FLUX DEV"),"")</f>
        <v/>
      </c>
      <c r="AD50" s="223" t="n">
        <v>0.98</v>
      </c>
      <c r="AF50" s="220" t="n">
        <v>38</v>
      </c>
      <c r="AG50" s="222">
        <f>IFERROR(AVERAGEIFS(SAISIE!AF:AF,SAISIE!Y:Y,BILAN!B50,SAISIE!B:B,"PETB"),"")</f>
        <v/>
      </c>
      <c r="AH50" s="222" t="n"/>
      <c r="AI50" s="223" t="n">
        <v>0.95</v>
      </c>
      <c r="AK50" s="220" t="n">
        <v>38</v>
      </c>
      <c r="AL50" s="222">
        <f>IFERROR(AVERAGEIFS(SAISIE!AG:AG,SAISIE!Y:Y,BILAN!B50,SAISIE!B:B,"PEPP"),"")</f>
        <v/>
      </c>
      <c r="AM50" s="222">
        <f>IFERROR(AVERAGEIFS(SAISIE!AT:AT,SAISIE!Y:Y,BILAN!B50,SAISIE!B:B,"PEPP"),"")</f>
        <v/>
      </c>
      <c r="AN50" s="223" t="n">
        <v>0.95</v>
      </c>
      <c r="AP50" s="220" t="n">
        <v>38</v>
      </c>
      <c r="AQ50" s="222">
        <f>IFERROR(AVERAGEIFS(SAISIE!AH:AH,SAISIE!Y:Y,BILAN!B50,SAISIE!B:B,"ELA"),"")</f>
        <v/>
      </c>
      <c r="AR50" s="222">
        <f>IFERROR(AVERAGEIFS(SAISIE!AN:AN,SAISIE!Y:Y,BILAN!B50,SAISIE!B:B,"ELA"),"")</f>
        <v/>
      </c>
      <c r="AS50" s="111" t="n">
        <v>0.95</v>
      </c>
      <c r="AT50" s="223">
        <f>IFERROR(AVERAGEIFS(SAISIE!AW:AW,SAISIE!Y:Y,BILAN!B50,SAISIE!B:B,"ELA"),"")</f>
        <v/>
      </c>
      <c r="AV50" s="220" t="n">
        <v>38</v>
      </c>
      <c r="AW50" s="222">
        <f>IFERROR(AVERAGEIFS(SAISIE!AI:AI,SAISIE!Y:Y,BILAN!B50,SAISIE!B:B,"FILM"),"")</f>
        <v/>
      </c>
      <c r="AX50" s="222">
        <f>IFERROR(AVERAGEIFS(SAISIE!AV:AV,SAISIE!Y:Y,BILAN!B50,SAISIE!B:B,"FILM"),"")</f>
        <v/>
      </c>
      <c r="AY50" s="223" t="n">
        <v>0.95</v>
      </c>
      <c r="AZ50" s="111" t="n"/>
      <c r="BA50" s="220" t="n">
        <v>38</v>
      </c>
      <c r="BB50" s="222">
        <f>IFERROR(AVERAGEIFS(SAISIE!AJ:AJ,SAISIE!Y:Y,BILAN!B50,SAISIE!B:B,"ACIER"),"")</f>
        <v/>
      </c>
      <c r="BC50" s="222" t="n"/>
      <c r="BD50" s="223" t="n">
        <v>0.95</v>
      </c>
      <c r="BE50" s="41" t="n"/>
      <c r="BF50" s="235" t="n">
        <v>38</v>
      </c>
      <c r="BG50" s="222">
        <f>IFERROR(AVERAGEIFS(SAISIE!AK:AK,SAISIE!Y:Y,BILAN!B50,SAISIE!B:B,"ALU"),"")</f>
        <v/>
      </c>
      <c r="BH50" s="222" t="n"/>
      <c r="BI50" s="223" t="n">
        <v>0.95</v>
      </c>
      <c r="BK50" s="220" t="n">
        <v>38</v>
      </c>
      <c r="BL50" s="222">
        <f>IFERROR(AVERAGEIFS(SAISIE!AL:AL,SAISIE!Y:Y,BILAN!B50,SAISIE!B:B,"PETIT ALU"),"")</f>
        <v/>
      </c>
      <c r="BM50" s="222">
        <f>IFERROR(AVERAGEIFS(SAISIE!AK:AK,SAISIE!Y:Y,BILAN!B50,SAISIE!B:B,"PETIT ALU"),"")</f>
        <v/>
      </c>
      <c r="BN50" s="223" t="n">
        <v>0.95</v>
      </c>
      <c r="BP50" s="220" t="n">
        <v>38</v>
      </c>
      <c r="BQ50" s="222">
        <f>IFERROR(AVERAGEIFS(SAISIE!AM:AM,SAISIE!Y:Y,BILAN!B50,SAISIE!B:B,"REFUS"),"")</f>
        <v/>
      </c>
      <c r="BR50" s="222">
        <f>IFERROR(AVERAGEIFS(SAISIE!AU:AU,SAISIE!Y:Y,BILAN!B50,SAISIE!B:B,"REFUS"),"")</f>
        <v/>
      </c>
      <c r="BS50" s="223" t="n">
        <v>0.95</v>
      </c>
      <c r="BU50" s="41" t="n"/>
      <c r="BV50" s="41" t="n"/>
      <c r="BW50" s="41" t="n"/>
      <c r="BX50" s="41" t="n"/>
    </row>
    <row r="51">
      <c r="B51" s="220" t="n">
        <v>39</v>
      </c>
      <c r="C51" s="222">
        <f>IFERROR(AVERAGEIFS(SAISIE!Z:Z,SAISIE!Y:Y,BILAN!B51,SAISIE!B:B,"JRM"),"")</f>
        <v/>
      </c>
      <c r="D51" s="222">
        <f>IFERROR(AVERAGEIFS(SAISIE!AP:AP,SAISIE!Y:Y,BILAN!B51,SAISIE!B:B,"JRM"),"")</f>
        <v/>
      </c>
      <c r="E51" s="223" t="n">
        <v>0.97</v>
      </c>
      <c r="F51" s="111" t="n"/>
      <c r="G51" s="220" t="n">
        <v>39</v>
      </c>
      <c r="H51" s="222">
        <f>IFERROR(AVERAGEIFS(SAISIE!AA:AA,SAISIE!Y:Y,BILAN!B51,SAISIE!B:B,"EMR"),"")</f>
        <v/>
      </c>
      <c r="I51" s="222">
        <f>IFERROR(AVERAGEIFS(SAISIE!AS:AS,SAISIE!Y:Y,BILAN!B51,SAISIE!B:B,"EMR"),"")</f>
        <v/>
      </c>
      <c r="J51" s="223" t="n">
        <v>0.95</v>
      </c>
      <c r="L51" s="220" t="n">
        <v>39</v>
      </c>
      <c r="M51" s="222">
        <f>IFERROR(AVERAGEIFS(SAISIE!AB:AB,SAISIE!Y:Y,BILAN!B51,SAISIE!B:B,"CARTON"),"")</f>
        <v/>
      </c>
      <c r="N51" s="222">
        <f>IFERROR(AVERAGEIFS(SAISIE!AS:AS,SAISIE!Y:Y,BILAN!B51,SAISIE!B:B,"CARTON"),"")</f>
        <v/>
      </c>
      <c r="O51" s="223" t="n">
        <v>0.95</v>
      </c>
      <c r="Q51" s="220" t="n">
        <v>39</v>
      </c>
      <c r="R51" s="222">
        <f>IFERROR(AVERAGEIFS(SAISIE!AC:AC,SAISIE!Y:Y,BILAN!B51,SAISIE!B:B,"GM"),"")</f>
        <v/>
      </c>
      <c r="S51" s="222">
        <f>IFERROR(AVERAGEIFS(SAISIE!AS:AS,SAISIE!Y:Y,BILAN!B51,SAISIE!B:B,"GM"),"")</f>
        <v/>
      </c>
      <c r="T51" s="223" t="n">
        <v>0.98</v>
      </c>
      <c r="V51" s="220" t="n">
        <v>39</v>
      </c>
      <c r="W51" s="222">
        <f>IFERROR(AVERAGEIFS(SAISIE!AD:AD,SAISIE!Y:Y,BILAN!B51,SAISIE!B:B,"PETQ9"),"")</f>
        <v/>
      </c>
      <c r="X51" s="222">
        <f>IFERROR(AVERAGEIFS(SAISIE!AF:AF,SAISIE!Y:Y,BILAN!B51,SAISIE!B:B,"PETQ9"),"")</f>
        <v/>
      </c>
      <c r="Y51" s="223" t="n">
        <v>0.98</v>
      </c>
      <c r="Z51" s="60" t="n"/>
      <c r="AA51" s="220" t="n">
        <v>39</v>
      </c>
      <c r="AB51" s="222">
        <f>IFERROR(AVERAGEIFS(SAISIE!AE:AE,SAISIE!Y:Y,BILAN!B51,SAISIE!B:B,"FLUX DEV"),"")</f>
        <v/>
      </c>
      <c r="AC51" s="222">
        <f>IFERROR(AVERAGEIFS(SAISIE!AD:AD,SAISIE!Y:Y,BILAN!B51,SAISIE!B:B,"FLUX DEV"),"")</f>
        <v/>
      </c>
      <c r="AD51" s="223" t="n">
        <v>0.98</v>
      </c>
      <c r="AF51" s="220" t="n">
        <v>39</v>
      </c>
      <c r="AG51" s="222">
        <f>IFERROR(AVERAGEIFS(SAISIE!AF:AF,SAISIE!Y:Y,BILAN!B51,SAISIE!B:B,"PETB"),"")</f>
        <v/>
      </c>
      <c r="AH51" s="222" t="n"/>
      <c r="AI51" s="223" t="n">
        <v>0.95</v>
      </c>
      <c r="AK51" s="220" t="n">
        <v>39</v>
      </c>
      <c r="AL51" s="222">
        <f>IFERROR(AVERAGEIFS(SAISIE!AG:AG,SAISIE!Y:Y,BILAN!B51,SAISIE!B:B,"PEPP"),"")</f>
        <v/>
      </c>
      <c r="AM51" s="222">
        <f>IFERROR(AVERAGEIFS(SAISIE!AT:AT,SAISIE!Y:Y,BILAN!B51,SAISIE!B:B,"PEPP"),"")</f>
        <v/>
      </c>
      <c r="AN51" s="223" t="n">
        <v>0.95</v>
      </c>
      <c r="AP51" s="220" t="n">
        <v>39</v>
      </c>
      <c r="AQ51" s="222">
        <f>IFERROR(AVERAGEIFS(SAISIE!AH:AH,SAISIE!Y:Y,BILAN!B51,SAISIE!B:B,"ELA"),"")</f>
        <v/>
      </c>
      <c r="AR51" s="222">
        <f>IFERROR(AVERAGEIFS(SAISIE!AN:AN,SAISIE!Y:Y,BILAN!B51,SAISIE!B:B,"ELA"),"")</f>
        <v/>
      </c>
      <c r="AS51" s="111" t="n">
        <v>0.95</v>
      </c>
      <c r="AT51" s="223">
        <f>IFERROR(AVERAGEIFS(SAISIE!AW:AW,SAISIE!Y:Y,BILAN!B51,SAISIE!B:B,"ELA"),"")</f>
        <v/>
      </c>
      <c r="AV51" s="220" t="n">
        <v>39</v>
      </c>
      <c r="AW51" s="222">
        <f>IFERROR(AVERAGEIFS(SAISIE!AI:AI,SAISIE!Y:Y,BILAN!B51,SAISIE!B:B,"FILM"),"")</f>
        <v/>
      </c>
      <c r="AX51" s="222">
        <f>IFERROR(AVERAGEIFS(SAISIE!AV:AV,SAISIE!Y:Y,BILAN!B51,SAISIE!B:B,"FILM"),"")</f>
        <v/>
      </c>
      <c r="AY51" s="223" t="n">
        <v>0.95</v>
      </c>
      <c r="AZ51" s="111" t="n"/>
      <c r="BA51" s="220" t="n">
        <v>39</v>
      </c>
      <c r="BB51" s="222">
        <f>IFERROR(AVERAGEIFS(SAISIE!AJ:AJ,SAISIE!Y:Y,BILAN!B51,SAISIE!B:B,"ACIER"),"")</f>
        <v/>
      </c>
      <c r="BC51" s="222" t="n"/>
      <c r="BD51" s="223" t="n">
        <v>0.95</v>
      </c>
      <c r="BE51" s="41" t="n"/>
      <c r="BF51" s="235" t="n">
        <v>39</v>
      </c>
      <c r="BG51" s="222">
        <f>IFERROR(AVERAGEIFS(SAISIE!AK:AK,SAISIE!Y:Y,BILAN!B51,SAISIE!B:B,"ALU"),"")</f>
        <v/>
      </c>
      <c r="BH51" s="222" t="n"/>
      <c r="BI51" s="223" t="n">
        <v>0.95</v>
      </c>
      <c r="BK51" s="220" t="n">
        <v>39</v>
      </c>
      <c r="BL51" s="222">
        <f>IFERROR(AVERAGEIFS(SAISIE!AL:AL,SAISIE!Y:Y,BILAN!B51,SAISIE!B:B,"PETIT ALU"),"")</f>
        <v/>
      </c>
      <c r="BM51" s="222">
        <f>IFERROR(AVERAGEIFS(SAISIE!AK:AK,SAISIE!Y:Y,BILAN!B51,SAISIE!B:B,"PETIT ALU"),"")</f>
        <v/>
      </c>
      <c r="BN51" s="223" t="n">
        <v>0.95</v>
      </c>
      <c r="BP51" s="220" t="n">
        <v>39</v>
      </c>
      <c r="BQ51" s="222">
        <f>IFERROR(AVERAGEIFS(SAISIE!AM:AM,SAISIE!Y:Y,BILAN!B51,SAISIE!B:B,"REFUS"),"")</f>
        <v/>
      </c>
      <c r="BR51" s="222">
        <f>IFERROR(AVERAGEIFS(SAISIE!AU:AU,SAISIE!Y:Y,BILAN!B51,SAISIE!B:B,"REFUS"),"")</f>
        <v/>
      </c>
      <c r="BS51" s="223" t="n">
        <v>0.95</v>
      </c>
      <c r="BU51" s="41" t="n"/>
      <c r="BV51" s="41" t="n"/>
      <c r="BW51" s="41" t="n"/>
      <c r="BX51" s="41" t="n"/>
    </row>
    <row r="52">
      <c r="B52" s="220" t="n">
        <v>40</v>
      </c>
      <c r="C52" s="222">
        <f>IFERROR(AVERAGEIFS(SAISIE!Z:Z,SAISIE!Y:Y,BILAN!B52,SAISIE!B:B,"JRM"),"")</f>
        <v/>
      </c>
      <c r="D52" s="222">
        <f>IFERROR(AVERAGEIFS(SAISIE!AP:AP,SAISIE!Y:Y,BILAN!B52,SAISIE!B:B,"JRM"),"")</f>
        <v/>
      </c>
      <c r="E52" s="223" t="n">
        <v>0.97</v>
      </c>
      <c r="F52" s="111" t="n"/>
      <c r="G52" s="220" t="n">
        <v>40</v>
      </c>
      <c r="H52" s="222">
        <f>IFERROR(AVERAGEIFS(SAISIE!AA:AA,SAISIE!Y:Y,BILAN!B52,SAISIE!B:B,"EMR"),"")</f>
        <v/>
      </c>
      <c r="I52" s="222">
        <f>IFERROR(AVERAGEIFS(SAISIE!AS:AS,SAISIE!Y:Y,BILAN!B52,SAISIE!B:B,"EMR"),"")</f>
        <v/>
      </c>
      <c r="J52" s="223" t="n">
        <v>0.95</v>
      </c>
      <c r="L52" s="220" t="n">
        <v>40</v>
      </c>
      <c r="M52" s="222">
        <f>IFERROR(AVERAGEIFS(SAISIE!AB:AB,SAISIE!Y:Y,BILAN!B52,SAISIE!B:B,"CARTON"),"")</f>
        <v/>
      </c>
      <c r="N52" s="222">
        <f>IFERROR(AVERAGEIFS(SAISIE!AS:AS,SAISIE!Y:Y,BILAN!B52,SAISIE!B:B,"CARTON"),"")</f>
        <v/>
      </c>
      <c r="O52" s="223" t="n">
        <v>0.95</v>
      </c>
      <c r="Q52" s="220" t="n">
        <v>40</v>
      </c>
      <c r="R52" s="222">
        <f>IFERROR(AVERAGEIFS(SAISIE!AC:AC,SAISIE!Y:Y,BILAN!B52,SAISIE!B:B,"GM"),"")</f>
        <v/>
      </c>
      <c r="S52" s="222">
        <f>IFERROR(AVERAGEIFS(SAISIE!AS:AS,SAISIE!Y:Y,BILAN!B52,SAISIE!B:B,"GM"),"")</f>
        <v/>
      </c>
      <c r="T52" s="223" t="n">
        <v>0.98</v>
      </c>
      <c r="V52" s="220" t="n">
        <v>40</v>
      </c>
      <c r="W52" s="222">
        <f>IFERROR(AVERAGEIFS(SAISIE!AD:AD,SAISIE!Y:Y,BILAN!B52,SAISIE!B:B,"PETQ9"),"")</f>
        <v/>
      </c>
      <c r="X52" s="222">
        <f>IFERROR(AVERAGEIFS(SAISIE!AF:AF,SAISIE!Y:Y,BILAN!B52,SAISIE!B:B,"PETQ9"),"")</f>
        <v/>
      </c>
      <c r="Y52" s="223" t="n">
        <v>0.98</v>
      </c>
      <c r="Z52" s="60" t="n"/>
      <c r="AA52" s="220" t="n">
        <v>40</v>
      </c>
      <c r="AB52" s="222">
        <f>IFERROR(AVERAGEIFS(SAISIE!AE:AE,SAISIE!Y:Y,BILAN!B52,SAISIE!B:B,"FLUX DEV"),"")</f>
        <v/>
      </c>
      <c r="AC52" s="222">
        <f>IFERROR(AVERAGEIFS(SAISIE!AD:AD,SAISIE!Y:Y,BILAN!B52,SAISIE!B:B,"FLUX DEV"),"")</f>
        <v/>
      </c>
      <c r="AD52" s="223" t="n">
        <v>0.98</v>
      </c>
      <c r="AF52" s="220" t="n">
        <v>40</v>
      </c>
      <c r="AG52" s="222">
        <f>IFERROR(AVERAGEIFS(SAISIE!AF:AF,SAISIE!Y:Y,BILAN!B52,SAISIE!B:B,"PETB"),"")</f>
        <v/>
      </c>
      <c r="AH52" s="222" t="n"/>
      <c r="AI52" s="223" t="n">
        <v>0.95</v>
      </c>
      <c r="AK52" s="220" t="n">
        <v>40</v>
      </c>
      <c r="AL52" s="222">
        <f>IFERROR(AVERAGEIFS(SAISIE!AG:AG,SAISIE!Y:Y,BILAN!B52,SAISIE!B:B,"PEPP"),"")</f>
        <v/>
      </c>
      <c r="AM52" s="222">
        <f>IFERROR(AVERAGEIFS(SAISIE!AT:AT,SAISIE!Y:Y,BILAN!B52,SAISIE!B:B,"PEPP"),"")</f>
        <v/>
      </c>
      <c r="AN52" s="223" t="n">
        <v>0.95</v>
      </c>
      <c r="AP52" s="220" t="n">
        <v>40</v>
      </c>
      <c r="AQ52" s="222">
        <f>IFERROR(AVERAGEIFS(SAISIE!AH:AH,SAISIE!Y:Y,BILAN!B52,SAISIE!B:B,"ELA"),"")</f>
        <v/>
      </c>
      <c r="AR52" s="222">
        <f>IFERROR(AVERAGEIFS(SAISIE!AN:AN,SAISIE!Y:Y,BILAN!B52,SAISIE!B:B,"ELA"),"")</f>
        <v/>
      </c>
      <c r="AS52" s="111" t="n">
        <v>0.95</v>
      </c>
      <c r="AT52" s="223">
        <f>IFERROR(AVERAGEIFS(SAISIE!AW:AW,SAISIE!Y:Y,BILAN!B52,SAISIE!B:B,"ELA"),"")</f>
        <v/>
      </c>
      <c r="AV52" s="220" t="n">
        <v>40</v>
      </c>
      <c r="AW52" s="222">
        <f>IFERROR(AVERAGEIFS(SAISIE!AI:AI,SAISIE!Y:Y,BILAN!B52,SAISIE!B:B,"FILM"),"")</f>
        <v/>
      </c>
      <c r="AX52" s="222">
        <f>IFERROR(AVERAGEIFS(SAISIE!AV:AV,SAISIE!Y:Y,BILAN!B52,SAISIE!B:B,"FILM"),"")</f>
        <v/>
      </c>
      <c r="AY52" s="223" t="n">
        <v>0.95</v>
      </c>
      <c r="AZ52" s="111" t="n"/>
      <c r="BA52" s="220" t="n">
        <v>40</v>
      </c>
      <c r="BB52" s="222">
        <f>IFERROR(AVERAGEIFS(SAISIE!AJ:AJ,SAISIE!Y:Y,BILAN!B52,SAISIE!B:B,"ACIER"),"")</f>
        <v/>
      </c>
      <c r="BC52" s="222" t="n"/>
      <c r="BD52" s="223" t="n">
        <v>0.95</v>
      </c>
      <c r="BE52" s="41" t="n"/>
      <c r="BF52" s="235" t="n">
        <v>40</v>
      </c>
      <c r="BG52" s="222">
        <f>IFERROR(AVERAGEIFS(SAISIE!AK:AK,SAISIE!Y:Y,BILAN!B52,SAISIE!B:B,"ALU"),"")</f>
        <v/>
      </c>
      <c r="BH52" s="222" t="n"/>
      <c r="BI52" s="223" t="n">
        <v>0.95</v>
      </c>
      <c r="BK52" s="220" t="n">
        <v>40</v>
      </c>
      <c r="BL52" s="222">
        <f>IFERROR(AVERAGEIFS(SAISIE!AL:AL,SAISIE!Y:Y,BILAN!B52,SAISIE!B:B,"PETIT ALU"),"")</f>
        <v/>
      </c>
      <c r="BM52" s="222">
        <f>IFERROR(AVERAGEIFS(SAISIE!AK:AK,SAISIE!Y:Y,BILAN!B52,SAISIE!B:B,"PETIT ALU"),"")</f>
        <v/>
      </c>
      <c r="BN52" s="223" t="n">
        <v>0.95</v>
      </c>
      <c r="BP52" s="220" t="n">
        <v>40</v>
      </c>
      <c r="BQ52" s="222">
        <f>IFERROR(AVERAGEIFS(SAISIE!AM:AM,SAISIE!Y:Y,BILAN!B52,SAISIE!B:B,"REFUS"),"")</f>
        <v/>
      </c>
      <c r="BR52" s="222">
        <f>IFERROR(AVERAGEIFS(SAISIE!AU:AU,SAISIE!Y:Y,BILAN!B52,SAISIE!B:B,"REFUS"),"")</f>
        <v/>
      </c>
      <c r="BS52" s="223" t="n">
        <v>0.95</v>
      </c>
      <c r="BU52" s="41" t="n"/>
      <c r="BV52" s="41" t="n"/>
      <c r="BW52" s="41" t="n"/>
      <c r="BX52" s="41" t="n"/>
    </row>
    <row r="53">
      <c r="B53" s="220" t="n">
        <v>41</v>
      </c>
      <c r="C53" s="222">
        <f>IFERROR(AVERAGEIFS(SAISIE!Z:Z,SAISIE!Y:Y,BILAN!B53,SAISIE!B:B,"JRM"),"")</f>
        <v/>
      </c>
      <c r="D53" s="222">
        <f>IFERROR(AVERAGEIFS(SAISIE!AP:AP,SAISIE!Y:Y,BILAN!B53,SAISIE!B:B,"JRM"),"")</f>
        <v/>
      </c>
      <c r="E53" s="223" t="n">
        <v>0.97</v>
      </c>
      <c r="F53" s="111" t="n"/>
      <c r="G53" s="220" t="n">
        <v>41</v>
      </c>
      <c r="H53" s="222">
        <f>IFERROR(AVERAGEIFS(SAISIE!AA:AA,SAISIE!Y:Y,BILAN!B53,SAISIE!B:B,"EMR"),"")</f>
        <v/>
      </c>
      <c r="I53" s="222">
        <f>IFERROR(AVERAGEIFS(SAISIE!AS:AS,SAISIE!Y:Y,BILAN!B53,SAISIE!B:B,"EMR"),"")</f>
        <v/>
      </c>
      <c r="J53" s="223" t="n">
        <v>0.95</v>
      </c>
      <c r="L53" s="220" t="n">
        <v>41</v>
      </c>
      <c r="M53" s="222">
        <f>IFERROR(AVERAGEIFS(SAISIE!AB:AB,SAISIE!Y:Y,BILAN!B53,SAISIE!B:B,"CARTON"),"")</f>
        <v/>
      </c>
      <c r="N53" s="222">
        <f>IFERROR(AVERAGEIFS(SAISIE!AS:AS,SAISIE!Y:Y,BILAN!B53,SAISIE!B:B,"CARTON"),"")</f>
        <v/>
      </c>
      <c r="O53" s="223" t="n">
        <v>0.95</v>
      </c>
      <c r="Q53" s="220" t="n">
        <v>41</v>
      </c>
      <c r="R53" s="222">
        <f>IFERROR(AVERAGEIFS(SAISIE!AC:AC,SAISIE!Y:Y,BILAN!B53,SAISIE!B:B,"GM"),"")</f>
        <v/>
      </c>
      <c r="S53" s="222">
        <f>IFERROR(AVERAGEIFS(SAISIE!AS:AS,SAISIE!Y:Y,BILAN!B53,SAISIE!B:B,"GM"),"")</f>
        <v/>
      </c>
      <c r="T53" s="223" t="n">
        <v>0.98</v>
      </c>
      <c r="V53" s="220" t="n">
        <v>41</v>
      </c>
      <c r="W53" s="222">
        <f>IFERROR(AVERAGEIFS(SAISIE!AD:AD,SAISIE!Y:Y,BILAN!B53,SAISIE!B:B,"PETQ9"),"")</f>
        <v/>
      </c>
      <c r="X53" s="222">
        <f>IFERROR(AVERAGEIFS(SAISIE!AF:AF,SAISIE!Y:Y,BILAN!B53,SAISIE!B:B,"PETQ9"),"")</f>
        <v/>
      </c>
      <c r="Y53" s="223" t="n">
        <v>0.98</v>
      </c>
      <c r="Z53" s="60" t="n"/>
      <c r="AA53" s="220" t="n">
        <v>41</v>
      </c>
      <c r="AB53" s="222">
        <f>IFERROR(AVERAGEIFS(SAISIE!AE:AE,SAISIE!Y:Y,BILAN!B53,SAISIE!B:B,"FLUX DEV"),"")</f>
        <v/>
      </c>
      <c r="AC53" s="222">
        <f>IFERROR(AVERAGEIFS(SAISIE!AD:AD,SAISIE!Y:Y,BILAN!B53,SAISIE!B:B,"FLUX DEV"),"")</f>
        <v/>
      </c>
      <c r="AD53" s="223" t="n">
        <v>0.98</v>
      </c>
      <c r="AF53" s="220" t="n">
        <v>41</v>
      </c>
      <c r="AG53" s="222">
        <f>IFERROR(AVERAGEIFS(SAISIE!AF:AF,SAISIE!Y:Y,BILAN!B53,SAISIE!B:B,"PETB"),"")</f>
        <v/>
      </c>
      <c r="AH53" s="222" t="n"/>
      <c r="AI53" s="223" t="n">
        <v>0.95</v>
      </c>
      <c r="AK53" s="220" t="n">
        <v>41</v>
      </c>
      <c r="AL53" s="222">
        <f>IFERROR(AVERAGEIFS(SAISIE!AG:AG,SAISIE!Y:Y,BILAN!B53,SAISIE!B:B,"PEPP"),"")</f>
        <v/>
      </c>
      <c r="AM53" s="222">
        <f>IFERROR(AVERAGEIFS(SAISIE!AT:AT,SAISIE!Y:Y,BILAN!B53,SAISIE!B:B,"PEPP"),"")</f>
        <v/>
      </c>
      <c r="AN53" s="223" t="n">
        <v>0.95</v>
      </c>
      <c r="AP53" s="220" t="n">
        <v>41</v>
      </c>
      <c r="AQ53" s="222">
        <f>IFERROR(AVERAGEIFS(SAISIE!AH:AH,SAISIE!Y:Y,BILAN!B53,SAISIE!B:B,"ELA"),"")</f>
        <v/>
      </c>
      <c r="AR53" s="222">
        <f>IFERROR(AVERAGEIFS(SAISIE!AN:AN,SAISIE!Y:Y,BILAN!B53,SAISIE!B:B,"ELA"),"")</f>
        <v/>
      </c>
      <c r="AS53" s="111" t="n">
        <v>0.95</v>
      </c>
      <c r="AT53" s="223">
        <f>IFERROR(AVERAGEIFS(SAISIE!AW:AW,SAISIE!Y:Y,BILAN!B53,SAISIE!B:B,"ELA"),"")</f>
        <v/>
      </c>
      <c r="AV53" s="220" t="n">
        <v>41</v>
      </c>
      <c r="AW53" s="222">
        <f>IFERROR(AVERAGEIFS(SAISIE!AI:AI,SAISIE!Y:Y,BILAN!B53,SAISIE!B:B,"FILM"),"")</f>
        <v/>
      </c>
      <c r="AX53" s="222">
        <f>IFERROR(AVERAGEIFS(SAISIE!AV:AV,SAISIE!Y:Y,BILAN!B53,SAISIE!B:B,"FILM"),"")</f>
        <v/>
      </c>
      <c r="AY53" s="223" t="n">
        <v>0.95</v>
      </c>
      <c r="AZ53" s="111" t="n"/>
      <c r="BA53" s="220" t="n">
        <v>41</v>
      </c>
      <c r="BB53" s="222">
        <f>IFERROR(AVERAGEIFS(SAISIE!AJ:AJ,SAISIE!Y:Y,BILAN!B53,SAISIE!B:B,"ACIER"),"")</f>
        <v/>
      </c>
      <c r="BC53" s="222" t="n"/>
      <c r="BD53" s="223" t="n">
        <v>0.95</v>
      </c>
      <c r="BE53" s="41" t="n"/>
      <c r="BF53" s="235" t="n">
        <v>41</v>
      </c>
      <c r="BG53" s="222">
        <f>IFERROR(AVERAGEIFS(SAISIE!AK:AK,SAISIE!Y:Y,BILAN!B53,SAISIE!B:B,"ALU"),"")</f>
        <v/>
      </c>
      <c r="BH53" s="222" t="n"/>
      <c r="BI53" s="223" t="n">
        <v>0.95</v>
      </c>
      <c r="BK53" s="220" t="n">
        <v>41</v>
      </c>
      <c r="BL53" s="222">
        <f>IFERROR(AVERAGEIFS(SAISIE!AL:AL,SAISIE!Y:Y,BILAN!B53,SAISIE!B:B,"PETIT ALU"),"")</f>
        <v/>
      </c>
      <c r="BM53" s="222">
        <f>IFERROR(AVERAGEIFS(SAISIE!AK:AK,SAISIE!Y:Y,BILAN!B53,SAISIE!B:B,"PETIT ALU"),"")</f>
        <v/>
      </c>
      <c r="BN53" s="223" t="n">
        <v>0.95</v>
      </c>
      <c r="BP53" s="220" t="n">
        <v>41</v>
      </c>
      <c r="BQ53" s="222">
        <f>IFERROR(AVERAGEIFS(SAISIE!AM:AM,SAISIE!Y:Y,BILAN!B53,SAISIE!B:B,"REFUS"),"")</f>
        <v/>
      </c>
      <c r="BR53" s="222">
        <f>IFERROR(AVERAGEIFS(SAISIE!AU:AU,SAISIE!Y:Y,BILAN!B53,SAISIE!B:B,"REFUS"),"")</f>
        <v/>
      </c>
      <c r="BS53" s="223" t="n">
        <v>0.95</v>
      </c>
      <c r="BU53" s="41" t="n"/>
      <c r="BV53" s="41" t="n"/>
      <c r="BW53" s="41" t="n"/>
      <c r="BX53" s="41" t="n"/>
    </row>
    <row r="54">
      <c r="B54" s="220" t="n">
        <v>42</v>
      </c>
      <c r="C54" s="222">
        <f>IFERROR(AVERAGEIFS(SAISIE!Z:Z,SAISIE!Y:Y,BILAN!B54,SAISIE!B:B,"JRM"),"")</f>
        <v/>
      </c>
      <c r="D54" s="222">
        <f>IFERROR(AVERAGEIFS(SAISIE!AP:AP,SAISIE!Y:Y,BILAN!B54,SAISIE!B:B,"JRM"),"")</f>
        <v/>
      </c>
      <c r="E54" s="223" t="n">
        <v>0.97</v>
      </c>
      <c r="F54" s="111" t="n"/>
      <c r="G54" s="220" t="n">
        <v>42</v>
      </c>
      <c r="H54" s="222">
        <f>IFERROR(AVERAGEIFS(SAISIE!AA:AA,SAISIE!Y:Y,BILAN!B54,SAISIE!B:B,"EMR"),"")</f>
        <v/>
      </c>
      <c r="I54" s="222">
        <f>IFERROR(AVERAGEIFS(SAISIE!AS:AS,SAISIE!Y:Y,BILAN!B54,SAISIE!B:B,"EMR"),"")</f>
        <v/>
      </c>
      <c r="J54" s="223" t="n">
        <v>0.95</v>
      </c>
      <c r="L54" s="220" t="n">
        <v>42</v>
      </c>
      <c r="M54" s="222">
        <f>IFERROR(AVERAGEIFS(SAISIE!AB:AB,SAISIE!Y:Y,BILAN!B54,SAISIE!B:B,"CARTON"),"")</f>
        <v/>
      </c>
      <c r="N54" s="222">
        <f>IFERROR(AVERAGEIFS(SAISIE!AS:AS,SAISIE!Y:Y,BILAN!B54,SAISIE!B:B,"CARTON"),"")</f>
        <v/>
      </c>
      <c r="O54" s="223" t="n">
        <v>0.95</v>
      </c>
      <c r="Q54" s="220" t="n">
        <v>42</v>
      </c>
      <c r="R54" s="222">
        <f>IFERROR(AVERAGEIFS(SAISIE!AC:AC,SAISIE!Y:Y,BILAN!B54,SAISIE!B:B,"GM"),"")</f>
        <v/>
      </c>
      <c r="S54" s="222">
        <f>IFERROR(AVERAGEIFS(SAISIE!AS:AS,SAISIE!Y:Y,BILAN!B54,SAISIE!B:B,"GM"),"")</f>
        <v/>
      </c>
      <c r="T54" s="223" t="n">
        <v>0.98</v>
      </c>
      <c r="V54" s="220" t="n">
        <v>42</v>
      </c>
      <c r="W54" s="222">
        <f>IFERROR(AVERAGEIFS(SAISIE!AD:AD,SAISIE!Y:Y,BILAN!B54,SAISIE!B:B,"PETQ9"),"")</f>
        <v/>
      </c>
      <c r="X54" s="222">
        <f>IFERROR(AVERAGEIFS(SAISIE!AF:AF,SAISIE!Y:Y,BILAN!B54,SAISIE!B:B,"PETQ9"),"")</f>
        <v/>
      </c>
      <c r="Y54" s="223" t="n">
        <v>0.98</v>
      </c>
      <c r="Z54" s="60" t="n"/>
      <c r="AA54" s="220" t="n">
        <v>42</v>
      </c>
      <c r="AB54" s="222">
        <f>IFERROR(AVERAGEIFS(SAISIE!AE:AE,SAISIE!Y:Y,BILAN!B54,SAISIE!B:B,"FLUX DEV"),"")</f>
        <v/>
      </c>
      <c r="AC54" s="222">
        <f>IFERROR(AVERAGEIFS(SAISIE!AD:AD,SAISIE!Y:Y,BILAN!B54,SAISIE!B:B,"FLUX DEV"),"")</f>
        <v/>
      </c>
      <c r="AD54" s="223" t="n">
        <v>0.98</v>
      </c>
      <c r="AF54" s="220" t="n">
        <v>42</v>
      </c>
      <c r="AG54" s="222">
        <f>IFERROR(AVERAGEIFS(SAISIE!AF:AF,SAISIE!Y:Y,BILAN!B54,SAISIE!B:B,"PETB"),"")</f>
        <v/>
      </c>
      <c r="AH54" s="222" t="n"/>
      <c r="AI54" s="223" t="n">
        <v>0.95</v>
      </c>
      <c r="AK54" s="220" t="n">
        <v>42</v>
      </c>
      <c r="AL54" s="222">
        <f>IFERROR(AVERAGEIFS(SAISIE!AG:AG,SAISIE!Y:Y,BILAN!B54,SAISIE!B:B,"PEPP"),"")</f>
        <v/>
      </c>
      <c r="AM54" s="222">
        <f>IFERROR(AVERAGEIFS(SAISIE!AT:AT,SAISIE!Y:Y,BILAN!B54,SAISIE!B:B,"PEPP"),"")</f>
        <v/>
      </c>
      <c r="AN54" s="223" t="n">
        <v>0.95</v>
      </c>
      <c r="AP54" s="220" t="n">
        <v>42</v>
      </c>
      <c r="AQ54" s="222">
        <f>IFERROR(AVERAGEIFS(SAISIE!AH:AH,SAISIE!Y:Y,BILAN!B54,SAISIE!B:B,"ELA"),"")</f>
        <v/>
      </c>
      <c r="AR54" s="222">
        <f>IFERROR(AVERAGEIFS(SAISIE!AN:AN,SAISIE!Y:Y,BILAN!B54,SAISIE!B:B,"ELA"),"")</f>
        <v/>
      </c>
      <c r="AS54" s="111" t="n">
        <v>0.95</v>
      </c>
      <c r="AT54" s="223">
        <f>IFERROR(AVERAGEIFS(SAISIE!AW:AW,SAISIE!Y:Y,BILAN!B54,SAISIE!B:B,"ELA"),"")</f>
        <v/>
      </c>
      <c r="AV54" s="220" t="n">
        <v>42</v>
      </c>
      <c r="AW54" s="222">
        <f>IFERROR(AVERAGEIFS(SAISIE!AI:AI,SAISIE!Y:Y,BILAN!B54,SAISIE!B:B,"FILM"),"")</f>
        <v/>
      </c>
      <c r="AX54" s="222">
        <f>IFERROR(AVERAGEIFS(SAISIE!AV:AV,SAISIE!Y:Y,BILAN!B54,SAISIE!B:B,"FILM"),"")</f>
        <v/>
      </c>
      <c r="AY54" s="223" t="n">
        <v>0.95</v>
      </c>
      <c r="AZ54" s="111" t="n"/>
      <c r="BA54" s="220" t="n">
        <v>42</v>
      </c>
      <c r="BB54" s="222">
        <f>IFERROR(AVERAGEIFS(SAISIE!AJ:AJ,SAISIE!Y:Y,BILAN!B54,SAISIE!B:B,"ACIER"),"")</f>
        <v/>
      </c>
      <c r="BC54" s="222" t="n"/>
      <c r="BD54" s="223" t="n">
        <v>0.95</v>
      </c>
      <c r="BE54" s="41" t="n"/>
      <c r="BF54" s="235" t="n">
        <v>42</v>
      </c>
      <c r="BG54" s="222">
        <f>IFERROR(AVERAGEIFS(SAISIE!AK:AK,SAISIE!Y:Y,BILAN!B54,SAISIE!B:B,"ALU"),"")</f>
        <v/>
      </c>
      <c r="BH54" s="222" t="n"/>
      <c r="BI54" s="223" t="n">
        <v>0.95</v>
      </c>
      <c r="BK54" s="220" t="n">
        <v>42</v>
      </c>
      <c r="BL54" s="222">
        <f>IFERROR(AVERAGEIFS(SAISIE!AL:AL,SAISIE!Y:Y,BILAN!B54,SAISIE!B:B,"PETIT ALU"),"")</f>
        <v/>
      </c>
      <c r="BM54" s="222">
        <f>IFERROR(AVERAGEIFS(SAISIE!AK:AK,SAISIE!Y:Y,BILAN!B54,SAISIE!B:B,"PETIT ALU"),"")</f>
        <v/>
      </c>
      <c r="BN54" s="223" t="n">
        <v>0.95</v>
      </c>
      <c r="BP54" s="220" t="n">
        <v>42</v>
      </c>
      <c r="BQ54" s="222">
        <f>IFERROR(AVERAGEIFS(SAISIE!AM:AM,SAISIE!Y:Y,BILAN!B54,SAISIE!B:B,"REFUS"),"")</f>
        <v/>
      </c>
      <c r="BR54" s="222">
        <f>IFERROR(AVERAGEIFS(SAISIE!AU:AU,SAISIE!Y:Y,BILAN!B54,SAISIE!B:B,"REFUS"),"")</f>
        <v/>
      </c>
      <c r="BS54" s="223" t="n">
        <v>0.95</v>
      </c>
      <c r="BU54" s="41" t="n"/>
      <c r="BV54" s="41" t="n"/>
      <c r="BW54" s="41" t="n"/>
      <c r="BX54" s="41" t="n"/>
    </row>
    <row r="55">
      <c r="B55" s="220" t="n">
        <v>43</v>
      </c>
      <c r="C55" s="222">
        <f>IFERROR(AVERAGEIFS(SAISIE!Z:Z,SAISIE!Y:Y,BILAN!B55,SAISIE!B:B,"JRM"),"")</f>
        <v/>
      </c>
      <c r="D55" s="222">
        <f>IFERROR(AVERAGEIFS(SAISIE!AP:AP,SAISIE!Y:Y,BILAN!B55,SAISIE!B:B,"JRM"),"")</f>
        <v/>
      </c>
      <c r="E55" s="223" t="n">
        <v>0.97</v>
      </c>
      <c r="F55" s="111" t="n"/>
      <c r="G55" s="220" t="n">
        <v>43</v>
      </c>
      <c r="H55" s="222">
        <f>IFERROR(AVERAGEIFS(SAISIE!AA:AA,SAISIE!Y:Y,BILAN!B55,SAISIE!B:B,"EMR"),"")</f>
        <v/>
      </c>
      <c r="I55" s="222">
        <f>IFERROR(AVERAGEIFS(SAISIE!AS:AS,SAISIE!Y:Y,BILAN!B55,SAISIE!B:B,"EMR"),"")</f>
        <v/>
      </c>
      <c r="J55" s="223" t="n">
        <v>0.95</v>
      </c>
      <c r="L55" s="220" t="n">
        <v>43</v>
      </c>
      <c r="M55" s="222">
        <f>IFERROR(AVERAGEIFS(SAISIE!AB:AB,SAISIE!Y:Y,BILAN!B55,SAISIE!B:B,"CARTON"),"")</f>
        <v/>
      </c>
      <c r="N55" s="222">
        <f>IFERROR(AVERAGEIFS(SAISIE!AS:AS,SAISIE!Y:Y,BILAN!B55,SAISIE!B:B,"CARTON"),"")</f>
        <v/>
      </c>
      <c r="O55" s="223" t="n">
        <v>0.95</v>
      </c>
      <c r="Q55" s="220" t="n">
        <v>43</v>
      </c>
      <c r="R55" s="222">
        <f>IFERROR(AVERAGEIFS(SAISIE!AC:AC,SAISIE!Y:Y,BILAN!B55,SAISIE!B:B,"GM"),"")</f>
        <v/>
      </c>
      <c r="S55" s="222">
        <f>IFERROR(AVERAGEIFS(SAISIE!AS:AS,SAISIE!Y:Y,BILAN!B55,SAISIE!B:B,"GM"),"")</f>
        <v/>
      </c>
      <c r="T55" s="223" t="n">
        <v>0.98</v>
      </c>
      <c r="V55" s="220" t="n">
        <v>43</v>
      </c>
      <c r="W55" s="222">
        <f>IFERROR(AVERAGEIFS(SAISIE!AD:AD,SAISIE!Y:Y,BILAN!B55,SAISIE!B:B,"PETQ9"),"")</f>
        <v/>
      </c>
      <c r="X55" s="222">
        <f>IFERROR(AVERAGEIFS(SAISIE!AF:AF,SAISIE!Y:Y,BILAN!B55,SAISIE!B:B,"PETQ9"),"")</f>
        <v/>
      </c>
      <c r="Y55" s="223" t="n">
        <v>0.98</v>
      </c>
      <c r="Z55" s="60" t="n"/>
      <c r="AA55" s="220" t="n">
        <v>43</v>
      </c>
      <c r="AB55" s="222">
        <f>IFERROR(AVERAGEIFS(SAISIE!AE:AE,SAISIE!Y:Y,BILAN!B55,SAISIE!B:B,"FLUX DEV"),"")</f>
        <v/>
      </c>
      <c r="AC55" s="222">
        <f>IFERROR(AVERAGEIFS(SAISIE!AD:AD,SAISIE!Y:Y,BILAN!B55,SAISIE!B:B,"FLUX DEV"),"")</f>
        <v/>
      </c>
      <c r="AD55" s="223" t="n">
        <v>0.98</v>
      </c>
      <c r="AF55" s="220" t="n">
        <v>43</v>
      </c>
      <c r="AG55" s="222">
        <f>IFERROR(AVERAGEIFS(SAISIE!AF:AF,SAISIE!Y:Y,BILAN!B55,SAISIE!B:B,"PETB"),"")</f>
        <v/>
      </c>
      <c r="AH55" s="222" t="n"/>
      <c r="AI55" s="223" t="n">
        <v>0.95</v>
      </c>
      <c r="AK55" s="220" t="n">
        <v>43</v>
      </c>
      <c r="AL55" s="222">
        <f>IFERROR(AVERAGEIFS(SAISIE!AG:AG,SAISIE!Y:Y,BILAN!B55,SAISIE!B:B,"PEPP"),"")</f>
        <v/>
      </c>
      <c r="AM55" s="222">
        <f>IFERROR(AVERAGEIFS(SAISIE!AT:AT,SAISIE!Y:Y,BILAN!B55,SAISIE!B:B,"PEPP"),"")</f>
        <v/>
      </c>
      <c r="AN55" s="223" t="n">
        <v>0.95</v>
      </c>
      <c r="AP55" s="220" t="n">
        <v>43</v>
      </c>
      <c r="AQ55" s="222">
        <f>IFERROR(AVERAGEIFS(SAISIE!AH:AH,SAISIE!Y:Y,BILAN!B55,SAISIE!B:B,"ELA"),"")</f>
        <v/>
      </c>
      <c r="AR55" s="222">
        <f>IFERROR(AVERAGEIFS(SAISIE!AN:AN,SAISIE!Y:Y,BILAN!B55,SAISIE!B:B,"ELA"),"")</f>
        <v/>
      </c>
      <c r="AS55" s="111" t="n">
        <v>0.95</v>
      </c>
      <c r="AT55" s="223">
        <f>IFERROR(AVERAGEIFS(SAISIE!AW:AW,SAISIE!Y:Y,BILAN!B55,SAISIE!B:B,"ELA"),"")</f>
        <v/>
      </c>
      <c r="AV55" s="220" t="n">
        <v>43</v>
      </c>
      <c r="AW55" s="222">
        <f>IFERROR(AVERAGEIFS(SAISIE!AI:AI,SAISIE!Y:Y,BILAN!B55,SAISIE!B:B,"FILM"),"")</f>
        <v/>
      </c>
      <c r="AX55" s="222">
        <f>IFERROR(AVERAGEIFS(SAISIE!AV:AV,SAISIE!Y:Y,BILAN!B55,SAISIE!B:B,"FILM"),"")</f>
        <v/>
      </c>
      <c r="AY55" s="223" t="n">
        <v>0.95</v>
      </c>
      <c r="AZ55" s="111" t="n"/>
      <c r="BA55" s="220" t="n">
        <v>43</v>
      </c>
      <c r="BB55" s="222">
        <f>IFERROR(AVERAGEIFS(SAISIE!AJ:AJ,SAISIE!Y:Y,BILAN!B55,SAISIE!B:B,"ACIER"),"")</f>
        <v/>
      </c>
      <c r="BC55" s="222" t="n"/>
      <c r="BD55" s="223" t="n">
        <v>0.95</v>
      </c>
      <c r="BE55" s="41" t="n"/>
      <c r="BF55" s="235" t="n">
        <v>43</v>
      </c>
      <c r="BG55" s="222">
        <f>IFERROR(AVERAGEIFS(SAISIE!AK:AK,SAISIE!Y:Y,BILAN!B55,SAISIE!B:B,"ALU"),"")</f>
        <v/>
      </c>
      <c r="BH55" s="222" t="n"/>
      <c r="BI55" s="223" t="n">
        <v>0.95</v>
      </c>
      <c r="BK55" s="220" t="n">
        <v>43</v>
      </c>
      <c r="BL55" s="222">
        <f>IFERROR(AVERAGEIFS(SAISIE!AL:AL,SAISIE!Y:Y,BILAN!B55,SAISIE!B:B,"PETIT ALU"),"")</f>
        <v/>
      </c>
      <c r="BM55" s="222">
        <f>IFERROR(AVERAGEIFS(SAISIE!AK:AK,SAISIE!Y:Y,BILAN!B55,SAISIE!B:B,"PETIT ALU"),"")</f>
        <v/>
      </c>
      <c r="BN55" s="223" t="n">
        <v>0.95</v>
      </c>
      <c r="BP55" s="220" t="n">
        <v>43</v>
      </c>
      <c r="BQ55" s="222">
        <f>IFERROR(AVERAGEIFS(SAISIE!AM:AM,SAISIE!Y:Y,BILAN!B55,SAISIE!B:B,"REFUS"),"")</f>
        <v/>
      </c>
      <c r="BR55" s="222">
        <f>IFERROR(AVERAGEIFS(SAISIE!AU:AU,SAISIE!Y:Y,BILAN!B55,SAISIE!B:B,"REFUS"),"")</f>
        <v/>
      </c>
      <c r="BS55" s="223" t="n">
        <v>0.95</v>
      </c>
      <c r="BU55" s="41" t="n"/>
      <c r="BV55" s="41" t="n"/>
      <c r="BW55" s="41" t="n"/>
      <c r="BX55" s="41" t="n"/>
    </row>
    <row r="56">
      <c r="B56" s="220" t="n">
        <v>44</v>
      </c>
      <c r="C56" s="222">
        <f>IFERROR(AVERAGEIFS(SAISIE!Z:Z,SAISIE!Y:Y,BILAN!B56,SAISIE!B:B,"JRM"),"")</f>
        <v/>
      </c>
      <c r="D56" s="222">
        <f>IFERROR(AVERAGEIFS(SAISIE!AP:AP,SAISIE!Y:Y,BILAN!B56,SAISIE!B:B,"JRM"),"")</f>
        <v/>
      </c>
      <c r="E56" s="223" t="n">
        <v>0.97</v>
      </c>
      <c r="F56" s="111" t="n"/>
      <c r="G56" s="220" t="n">
        <v>44</v>
      </c>
      <c r="H56" s="222">
        <f>IFERROR(AVERAGEIFS(SAISIE!AA:AA,SAISIE!Y:Y,BILAN!B56,SAISIE!B:B,"EMR"),"")</f>
        <v/>
      </c>
      <c r="I56" s="222">
        <f>IFERROR(AVERAGEIFS(SAISIE!AS:AS,SAISIE!Y:Y,BILAN!B56,SAISIE!B:B,"EMR"),"")</f>
        <v/>
      </c>
      <c r="J56" s="223" t="n">
        <v>0.95</v>
      </c>
      <c r="L56" s="220" t="n">
        <v>44</v>
      </c>
      <c r="M56" s="222">
        <f>IFERROR(AVERAGEIFS(SAISIE!AB:AB,SAISIE!Y:Y,BILAN!B56,SAISIE!B:B,"CARTON"),"")</f>
        <v/>
      </c>
      <c r="N56" s="222">
        <f>IFERROR(AVERAGEIFS(SAISIE!AS:AS,SAISIE!Y:Y,BILAN!B56,SAISIE!B:B,"CARTON"),"")</f>
        <v/>
      </c>
      <c r="O56" s="223" t="n">
        <v>0.95</v>
      </c>
      <c r="Q56" s="220" t="n">
        <v>44</v>
      </c>
      <c r="R56" s="222">
        <f>IFERROR(AVERAGEIFS(SAISIE!AC:AC,SAISIE!Y:Y,BILAN!B56,SAISIE!B:B,"GM"),"")</f>
        <v/>
      </c>
      <c r="S56" s="222">
        <f>IFERROR(AVERAGEIFS(SAISIE!AS:AS,SAISIE!Y:Y,BILAN!B56,SAISIE!B:B,"GM"),"")</f>
        <v/>
      </c>
      <c r="T56" s="223" t="n">
        <v>0.98</v>
      </c>
      <c r="V56" s="220" t="n">
        <v>44</v>
      </c>
      <c r="W56" s="222">
        <f>IFERROR(AVERAGEIFS(SAISIE!AD:AD,SAISIE!Y:Y,BILAN!B56,SAISIE!B:B,"PETQ9"),"")</f>
        <v/>
      </c>
      <c r="X56" s="222">
        <f>IFERROR(AVERAGEIFS(SAISIE!AF:AF,SAISIE!Y:Y,BILAN!B56,SAISIE!B:B,"PETQ9"),"")</f>
        <v/>
      </c>
      <c r="Y56" s="223" t="n">
        <v>0.98</v>
      </c>
      <c r="Z56" s="60" t="n"/>
      <c r="AA56" s="220" t="n">
        <v>44</v>
      </c>
      <c r="AB56" s="222">
        <f>IFERROR(AVERAGEIFS(SAISIE!AE:AE,SAISIE!Y:Y,BILAN!B56,SAISIE!B:B,"FLUX DEV"),"")</f>
        <v/>
      </c>
      <c r="AC56" s="222">
        <f>IFERROR(AVERAGEIFS(SAISIE!AD:AD,SAISIE!Y:Y,BILAN!B56,SAISIE!B:B,"FLUX DEV"),"")</f>
        <v/>
      </c>
      <c r="AD56" s="223" t="n">
        <v>0.98</v>
      </c>
      <c r="AF56" s="220" t="n">
        <v>44</v>
      </c>
      <c r="AG56" s="222">
        <f>IFERROR(AVERAGEIFS(SAISIE!AF:AF,SAISIE!Y:Y,BILAN!B56,SAISIE!B:B,"PETB"),"")</f>
        <v/>
      </c>
      <c r="AH56" s="222" t="n"/>
      <c r="AI56" s="223" t="n">
        <v>0.95</v>
      </c>
      <c r="AK56" s="220" t="n">
        <v>44</v>
      </c>
      <c r="AL56" s="222">
        <f>IFERROR(AVERAGEIFS(SAISIE!AG:AG,SAISIE!Y:Y,BILAN!B56,SAISIE!B:B,"PEPP"),"")</f>
        <v/>
      </c>
      <c r="AM56" s="222">
        <f>IFERROR(AVERAGEIFS(SAISIE!AT:AT,SAISIE!Y:Y,BILAN!B56,SAISIE!B:B,"PEPP"),"")</f>
        <v/>
      </c>
      <c r="AN56" s="223" t="n">
        <v>0.95</v>
      </c>
      <c r="AP56" s="220" t="n">
        <v>44</v>
      </c>
      <c r="AQ56" s="222">
        <f>IFERROR(AVERAGEIFS(SAISIE!AH:AH,SAISIE!Y:Y,BILAN!B56,SAISIE!B:B,"ELA"),"")</f>
        <v/>
      </c>
      <c r="AR56" s="222">
        <f>IFERROR(AVERAGEIFS(SAISIE!AN:AN,SAISIE!Y:Y,BILAN!B56,SAISIE!B:B,"ELA"),"")</f>
        <v/>
      </c>
      <c r="AS56" s="111" t="n">
        <v>0.95</v>
      </c>
      <c r="AT56" s="223">
        <f>IFERROR(AVERAGEIFS(SAISIE!AW:AW,SAISIE!Y:Y,BILAN!B56,SAISIE!B:B,"ELA"),"")</f>
        <v/>
      </c>
      <c r="AV56" s="220" t="n">
        <v>44</v>
      </c>
      <c r="AW56" s="222">
        <f>IFERROR(AVERAGEIFS(SAISIE!AI:AI,SAISIE!Y:Y,BILAN!B56,SAISIE!B:B,"FILM"),"")</f>
        <v/>
      </c>
      <c r="AX56" s="222">
        <f>IFERROR(AVERAGEIFS(SAISIE!AV:AV,SAISIE!Y:Y,BILAN!B56,SAISIE!B:B,"FILM"),"")</f>
        <v/>
      </c>
      <c r="AY56" s="223" t="n">
        <v>0.95</v>
      </c>
      <c r="AZ56" s="111" t="n"/>
      <c r="BA56" s="220" t="n">
        <v>44</v>
      </c>
      <c r="BB56" s="222">
        <f>IFERROR(AVERAGEIFS(SAISIE!AJ:AJ,SAISIE!Y:Y,BILAN!B56,SAISIE!B:B,"ACIER"),"")</f>
        <v/>
      </c>
      <c r="BC56" s="222" t="n"/>
      <c r="BD56" s="223" t="n">
        <v>0.95</v>
      </c>
      <c r="BE56" s="41" t="n"/>
      <c r="BF56" s="235" t="n">
        <v>44</v>
      </c>
      <c r="BG56" s="222">
        <f>IFERROR(AVERAGEIFS(SAISIE!AK:AK,SAISIE!Y:Y,BILAN!B56,SAISIE!B:B,"ALU"),"")</f>
        <v/>
      </c>
      <c r="BH56" s="222" t="n"/>
      <c r="BI56" s="223" t="n">
        <v>0.95</v>
      </c>
      <c r="BK56" s="220" t="n">
        <v>44</v>
      </c>
      <c r="BL56" s="222">
        <f>IFERROR(AVERAGEIFS(SAISIE!AL:AL,SAISIE!Y:Y,BILAN!B56,SAISIE!B:B,"PETIT ALU"),"")</f>
        <v/>
      </c>
      <c r="BM56" s="222">
        <f>IFERROR(AVERAGEIFS(SAISIE!AK:AK,SAISIE!Y:Y,BILAN!B56,SAISIE!B:B,"PETIT ALU"),"")</f>
        <v/>
      </c>
      <c r="BN56" s="223" t="n">
        <v>0.95</v>
      </c>
      <c r="BP56" s="220" t="n">
        <v>44</v>
      </c>
      <c r="BQ56" s="222">
        <f>IFERROR(AVERAGEIFS(SAISIE!AM:AM,SAISIE!Y:Y,BILAN!B56,SAISIE!B:B,"REFUS"),"")</f>
        <v/>
      </c>
      <c r="BR56" s="222">
        <f>IFERROR(AVERAGEIFS(SAISIE!AU:AU,SAISIE!Y:Y,BILAN!B56,SAISIE!B:B,"REFUS"),"")</f>
        <v/>
      </c>
      <c r="BS56" s="223" t="n">
        <v>0.95</v>
      </c>
      <c r="BU56" s="41" t="n"/>
      <c r="BV56" s="41" t="n"/>
      <c r="BW56" s="41" t="n"/>
      <c r="BX56" s="41" t="n"/>
    </row>
    <row r="57">
      <c r="B57" s="220" t="n">
        <v>45</v>
      </c>
      <c r="C57" s="222">
        <f>IFERROR(AVERAGEIFS(SAISIE!Z:Z,SAISIE!Y:Y,BILAN!B57,SAISIE!B:B,"JRM"),"")</f>
        <v/>
      </c>
      <c r="D57" s="222">
        <f>IFERROR(AVERAGEIFS(SAISIE!AP:AP,SAISIE!Y:Y,BILAN!B57,SAISIE!B:B,"JRM"),"")</f>
        <v/>
      </c>
      <c r="E57" s="223" t="n">
        <v>0.97</v>
      </c>
      <c r="F57" s="111" t="n"/>
      <c r="G57" s="220" t="n">
        <v>45</v>
      </c>
      <c r="H57" s="222">
        <f>IFERROR(AVERAGEIFS(SAISIE!AA:AA,SAISIE!Y:Y,BILAN!B57,SAISIE!B:B,"EMR"),"")</f>
        <v/>
      </c>
      <c r="I57" s="222">
        <f>IFERROR(AVERAGEIFS(SAISIE!AS:AS,SAISIE!Y:Y,BILAN!B57,SAISIE!B:B,"EMR"),"")</f>
        <v/>
      </c>
      <c r="J57" s="223" t="n">
        <v>0.95</v>
      </c>
      <c r="L57" s="220" t="n">
        <v>45</v>
      </c>
      <c r="M57" s="222">
        <f>IFERROR(AVERAGEIFS(SAISIE!AB:AB,SAISIE!Y:Y,BILAN!B57,SAISIE!B:B,"CARTON"),"")</f>
        <v/>
      </c>
      <c r="N57" s="222">
        <f>IFERROR(AVERAGEIFS(SAISIE!AS:AS,SAISIE!Y:Y,BILAN!B57,SAISIE!B:B,"CARTON"),"")</f>
        <v/>
      </c>
      <c r="O57" s="223" t="n">
        <v>0.95</v>
      </c>
      <c r="Q57" s="220" t="n">
        <v>45</v>
      </c>
      <c r="R57" s="222">
        <f>IFERROR(AVERAGEIFS(SAISIE!AC:AC,SAISIE!Y:Y,BILAN!B57,SAISIE!B:B,"GM"),"")</f>
        <v/>
      </c>
      <c r="S57" s="222">
        <f>IFERROR(AVERAGEIFS(SAISIE!AS:AS,SAISIE!Y:Y,BILAN!B57,SAISIE!B:B,"GM"),"")</f>
        <v/>
      </c>
      <c r="T57" s="223" t="n">
        <v>0.98</v>
      </c>
      <c r="V57" s="220" t="n">
        <v>45</v>
      </c>
      <c r="W57" s="222">
        <f>IFERROR(AVERAGEIFS(SAISIE!AD:AD,SAISIE!Y:Y,BILAN!B57,SAISIE!B:B,"PETQ9"),"")</f>
        <v/>
      </c>
      <c r="X57" s="222">
        <f>IFERROR(AVERAGEIFS(SAISIE!AF:AF,SAISIE!Y:Y,BILAN!B57,SAISIE!B:B,"PETQ9"),"")</f>
        <v/>
      </c>
      <c r="Y57" s="223" t="n">
        <v>0.98</v>
      </c>
      <c r="Z57" s="60" t="n"/>
      <c r="AA57" s="220" t="n">
        <v>45</v>
      </c>
      <c r="AB57" s="222">
        <f>IFERROR(AVERAGEIFS(SAISIE!AE:AE,SAISIE!Y:Y,BILAN!B57,SAISIE!B:B,"FLUX DEV"),"")</f>
        <v/>
      </c>
      <c r="AC57" s="222">
        <f>IFERROR(AVERAGEIFS(SAISIE!AD:AD,SAISIE!Y:Y,BILAN!B57,SAISIE!B:B,"FLUX DEV"),"")</f>
        <v/>
      </c>
      <c r="AD57" s="223" t="n">
        <v>0.98</v>
      </c>
      <c r="AF57" s="220" t="n">
        <v>45</v>
      </c>
      <c r="AG57" s="222">
        <f>IFERROR(AVERAGEIFS(SAISIE!AF:AF,SAISIE!Y:Y,BILAN!B57,SAISIE!B:B,"PETB"),"")</f>
        <v/>
      </c>
      <c r="AH57" s="222" t="n"/>
      <c r="AI57" s="223" t="n">
        <v>0.95</v>
      </c>
      <c r="AK57" s="220" t="n">
        <v>45</v>
      </c>
      <c r="AL57" s="222">
        <f>IFERROR(AVERAGEIFS(SAISIE!AG:AG,SAISIE!Y:Y,BILAN!B57,SAISIE!B:B,"PEPP"),"")</f>
        <v/>
      </c>
      <c r="AM57" s="222">
        <f>IFERROR(AVERAGEIFS(SAISIE!AT:AT,SAISIE!Y:Y,BILAN!B57,SAISIE!B:B,"PEPP"),"")</f>
        <v/>
      </c>
      <c r="AN57" s="223" t="n">
        <v>0.95</v>
      </c>
      <c r="AP57" s="220" t="n">
        <v>45</v>
      </c>
      <c r="AQ57" s="222">
        <f>IFERROR(AVERAGEIFS(SAISIE!AH:AH,SAISIE!Y:Y,BILAN!B57,SAISIE!B:B,"ELA"),"")</f>
        <v/>
      </c>
      <c r="AR57" s="222">
        <f>IFERROR(AVERAGEIFS(SAISIE!AN:AN,SAISIE!Y:Y,BILAN!B57,SAISIE!B:B,"ELA"),"")</f>
        <v/>
      </c>
      <c r="AS57" s="111" t="n">
        <v>0.95</v>
      </c>
      <c r="AT57" s="223">
        <f>IFERROR(AVERAGEIFS(SAISIE!AW:AW,SAISIE!Y:Y,BILAN!B57,SAISIE!B:B,"ELA"),"")</f>
        <v/>
      </c>
      <c r="AV57" s="220" t="n">
        <v>45</v>
      </c>
      <c r="AW57" s="222">
        <f>IFERROR(AVERAGEIFS(SAISIE!AI:AI,SAISIE!Y:Y,BILAN!B57,SAISIE!B:B,"FILM"),"")</f>
        <v/>
      </c>
      <c r="AX57" s="222">
        <f>IFERROR(AVERAGEIFS(SAISIE!AV:AV,SAISIE!Y:Y,BILAN!B57,SAISIE!B:B,"FILM"),"")</f>
        <v/>
      </c>
      <c r="AY57" s="223" t="n">
        <v>0.95</v>
      </c>
      <c r="AZ57" s="111" t="n"/>
      <c r="BA57" s="220" t="n">
        <v>45</v>
      </c>
      <c r="BB57" s="222">
        <f>IFERROR(AVERAGEIFS(SAISIE!AJ:AJ,SAISIE!Y:Y,BILAN!B57,SAISIE!B:B,"ACIER"),"")</f>
        <v/>
      </c>
      <c r="BC57" s="222" t="n"/>
      <c r="BD57" s="223" t="n">
        <v>0.95</v>
      </c>
      <c r="BE57" s="41" t="n"/>
      <c r="BF57" s="235" t="n">
        <v>45</v>
      </c>
      <c r="BG57" s="222">
        <f>IFERROR(AVERAGEIFS(SAISIE!AK:AK,SAISIE!Y:Y,BILAN!B57,SAISIE!B:B,"ALU"),"")</f>
        <v/>
      </c>
      <c r="BH57" s="222" t="n"/>
      <c r="BI57" s="223" t="n">
        <v>0.95</v>
      </c>
      <c r="BK57" s="220" t="n">
        <v>45</v>
      </c>
      <c r="BL57" s="222">
        <f>IFERROR(AVERAGEIFS(SAISIE!AL:AL,SAISIE!Y:Y,BILAN!B57,SAISIE!B:B,"PETIT ALU"),"")</f>
        <v/>
      </c>
      <c r="BM57" s="222">
        <f>IFERROR(AVERAGEIFS(SAISIE!AK:AK,SAISIE!Y:Y,BILAN!B57,SAISIE!B:B,"PETIT ALU"),"")</f>
        <v/>
      </c>
      <c r="BN57" s="223" t="n">
        <v>0.95</v>
      </c>
      <c r="BP57" s="220" t="n">
        <v>45</v>
      </c>
      <c r="BQ57" s="222">
        <f>IFERROR(AVERAGEIFS(SAISIE!AM:AM,SAISIE!Y:Y,BILAN!B57,SAISIE!B:B,"REFUS"),"")</f>
        <v/>
      </c>
      <c r="BR57" s="222">
        <f>IFERROR(AVERAGEIFS(SAISIE!AU:AU,SAISIE!Y:Y,BILAN!B57,SAISIE!B:B,"REFUS"),"")</f>
        <v/>
      </c>
      <c r="BS57" s="223" t="n">
        <v>0.95</v>
      </c>
      <c r="BU57" s="41" t="n"/>
      <c r="BV57" s="41" t="n"/>
      <c r="BW57" s="41" t="n"/>
      <c r="BX57" s="41" t="n"/>
    </row>
    <row r="58">
      <c r="B58" s="220" t="n">
        <v>46</v>
      </c>
      <c r="C58" s="222">
        <f>IFERROR(AVERAGEIFS(SAISIE!Z:Z,SAISIE!Y:Y,BILAN!B58,SAISIE!B:B,"JRM"),"")</f>
        <v/>
      </c>
      <c r="D58" s="222">
        <f>IFERROR(AVERAGEIFS(SAISIE!AP:AP,SAISIE!Y:Y,BILAN!B58,SAISIE!B:B,"JRM"),"")</f>
        <v/>
      </c>
      <c r="E58" s="223" t="n">
        <v>0.97</v>
      </c>
      <c r="F58" s="111" t="n"/>
      <c r="G58" s="220" t="n">
        <v>46</v>
      </c>
      <c r="H58" s="222">
        <f>IFERROR(AVERAGEIFS(SAISIE!AA:AA,SAISIE!Y:Y,BILAN!B58,SAISIE!B:B,"EMR"),"")</f>
        <v/>
      </c>
      <c r="I58" s="222">
        <f>IFERROR(AVERAGEIFS(SAISIE!AS:AS,SAISIE!Y:Y,BILAN!B58,SAISIE!B:B,"EMR"),"")</f>
        <v/>
      </c>
      <c r="J58" s="223" t="n">
        <v>0.95</v>
      </c>
      <c r="L58" s="220" t="n">
        <v>46</v>
      </c>
      <c r="M58" s="222">
        <f>IFERROR(AVERAGEIFS(SAISIE!AB:AB,SAISIE!Y:Y,BILAN!B58,SAISIE!B:B,"CARTON"),"")</f>
        <v/>
      </c>
      <c r="N58" s="222">
        <f>IFERROR(AVERAGEIFS(SAISIE!AS:AS,SAISIE!Y:Y,BILAN!B58,SAISIE!B:B,"CARTON"),"")</f>
        <v/>
      </c>
      <c r="O58" s="223" t="n">
        <v>0.95</v>
      </c>
      <c r="Q58" s="220" t="n">
        <v>46</v>
      </c>
      <c r="R58" s="222">
        <f>IFERROR(AVERAGEIFS(SAISIE!AC:AC,SAISIE!Y:Y,BILAN!B58,SAISIE!B:B,"GM"),"")</f>
        <v/>
      </c>
      <c r="S58" s="222">
        <f>IFERROR(AVERAGEIFS(SAISIE!AS:AS,SAISIE!Y:Y,BILAN!B58,SAISIE!B:B,"GM"),"")</f>
        <v/>
      </c>
      <c r="T58" s="223" t="n">
        <v>0.98</v>
      </c>
      <c r="V58" s="220" t="n">
        <v>46</v>
      </c>
      <c r="W58" s="222">
        <f>IFERROR(AVERAGEIFS(SAISIE!AD:AD,SAISIE!Y:Y,BILAN!B58,SAISIE!B:B,"PETQ9"),"")</f>
        <v/>
      </c>
      <c r="X58" s="222">
        <f>IFERROR(AVERAGEIFS(SAISIE!AF:AF,SAISIE!Y:Y,BILAN!B58,SAISIE!B:B,"PETQ9"),"")</f>
        <v/>
      </c>
      <c r="Y58" s="223" t="n">
        <v>0.98</v>
      </c>
      <c r="Z58" s="60" t="n"/>
      <c r="AA58" s="220" t="n">
        <v>46</v>
      </c>
      <c r="AB58" s="222">
        <f>IFERROR(AVERAGEIFS(SAISIE!AE:AE,SAISIE!Y:Y,BILAN!B58,SAISIE!B:B,"FLUX DEV"),"")</f>
        <v/>
      </c>
      <c r="AC58" s="222">
        <f>IFERROR(AVERAGEIFS(SAISIE!AD:AD,SAISIE!Y:Y,BILAN!B58,SAISIE!B:B,"FLUX DEV"),"")</f>
        <v/>
      </c>
      <c r="AD58" s="223" t="n">
        <v>0.98</v>
      </c>
      <c r="AF58" s="220" t="n">
        <v>46</v>
      </c>
      <c r="AG58" s="222">
        <f>IFERROR(AVERAGEIFS(SAISIE!AF:AF,SAISIE!Y:Y,BILAN!B58,SAISIE!B:B,"PETB"),"")</f>
        <v/>
      </c>
      <c r="AH58" s="222" t="n"/>
      <c r="AI58" s="223" t="n">
        <v>0.95</v>
      </c>
      <c r="AK58" s="220" t="n">
        <v>46</v>
      </c>
      <c r="AL58" s="222">
        <f>IFERROR(AVERAGEIFS(SAISIE!AG:AG,SAISIE!Y:Y,BILAN!B58,SAISIE!B:B,"PEPP"),"")</f>
        <v/>
      </c>
      <c r="AM58" s="222">
        <f>IFERROR(AVERAGEIFS(SAISIE!AT:AT,SAISIE!Y:Y,BILAN!B58,SAISIE!B:B,"PEPP"),"")</f>
        <v/>
      </c>
      <c r="AN58" s="223" t="n">
        <v>0.95</v>
      </c>
      <c r="AP58" s="220" t="n">
        <v>46</v>
      </c>
      <c r="AQ58" s="222">
        <f>IFERROR(AVERAGEIFS(SAISIE!AH:AH,SAISIE!Y:Y,BILAN!B58,SAISIE!B:B,"ELA"),"")</f>
        <v/>
      </c>
      <c r="AR58" s="222">
        <f>IFERROR(AVERAGEIFS(SAISIE!AN:AN,SAISIE!Y:Y,BILAN!B58,SAISIE!B:B,"ELA"),"")</f>
        <v/>
      </c>
      <c r="AS58" s="111" t="n">
        <v>0.95</v>
      </c>
      <c r="AT58" s="223">
        <f>IFERROR(AVERAGEIFS(SAISIE!AW:AW,SAISIE!Y:Y,BILAN!B58,SAISIE!B:B,"ELA"),"")</f>
        <v/>
      </c>
      <c r="AV58" s="220" t="n">
        <v>46</v>
      </c>
      <c r="AW58" s="222">
        <f>IFERROR(AVERAGEIFS(SAISIE!AI:AI,SAISIE!Y:Y,BILAN!B58,SAISIE!B:B,"FILM"),"")</f>
        <v/>
      </c>
      <c r="AX58" s="222">
        <f>IFERROR(AVERAGEIFS(SAISIE!AV:AV,SAISIE!Y:Y,BILAN!B58,SAISIE!B:B,"FILM"),"")</f>
        <v/>
      </c>
      <c r="AY58" s="223" t="n">
        <v>0.95</v>
      </c>
      <c r="AZ58" s="111" t="n"/>
      <c r="BA58" s="220" t="n">
        <v>46</v>
      </c>
      <c r="BB58" s="222">
        <f>IFERROR(AVERAGEIFS(SAISIE!AJ:AJ,SAISIE!Y:Y,BILAN!B58,SAISIE!B:B,"ACIER"),"")</f>
        <v/>
      </c>
      <c r="BC58" s="222" t="n"/>
      <c r="BD58" s="223" t="n">
        <v>0.95</v>
      </c>
      <c r="BE58" s="41" t="n"/>
      <c r="BF58" s="235" t="n">
        <v>46</v>
      </c>
      <c r="BG58" s="222">
        <f>IFERROR(AVERAGEIFS(SAISIE!AK:AK,SAISIE!Y:Y,BILAN!B58,SAISIE!B:B,"ALU"),"")</f>
        <v/>
      </c>
      <c r="BH58" s="222" t="n"/>
      <c r="BI58" s="223" t="n">
        <v>0.95</v>
      </c>
      <c r="BK58" s="220" t="n">
        <v>46</v>
      </c>
      <c r="BL58" s="222">
        <f>IFERROR(AVERAGEIFS(SAISIE!AL:AL,SAISIE!Y:Y,BILAN!B58,SAISIE!B:B,"PETIT ALU"),"")</f>
        <v/>
      </c>
      <c r="BM58" s="222">
        <f>IFERROR(AVERAGEIFS(SAISIE!AK:AK,SAISIE!Y:Y,BILAN!B58,SAISIE!B:B,"PETIT ALU"),"")</f>
        <v/>
      </c>
      <c r="BN58" s="223" t="n">
        <v>0.95</v>
      </c>
      <c r="BP58" s="220" t="n">
        <v>46</v>
      </c>
      <c r="BQ58" s="222">
        <f>IFERROR(AVERAGEIFS(SAISIE!AM:AM,SAISIE!Y:Y,BILAN!B58,SAISIE!B:B,"REFUS"),"")</f>
        <v/>
      </c>
      <c r="BR58" s="222">
        <f>IFERROR(AVERAGEIFS(SAISIE!AU:AU,SAISIE!Y:Y,BILAN!B58,SAISIE!B:B,"REFUS"),"")</f>
        <v/>
      </c>
      <c r="BS58" s="223" t="n">
        <v>0.95</v>
      </c>
      <c r="BU58" s="41" t="n"/>
      <c r="BV58" s="41" t="n"/>
      <c r="BW58" s="41" t="n"/>
      <c r="BX58" s="41" t="n"/>
    </row>
    <row r="59">
      <c r="B59" s="220" t="n">
        <v>47</v>
      </c>
      <c r="C59" s="222">
        <f>IFERROR(AVERAGEIFS(SAISIE!Z:Z,SAISIE!Y:Y,BILAN!B59,SAISIE!B:B,"JRM"),"")</f>
        <v/>
      </c>
      <c r="D59" s="222">
        <f>IFERROR(AVERAGEIFS(SAISIE!AP:AP,SAISIE!Y:Y,BILAN!B59,SAISIE!B:B,"JRM"),"")</f>
        <v/>
      </c>
      <c r="E59" s="225" t="n">
        <v>0.97</v>
      </c>
      <c r="F59" s="192" t="n"/>
      <c r="G59" s="220" t="n">
        <v>47</v>
      </c>
      <c r="H59" s="222">
        <f>IFERROR(AVERAGEIFS(SAISIE!AA:AA,SAISIE!Y:Y,BILAN!B59,SAISIE!B:B,"EMR"),"")</f>
        <v/>
      </c>
      <c r="I59" s="222">
        <f>IFERROR(AVERAGEIFS(SAISIE!AS:AS,SAISIE!Y:Y,BILAN!B59,SAISIE!B:B,"EMR"),"")</f>
        <v/>
      </c>
      <c r="J59" s="225" t="n">
        <v>0.95</v>
      </c>
      <c r="L59" s="220" t="n">
        <v>47</v>
      </c>
      <c r="M59" s="222">
        <f>IFERROR(AVERAGEIFS(SAISIE!AB:AB,SAISIE!Y:Y,BILAN!B59,SAISIE!B:B,"CARTON"),"")</f>
        <v/>
      </c>
      <c r="N59" s="222">
        <f>IFERROR(AVERAGEIFS(SAISIE!AS:AS,SAISIE!Y:Y,BILAN!B59,SAISIE!B:B,"CARTON"),"")</f>
        <v/>
      </c>
      <c r="O59" s="225" t="n">
        <v>0.95</v>
      </c>
      <c r="Q59" s="220" t="n">
        <v>47</v>
      </c>
      <c r="R59" s="222">
        <f>IFERROR(AVERAGEIFS(SAISIE!AC:AC,SAISIE!Y:Y,BILAN!B59,SAISIE!B:B,"GM"),"")</f>
        <v/>
      </c>
      <c r="S59" s="222">
        <f>IFERROR(AVERAGEIFS(SAISIE!AS:AS,SAISIE!Y:Y,BILAN!B59,SAISIE!B:B,"GM"),"")</f>
        <v/>
      </c>
      <c r="T59" s="225" t="n">
        <v>0.98</v>
      </c>
      <c r="V59" s="220" t="n">
        <v>47</v>
      </c>
      <c r="W59" s="222">
        <f>IFERROR(AVERAGEIFS(SAISIE!AD:AD,SAISIE!Y:Y,BILAN!B59,SAISIE!B:B,"PETQ9"),"")</f>
        <v/>
      </c>
      <c r="X59" s="222">
        <f>IFERROR(AVERAGEIFS(SAISIE!AF:AF,SAISIE!Y:Y,BILAN!B59,SAISIE!B:B,"PETQ9"),"")</f>
        <v/>
      </c>
      <c r="Y59" s="225" t="n">
        <v>0.98</v>
      </c>
      <c r="Z59" s="193" t="n"/>
      <c r="AA59" s="220" t="n">
        <v>47</v>
      </c>
      <c r="AB59" s="222">
        <f>IFERROR(AVERAGEIFS(SAISIE!AE:AE,SAISIE!Y:Y,BILAN!B59,SAISIE!B:B,"FLUX DEV"),"")</f>
        <v/>
      </c>
      <c r="AC59" s="222">
        <f>IFERROR(AVERAGEIFS(SAISIE!AD:AD,SAISIE!Y:Y,BILAN!B59,SAISIE!B:B,"FLUX DEV"),"")</f>
        <v/>
      </c>
      <c r="AD59" s="225" t="n">
        <v>0.98</v>
      </c>
      <c r="AF59" s="220" t="n">
        <v>47</v>
      </c>
      <c r="AG59" s="222">
        <f>IFERROR(AVERAGEIFS(SAISIE!AF:AF,SAISIE!Y:Y,BILAN!B59,SAISIE!B:B,"PETB"),"")</f>
        <v/>
      </c>
      <c r="AH59" s="222" t="n"/>
      <c r="AI59" s="225" t="n">
        <v>0.95</v>
      </c>
      <c r="AK59" s="220" t="n">
        <v>47</v>
      </c>
      <c r="AL59" s="222">
        <f>IFERROR(AVERAGEIFS(SAISIE!AG:AG,SAISIE!Y:Y,BILAN!B59,SAISIE!B:B,"PEPP"),"")</f>
        <v/>
      </c>
      <c r="AM59" s="222">
        <f>IFERROR(AVERAGEIFS(SAISIE!AT:AT,SAISIE!Y:Y,BILAN!B59,SAISIE!B:B,"PEPP"),"")</f>
        <v/>
      </c>
      <c r="AN59" s="225" t="n">
        <v>0.95</v>
      </c>
      <c r="AP59" s="220" t="n">
        <v>47</v>
      </c>
      <c r="AQ59" s="222">
        <f>IFERROR(AVERAGEIFS(SAISIE!AH:AH,SAISIE!Y:Y,BILAN!B59,SAISIE!B:B,"ELA"),"")</f>
        <v/>
      </c>
      <c r="AR59" s="222">
        <f>IFERROR(AVERAGEIFS(SAISIE!AN:AN,SAISIE!Y:Y,BILAN!B59,SAISIE!B:B,"ELA"),"")</f>
        <v/>
      </c>
      <c r="AS59" s="192" t="n">
        <v>0.95</v>
      </c>
      <c r="AT59" s="223">
        <f>IFERROR(AVERAGEIFS(SAISIE!AW:AW,SAISIE!Y:Y,BILAN!B59,SAISIE!B:B,"ELA"),"")</f>
        <v/>
      </c>
      <c r="AV59" s="220" t="n">
        <v>47</v>
      </c>
      <c r="AW59" s="222">
        <f>IFERROR(AVERAGEIFS(SAISIE!AI:AI,SAISIE!Y:Y,BILAN!B59,SAISIE!B:B,"FILM"),"")</f>
        <v/>
      </c>
      <c r="AX59" s="222">
        <f>IFERROR(AVERAGEIFS(SAISIE!AV:AV,SAISIE!Y:Y,BILAN!B59,SAISIE!B:B,"FILM"),"")</f>
        <v/>
      </c>
      <c r="AY59" s="225" t="n">
        <v>0.95</v>
      </c>
      <c r="AZ59" s="192" t="n"/>
      <c r="BA59" s="220" t="n">
        <v>47</v>
      </c>
      <c r="BB59" s="222">
        <f>IFERROR(AVERAGEIFS(SAISIE!AJ:AJ,SAISIE!Y:Y,BILAN!B59,SAISIE!B:B,"ACIER"),"")</f>
        <v/>
      </c>
      <c r="BC59" s="222" t="n"/>
      <c r="BD59" s="225" t="n">
        <v>0.95</v>
      </c>
      <c r="BE59" s="194" t="n"/>
      <c r="BF59" s="236" t="n">
        <v>47</v>
      </c>
      <c r="BG59" s="222">
        <f>IFERROR(AVERAGEIFS(SAISIE!AK:AK,SAISIE!Y:Y,BILAN!B59,SAISIE!B:B,"ALU"),"")</f>
        <v/>
      </c>
      <c r="BH59" s="222" t="n"/>
      <c r="BI59" s="225" t="n">
        <v>0.95</v>
      </c>
      <c r="BK59" s="220" t="n">
        <v>47</v>
      </c>
      <c r="BL59" s="222">
        <f>IFERROR(AVERAGEIFS(SAISIE!AL:AL,SAISIE!Y:Y,BILAN!B59,SAISIE!B:B,"PETIT ALU"),"")</f>
        <v/>
      </c>
      <c r="BM59" s="222">
        <f>IFERROR(AVERAGEIFS(SAISIE!AK:AK,SAISIE!Y:Y,BILAN!B59,SAISIE!B:B,"PETIT ALU"),"")</f>
        <v/>
      </c>
      <c r="BN59" s="225" t="n">
        <v>0.95</v>
      </c>
      <c r="BP59" s="220" t="n">
        <v>47</v>
      </c>
      <c r="BQ59" s="222">
        <f>IFERROR(AVERAGEIFS(SAISIE!AM:AM,SAISIE!Y:Y,BILAN!B59,SAISIE!B:B,"REFUS"),"")</f>
        <v/>
      </c>
      <c r="BR59" s="222">
        <f>IFERROR(AVERAGEIFS(SAISIE!AU:AU,SAISIE!Y:Y,BILAN!B59,SAISIE!B:B,"REFUS"),"")</f>
        <v/>
      </c>
      <c r="BS59" s="225" t="n">
        <v>0.95</v>
      </c>
      <c r="BU59" s="41" t="n"/>
      <c r="BV59" s="41" t="n"/>
      <c r="BW59" s="41" t="n"/>
      <c r="BX59" s="41" t="n"/>
    </row>
    <row r="60">
      <c r="B60" s="220" t="n">
        <v>48</v>
      </c>
      <c r="C60" s="222">
        <f>IFERROR(AVERAGEIFS(SAISIE!Z:Z,SAISIE!Y:Y,BILAN!B60,SAISIE!B:B,"JRM"),"")</f>
        <v/>
      </c>
      <c r="D60" s="222">
        <f>IFERROR(AVERAGEIFS(SAISIE!AP:AP,SAISIE!Y:Y,BILAN!B60,SAISIE!B:B,"JRM"),"")</f>
        <v/>
      </c>
      <c r="E60" s="223" t="n">
        <v>0.97</v>
      </c>
      <c r="F60" s="111" t="n"/>
      <c r="G60" s="220" t="n">
        <v>48</v>
      </c>
      <c r="H60" s="222">
        <f>IFERROR(AVERAGEIFS(SAISIE!AA:AA,SAISIE!Y:Y,BILAN!B60,SAISIE!B:B,"EMR"),"")</f>
        <v/>
      </c>
      <c r="I60" s="222">
        <f>IFERROR(AVERAGEIFS(SAISIE!AS:AS,SAISIE!Y:Y,BILAN!B60,SAISIE!B:B,"EMR"),"")</f>
        <v/>
      </c>
      <c r="J60" s="223" t="n">
        <v>0.95</v>
      </c>
      <c r="L60" s="220" t="n">
        <v>48</v>
      </c>
      <c r="M60" s="222">
        <f>IFERROR(AVERAGEIFS(SAISIE!AB:AB,SAISIE!Y:Y,BILAN!B60,SAISIE!B:B,"CARTON"),"")</f>
        <v/>
      </c>
      <c r="N60" s="222">
        <f>IFERROR(AVERAGEIFS(SAISIE!AS:AS,SAISIE!Y:Y,BILAN!B60,SAISIE!B:B,"CARTON"),"")</f>
        <v/>
      </c>
      <c r="O60" s="223" t="n">
        <v>0.95</v>
      </c>
      <c r="Q60" s="220" t="n">
        <v>48</v>
      </c>
      <c r="R60" s="222">
        <f>IFERROR(AVERAGEIFS(SAISIE!AC:AC,SAISIE!Y:Y,BILAN!B60,SAISIE!B:B,"GM"),"")</f>
        <v/>
      </c>
      <c r="S60" s="222">
        <f>IFERROR(AVERAGEIFS(SAISIE!AS:AS,SAISIE!Y:Y,BILAN!B60,SAISIE!B:B,"GM"),"")</f>
        <v/>
      </c>
      <c r="T60" s="223" t="n">
        <v>0.98</v>
      </c>
      <c r="V60" s="220" t="n">
        <v>48</v>
      </c>
      <c r="W60" s="222">
        <f>IFERROR(AVERAGEIFS(SAISIE!AD:AD,SAISIE!Y:Y,BILAN!B60,SAISIE!B:B,"PETQ9"),"")</f>
        <v/>
      </c>
      <c r="X60" s="222">
        <f>IFERROR(AVERAGEIFS(SAISIE!AF:AF,SAISIE!Y:Y,BILAN!B60,SAISIE!B:B,"PETQ9"),"")</f>
        <v/>
      </c>
      <c r="Y60" s="223" t="n">
        <v>0.98</v>
      </c>
      <c r="Z60" s="60" t="n"/>
      <c r="AA60" s="220" t="n">
        <v>48</v>
      </c>
      <c r="AB60" s="222">
        <f>IFERROR(AVERAGEIFS(SAISIE!AE:AE,SAISIE!Y:Y,BILAN!B60,SAISIE!B:B,"FLUX DEV"),"")</f>
        <v/>
      </c>
      <c r="AC60" s="222">
        <f>IFERROR(AVERAGEIFS(SAISIE!AD:AD,SAISIE!Y:Y,BILAN!B60,SAISIE!B:B,"FLUX DEV"),"")</f>
        <v/>
      </c>
      <c r="AD60" s="223" t="n">
        <v>0.98</v>
      </c>
      <c r="AF60" s="220" t="n">
        <v>48</v>
      </c>
      <c r="AG60" s="222">
        <f>IFERROR(AVERAGEIFS(SAISIE!AF:AF,SAISIE!Y:Y,BILAN!B60,SAISIE!B:B,"PETB"),"")</f>
        <v/>
      </c>
      <c r="AH60" s="222" t="n"/>
      <c r="AI60" s="223" t="n">
        <v>0.95</v>
      </c>
      <c r="AK60" s="220" t="n">
        <v>48</v>
      </c>
      <c r="AL60" s="222">
        <f>IFERROR(AVERAGEIFS(SAISIE!AG:AG,SAISIE!Y:Y,BILAN!B60,SAISIE!B:B,"PEPP"),"")</f>
        <v/>
      </c>
      <c r="AM60" s="222">
        <f>IFERROR(AVERAGEIFS(SAISIE!AT:AT,SAISIE!Y:Y,BILAN!B60,SAISIE!B:B,"PEPP"),"")</f>
        <v/>
      </c>
      <c r="AN60" s="223" t="n">
        <v>0.95</v>
      </c>
      <c r="AP60" s="220" t="n">
        <v>48</v>
      </c>
      <c r="AQ60" s="222">
        <f>IFERROR(AVERAGEIFS(SAISIE!AH:AH,SAISIE!Y:Y,BILAN!B60,SAISIE!B:B,"ELA"),"")</f>
        <v/>
      </c>
      <c r="AR60" s="222">
        <f>IFERROR(AVERAGEIFS(SAISIE!AN:AN,SAISIE!Y:Y,BILAN!B60,SAISIE!B:B,"ELA"),"")</f>
        <v/>
      </c>
      <c r="AS60" s="111" t="n">
        <v>0.95</v>
      </c>
      <c r="AT60" s="223">
        <f>IFERROR(AVERAGEIFS(SAISIE!AW:AW,SAISIE!Y:Y,BILAN!B60,SAISIE!B:B,"ELA"),"")</f>
        <v/>
      </c>
      <c r="AV60" s="220" t="n">
        <v>48</v>
      </c>
      <c r="AW60" s="222">
        <f>IFERROR(AVERAGEIFS(SAISIE!AI:AI,SAISIE!Y:Y,BILAN!B60,SAISIE!B:B,"FILM"),"")</f>
        <v/>
      </c>
      <c r="AX60" s="222">
        <f>IFERROR(AVERAGEIFS(SAISIE!AV:AV,SAISIE!Y:Y,BILAN!B60,SAISIE!B:B,"FILM"),"")</f>
        <v/>
      </c>
      <c r="AY60" s="223" t="n">
        <v>0.95</v>
      </c>
      <c r="AZ60" s="111" t="n"/>
      <c r="BA60" s="220" t="n">
        <v>48</v>
      </c>
      <c r="BB60" s="222">
        <f>IFERROR(AVERAGEIFS(SAISIE!AJ:AJ,SAISIE!Y:Y,BILAN!B60,SAISIE!B:B,"ACIER"),"")</f>
        <v/>
      </c>
      <c r="BC60" s="222" t="n"/>
      <c r="BD60" s="223" t="n">
        <v>0.95</v>
      </c>
      <c r="BE60" s="41" t="n"/>
      <c r="BF60" s="235" t="n">
        <v>48</v>
      </c>
      <c r="BG60" s="222">
        <f>IFERROR(AVERAGEIFS(SAISIE!AK:AK,SAISIE!Y:Y,BILAN!B60,SAISIE!B:B,"ALU"),"")</f>
        <v/>
      </c>
      <c r="BH60" s="222" t="n"/>
      <c r="BI60" s="223" t="n">
        <v>0.95</v>
      </c>
      <c r="BK60" s="220" t="n">
        <v>48</v>
      </c>
      <c r="BL60" s="222">
        <f>IFERROR(AVERAGEIFS(SAISIE!AL:AL,SAISIE!Y:Y,BILAN!B60,SAISIE!B:B,"PETIT ALU"),"")</f>
        <v/>
      </c>
      <c r="BM60" s="222">
        <f>IFERROR(AVERAGEIFS(SAISIE!AK:AK,SAISIE!Y:Y,BILAN!B60,SAISIE!B:B,"PETIT ALU"),"")</f>
        <v/>
      </c>
      <c r="BN60" s="223" t="n">
        <v>0.95</v>
      </c>
      <c r="BP60" s="220" t="n">
        <v>48</v>
      </c>
      <c r="BQ60" s="222">
        <f>IFERROR(AVERAGEIFS(SAISIE!AM:AM,SAISIE!Y:Y,BILAN!B60,SAISIE!B:B,"REFUS"),"")</f>
        <v/>
      </c>
      <c r="BR60" s="222">
        <f>IFERROR(AVERAGEIFS(SAISIE!AU:AU,SAISIE!Y:Y,BILAN!B60,SAISIE!B:B,"REFUS"),"")</f>
        <v/>
      </c>
      <c r="BS60" s="223" t="n">
        <v>0.95</v>
      </c>
      <c r="BU60" s="41" t="n"/>
      <c r="BV60" s="41" t="n"/>
      <c r="BW60" s="41" t="n"/>
      <c r="BX60" s="41" t="n"/>
    </row>
    <row r="61">
      <c r="B61" s="220" t="n">
        <v>49</v>
      </c>
      <c r="C61" s="222">
        <f>IFERROR(AVERAGEIFS(SAISIE!Z:Z,SAISIE!Y:Y,BILAN!B61,SAISIE!B:B,"JRM"),"")</f>
        <v/>
      </c>
      <c r="D61" s="222">
        <f>IFERROR(AVERAGEIFS(SAISIE!AP:AP,SAISIE!Y:Y,BILAN!B61,SAISIE!B:B,"JRM"),"")</f>
        <v/>
      </c>
      <c r="E61" s="223" t="n">
        <v>0.97</v>
      </c>
      <c r="F61" s="111" t="n"/>
      <c r="G61" s="220" t="n">
        <v>49</v>
      </c>
      <c r="H61" s="222">
        <f>IFERROR(AVERAGEIFS(SAISIE!AA:AA,SAISIE!Y:Y,BILAN!B61,SAISIE!B:B,"EMR"),"")</f>
        <v/>
      </c>
      <c r="I61" s="222">
        <f>IFERROR(AVERAGEIFS(SAISIE!AS:AS,SAISIE!Y:Y,BILAN!B61,SAISIE!B:B,"EMR"),"")</f>
        <v/>
      </c>
      <c r="J61" s="223" t="n">
        <v>0.95</v>
      </c>
      <c r="L61" s="220" t="n">
        <v>49</v>
      </c>
      <c r="M61" s="222">
        <f>IFERROR(AVERAGEIFS(SAISIE!AB:AB,SAISIE!Y:Y,BILAN!B61,SAISIE!B:B,"CARTON"),"")</f>
        <v/>
      </c>
      <c r="N61" s="222">
        <f>IFERROR(AVERAGEIFS(SAISIE!AS:AS,SAISIE!Y:Y,BILAN!B61,SAISIE!B:B,"CARTON"),"")</f>
        <v/>
      </c>
      <c r="O61" s="223" t="n">
        <v>0.95</v>
      </c>
      <c r="Q61" s="220" t="n">
        <v>49</v>
      </c>
      <c r="R61" s="222">
        <f>IFERROR(AVERAGEIFS(SAISIE!AC:AC,SAISIE!Y:Y,BILAN!B61,SAISIE!B:B,"GM"),"")</f>
        <v/>
      </c>
      <c r="S61" s="222">
        <f>IFERROR(AVERAGEIFS(SAISIE!AS:AS,SAISIE!Y:Y,BILAN!B61,SAISIE!B:B,"GM"),"")</f>
        <v/>
      </c>
      <c r="T61" s="223" t="n">
        <v>0.98</v>
      </c>
      <c r="V61" s="220" t="n">
        <v>49</v>
      </c>
      <c r="W61" s="222">
        <f>IFERROR(AVERAGEIFS(SAISIE!AD:AD,SAISIE!Y:Y,BILAN!B61,SAISIE!B:B,"PETQ9"),"")</f>
        <v/>
      </c>
      <c r="X61" s="222">
        <f>IFERROR(AVERAGEIFS(SAISIE!AF:AF,SAISIE!Y:Y,BILAN!B61,SAISIE!B:B,"PETQ9"),"")</f>
        <v/>
      </c>
      <c r="Y61" s="223" t="n">
        <v>0.98</v>
      </c>
      <c r="Z61" s="60" t="n"/>
      <c r="AA61" s="220" t="n">
        <v>49</v>
      </c>
      <c r="AB61" s="222">
        <f>IFERROR(AVERAGEIFS(SAISIE!AE:AE,SAISIE!Y:Y,BILAN!B61,SAISIE!B:B,"FLUX DEV"),"")</f>
        <v/>
      </c>
      <c r="AC61" s="222">
        <f>IFERROR(AVERAGEIFS(SAISIE!AD:AD,SAISIE!Y:Y,BILAN!B61,SAISIE!B:B,"FLUX DEV"),"")</f>
        <v/>
      </c>
      <c r="AD61" s="223" t="n">
        <v>0.98</v>
      </c>
      <c r="AF61" s="220" t="n">
        <v>49</v>
      </c>
      <c r="AG61" s="222">
        <f>IFERROR(AVERAGEIFS(SAISIE!AF:AF,SAISIE!Y:Y,BILAN!B61,SAISIE!B:B,"PETB"),"")</f>
        <v/>
      </c>
      <c r="AH61" s="222" t="n"/>
      <c r="AI61" s="223" t="n">
        <v>0.95</v>
      </c>
      <c r="AK61" s="220" t="n">
        <v>49</v>
      </c>
      <c r="AL61" s="222">
        <f>IFERROR(AVERAGEIFS(SAISIE!AG:AG,SAISIE!Y:Y,BILAN!B61,SAISIE!B:B,"PEPP"),"")</f>
        <v/>
      </c>
      <c r="AM61" s="222">
        <f>IFERROR(AVERAGEIFS(SAISIE!AT:AT,SAISIE!Y:Y,BILAN!B61,SAISIE!B:B,"PEPP"),"")</f>
        <v/>
      </c>
      <c r="AN61" s="223" t="n">
        <v>0.95</v>
      </c>
      <c r="AP61" s="220" t="n">
        <v>49</v>
      </c>
      <c r="AQ61" s="222">
        <f>IFERROR(AVERAGEIFS(SAISIE!AH:AH,SAISIE!Y:Y,BILAN!B61,SAISIE!B:B,"ELA"),"")</f>
        <v/>
      </c>
      <c r="AR61" s="222">
        <f>IFERROR(AVERAGEIFS(SAISIE!AN:AN,SAISIE!Y:Y,BILAN!B61,SAISIE!B:B,"ELA"),"")</f>
        <v/>
      </c>
      <c r="AS61" s="111" t="n">
        <v>0.95</v>
      </c>
      <c r="AT61" s="223">
        <f>IFERROR(AVERAGEIFS(SAISIE!AW:AW,SAISIE!Y:Y,BILAN!B61,SAISIE!B:B,"ELA"),"")</f>
        <v/>
      </c>
      <c r="AV61" s="220" t="n">
        <v>49</v>
      </c>
      <c r="AW61" s="222">
        <f>IFERROR(AVERAGEIFS(SAISIE!AI:AI,SAISIE!Y:Y,BILAN!B61,SAISIE!B:B,"FILM"),"")</f>
        <v/>
      </c>
      <c r="AX61" s="222">
        <f>IFERROR(AVERAGEIFS(SAISIE!AV:AV,SAISIE!Y:Y,BILAN!B61,SAISIE!B:B,"FILM"),"")</f>
        <v/>
      </c>
      <c r="AY61" s="223" t="n">
        <v>0.95</v>
      </c>
      <c r="AZ61" s="111" t="n"/>
      <c r="BA61" s="220" t="n">
        <v>49</v>
      </c>
      <c r="BB61" s="222">
        <f>IFERROR(AVERAGEIFS(SAISIE!AJ:AJ,SAISIE!Y:Y,BILAN!B61,SAISIE!B:B,"ACIER"),"")</f>
        <v/>
      </c>
      <c r="BC61" s="222" t="n"/>
      <c r="BD61" s="223" t="n">
        <v>0.95</v>
      </c>
      <c r="BE61" s="41" t="n"/>
      <c r="BF61" s="235" t="n">
        <v>49</v>
      </c>
      <c r="BG61" s="222">
        <f>IFERROR(AVERAGEIFS(SAISIE!AK:AK,SAISIE!Y:Y,BILAN!B61,SAISIE!B:B,"ALU"),"")</f>
        <v/>
      </c>
      <c r="BH61" s="222" t="n"/>
      <c r="BI61" s="223" t="n">
        <v>0.95</v>
      </c>
      <c r="BK61" s="220" t="n">
        <v>49</v>
      </c>
      <c r="BL61" s="222">
        <f>IFERROR(AVERAGEIFS(SAISIE!AL:AL,SAISIE!Y:Y,BILAN!B61,SAISIE!B:B,"PETIT ALU"),"")</f>
        <v/>
      </c>
      <c r="BM61" s="222">
        <f>IFERROR(AVERAGEIFS(SAISIE!AK:AK,SAISIE!Y:Y,BILAN!B61,SAISIE!B:B,"PETIT ALU"),"")</f>
        <v/>
      </c>
      <c r="BN61" s="223" t="n">
        <v>0.95</v>
      </c>
      <c r="BP61" s="220" t="n">
        <v>49</v>
      </c>
      <c r="BQ61" s="222">
        <f>IFERROR(AVERAGEIFS(SAISIE!AM:AM,SAISIE!Y:Y,BILAN!B61,SAISIE!B:B,"REFUS"),"")</f>
        <v/>
      </c>
      <c r="BR61" s="222">
        <f>IFERROR(AVERAGEIFS(SAISIE!AU:AU,SAISIE!Y:Y,BILAN!B61,SAISIE!B:B,"REFUS"),"")</f>
        <v/>
      </c>
      <c r="BS61" s="223" t="n">
        <v>0.95</v>
      </c>
      <c r="BU61" s="41" t="n"/>
      <c r="BV61" s="41" t="n"/>
      <c r="BW61" s="41" t="n"/>
      <c r="BX61" s="41" t="n"/>
    </row>
    <row r="62">
      <c r="B62" s="220" t="n">
        <v>50</v>
      </c>
      <c r="C62" s="222">
        <f>IFERROR(AVERAGEIFS(SAISIE!Z:Z,SAISIE!Y:Y,BILAN!B62,SAISIE!B:B,"JRM"),"")</f>
        <v/>
      </c>
      <c r="D62" s="222">
        <f>IFERROR(AVERAGEIFS(SAISIE!AP:AP,SAISIE!Y:Y,BILAN!B62,SAISIE!B:B,"JRM"),"")</f>
        <v/>
      </c>
      <c r="E62" s="223" t="n">
        <v>0.97</v>
      </c>
      <c r="F62" s="111" t="n"/>
      <c r="G62" s="220" t="n">
        <v>50</v>
      </c>
      <c r="H62" s="222">
        <f>IFERROR(AVERAGEIFS(SAISIE!AA:AA,SAISIE!Y:Y,BILAN!B62,SAISIE!B:B,"EMR"),"")</f>
        <v/>
      </c>
      <c r="I62" s="222">
        <f>IFERROR(AVERAGEIFS(SAISIE!AS:AS,SAISIE!Y:Y,BILAN!B62,SAISIE!B:B,"EMR"),"")</f>
        <v/>
      </c>
      <c r="J62" s="223" t="n">
        <v>0.95</v>
      </c>
      <c r="L62" s="220" t="n">
        <v>50</v>
      </c>
      <c r="M62" s="222">
        <f>IFERROR(AVERAGEIFS(SAISIE!AB:AB,SAISIE!Y:Y,BILAN!B62,SAISIE!B:B,"CARTON"),"")</f>
        <v/>
      </c>
      <c r="N62" s="222">
        <f>IFERROR(AVERAGEIFS(SAISIE!AS:AS,SAISIE!Y:Y,BILAN!B62,SAISIE!B:B,"CARTON"),"")</f>
        <v/>
      </c>
      <c r="O62" s="223" t="n">
        <v>0.95</v>
      </c>
      <c r="Q62" s="220" t="n">
        <v>50</v>
      </c>
      <c r="R62" s="222">
        <f>IFERROR(AVERAGEIFS(SAISIE!AC:AC,SAISIE!Y:Y,BILAN!B62,SAISIE!B:B,"GM"),"")</f>
        <v/>
      </c>
      <c r="S62" s="222">
        <f>IFERROR(AVERAGEIFS(SAISIE!AS:AS,SAISIE!Y:Y,BILAN!B62,SAISIE!B:B,"GM"),"")</f>
        <v/>
      </c>
      <c r="T62" s="223" t="n">
        <v>0.98</v>
      </c>
      <c r="V62" s="220" t="n">
        <v>50</v>
      </c>
      <c r="W62" s="222">
        <f>IFERROR(AVERAGEIFS(SAISIE!AD:AD,SAISIE!Y:Y,BILAN!B62,SAISIE!B:B,"PETQ9"),"")</f>
        <v/>
      </c>
      <c r="X62" s="222">
        <f>IFERROR(AVERAGEIFS(SAISIE!AF:AF,SAISIE!Y:Y,BILAN!B62,SAISIE!B:B,"PETQ9"),"")</f>
        <v/>
      </c>
      <c r="Y62" s="223" t="n">
        <v>0.98</v>
      </c>
      <c r="Z62" s="60" t="n"/>
      <c r="AA62" s="220" t="n">
        <v>50</v>
      </c>
      <c r="AB62" s="222">
        <f>IFERROR(AVERAGEIFS(SAISIE!AE:AE,SAISIE!Y:Y,BILAN!B62,SAISIE!B:B,"FLUX DEV"),"")</f>
        <v/>
      </c>
      <c r="AC62" s="222">
        <f>IFERROR(AVERAGEIFS(SAISIE!AD:AD,SAISIE!Y:Y,BILAN!B62,SAISIE!B:B,"FLUX DEV"),"")</f>
        <v/>
      </c>
      <c r="AD62" s="223" t="n">
        <v>0.98</v>
      </c>
      <c r="AF62" s="220" t="n">
        <v>50</v>
      </c>
      <c r="AG62" s="222">
        <f>IFERROR(AVERAGEIFS(SAISIE!AF:AF,SAISIE!Y:Y,BILAN!B62,SAISIE!B:B,"PETB"),"")</f>
        <v/>
      </c>
      <c r="AH62" s="222" t="n"/>
      <c r="AI62" s="223" t="n">
        <v>0.95</v>
      </c>
      <c r="AK62" s="220" t="n">
        <v>50</v>
      </c>
      <c r="AL62" s="222">
        <f>IFERROR(AVERAGEIFS(SAISIE!AG:AG,SAISIE!Y:Y,BILAN!B62,SAISIE!B:B,"PEPP"),"")</f>
        <v/>
      </c>
      <c r="AM62" s="222">
        <f>IFERROR(AVERAGEIFS(SAISIE!AT:AT,SAISIE!Y:Y,BILAN!B62,SAISIE!B:B,"PEPP"),"")</f>
        <v/>
      </c>
      <c r="AN62" s="223" t="n">
        <v>0.95</v>
      </c>
      <c r="AP62" s="220" t="n">
        <v>50</v>
      </c>
      <c r="AQ62" s="222">
        <f>IFERROR(AVERAGEIFS(SAISIE!AH:AH,SAISIE!Y:Y,BILAN!B62,SAISIE!B:B,"ELA"),"")</f>
        <v/>
      </c>
      <c r="AR62" s="222">
        <f>IFERROR(AVERAGEIFS(SAISIE!AN:AN,SAISIE!Y:Y,BILAN!B62,SAISIE!B:B,"ELA"),"")</f>
        <v/>
      </c>
      <c r="AS62" s="111" t="n">
        <v>0.95</v>
      </c>
      <c r="AT62" s="223">
        <f>IFERROR(AVERAGEIFS(SAISIE!AW:AW,SAISIE!Y:Y,BILAN!B62,SAISIE!B:B,"ELA"),"")</f>
        <v/>
      </c>
      <c r="AV62" s="220" t="n">
        <v>50</v>
      </c>
      <c r="AW62" s="222">
        <f>IFERROR(AVERAGEIFS(SAISIE!AI:AI,SAISIE!Y:Y,BILAN!B62,SAISIE!B:B,"FILM"),"")</f>
        <v/>
      </c>
      <c r="AX62" s="222">
        <f>IFERROR(AVERAGEIFS(SAISIE!AV:AV,SAISIE!Y:Y,BILAN!B62,SAISIE!B:B,"FILM"),"")</f>
        <v/>
      </c>
      <c r="AY62" s="223" t="n">
        <v>0.95</v>
      </c>
      <c r="AZ62" s="111" t="n"/>
      <c r="BA62" s="220" t="n">
        <v>50</v>
      </c>
      <c r="BB62" s="222">
        <f>IFERROR(AVERAGEIFS(SAISIE!AJ:AJ,SAISIE!Y:Y,BILAN!B62,SAISIE!B:B,"ACIER"),"")</f>
        <v/>
      </c>
      <c r="BC62" s="222" t="n"/>
      <c r="BD62" s="223" t="n">
        <v>0.95</v>
      </c>
      <c r="BE62" s="41" t="n"/>
      <c r="BF62" s="235" t="n">
        <v>50</v>
      </c>
      <c r="BG62" s="222">
        <f>IFERROR(AVERAGEIFS(SAISIE!AK:AK,SAISIE!Y:Y,BILAN!B62,SAISIE!B:B,"ALU"),"")</f>
        <v/>
      </c>
      <c r="BH62" s="222" t="n"/>
      <c r="BI62" s="223" t="n">
        <v>0.95</v>
      </c>
      <c r="BK62" s="220" t="n">
        <v>50</v>
      </c>
      <c r="BL62" s="222">
        <f>IFERROR(AVERAGEIFS(SAISIE!AL:AL,SAISIE!Y:Y,BILAN!B62,SAISIE!B:B,"PETIT ALU"),"")</f>
        <v/>
      </c>
      <c r="BM62" s="222">
        <f>IFERROR(AVERAGEIFS(SAISIE!AK:AK,SAISIE!Y:Y,BILAN!B62,SAISIE!B:B,"PETIT ALU"),"")</f>
        <v/>
      </c>
      <c r="BN62" s="223" t="n">
        <v>0.95</v>
      </c>
      <c r="BP62" s="220" t="n">
        <v>50</v>
      </c>
      <c r="BQ62" s="222">
        <f>IFERROR(AVERAGEIFS(SAISIE!AM:AM,SAISIE!Y:Y,BILAN!B62,SAISIE!B:B,"REFUS"),"")</f>
        <v/>
      </c>
      <c r="BR62" s="222">
        <f>IFERROR(AVERAGEIFS(SAISIE!AU:AU,SAISIE!Y:Y,BILAN!B62,SAISIE!B:B,"REFUS"),"")</f>
        <v/>
      </c>
      <c r="BS62" s="223" t="n">
        <v>0.95</v>
      </c>
      <c r="BU62" s="41" t="n"/>
      <c r="BV62" s="41" t="n"/>
      <c r="BW62" s="41" t="n"/>
      <c r="BX62" s="41" t="n"/>
    </row>
    <row r="63">
      <c r="B63" s="220" t="n">
        <v>51</v>
      </c>
      <c r="C63" s="222">
        <f>IFERROR(AVERAGEIFS(SAISIE!Z:Z,SAISIE!Y:Y,BILAN!B63,SAISIE!B:B,"JRM"),"")</f>
        <v/>
      </c>
      <c r="D63" s="222">
        <f>IFERROR(AVERAGEIFS(SAISIE!AP:AP,SAISIE!Y:Y,BILAN!B63,SAISIE!B:B,"JRM"),"")</f>
        <v/>
      </c>
      <c r="E63" s="223" t="n">
        <v>0.97</v>
      </c>
      <c r="F63" s="111" t="n"/>
      <c r="G63" s="220" t="n">
        <v>51</v>
      </c>
      <c r="H63" s="222">
        <f>IFERROR(AVERAGEIFS(SAISIE!AA:AA,SAISIE!Y:Y,BILAN!B63,SAISIE!B:B,"EMR"),"")</f>
        <v/>
      </c>
      <c r="I63" s="222">
        <f>IFERROR(AVERAGEIFS(SAISIE!AS:AS,SAISIE!Y:Y,BILAN!B63,SAISIE!B:B,"EMR"),"")</f>
        <v/>
      </c>
      <c r="J63" s="223" t="n">
        <v>0.95</v>
      </c>
      <c r="L63" s="220" t="n">
        <v>51</v>
      </c>
      <c r="M63" s="222">
        <f>IFERROR(AVERAGEIFS(SAISIE!AB:AB,SAISIE!Y:Y,BILAN!B63,SAISIE!B:B,"CARTON"),"")</f>
        <v/>
      </c>
      <c r="N63" s="222">
        <f>IFERROR(AVERAGEIFS(SAISIE!AS:AS,SAISIE!Y:Y,BILAN!B63,SAISIE!B:B,"CARTON"),"")</f>
        <v/>
      </c>
      <c r="O63" s="223" t="n">
        <v>0.95</v>
      </c>
      <c r="Q63" s="220" t="n">
        <v>51</v>
      </c>
      <c r="R63" s="222">
        <f>IFERROR(AVERAGEIFS(SAISIE!AC:AC,SAISIE!Y:Y,BILAN!B63,SAISIE!B:B,"GM"),"")</f>
        <v/>
      </c>
      <c r="S63" s="222">
        <f>IFERROR(AVERAGEIFS(SAISIE!AS:AS,SAISIE!Y:Y,BILAN!B63,SAISIE!B:B,"GM"),"")</f>
        <v/>
      </c>
      <c r="T63" s="223" t="n">
        <v>0.98</v>
      </c>
      <c r="V63" s="220" t="n">
        <v>51</v>
      </c>
      <c r="W63" s="222">
        <f>IFERROR(AVERAGEIFS(SAISIE!AD:AD,SAISIE!Y:Y,BILAN!B63,SAISIE!B:B,"PETQ9"),"")</f>
        <v/>
      </c>
      <c r="X63" s="222">
        <f>IFERROR(AVERAGEIFS(SAISIE!AF:AF,SAISIE!Y:Y,BILAN!B63,SAISIE!B:B,"PETQ9"),"")</f>
        <v/>
      </c>
      <c r="Y63" s="223" t="n">
        <v>0.98</v>
      </c>
      <c r="Z63" s="60" t="n"/>
      <c r="AA63" s="220" t="n">
        <v>51</v>
      </c>
      <c r="AB63" s="222">
        <f>IFERROR(AVERAGEIFS(SAISIE!AE:AE,SAISIE!Y:Y,BILAN!B63,SAISIE!B:B,"FLUX DEV"),"")</f>
        <v/>
      </c>
      <c r="AC63" s="222">
        <f>IFERROR(AVERAGEIFS(SAISIE!AD:AD,SAISIE!Y:Y,BILAN!B63,SAISIE!B:B,"FLUX DEV"),"")</f>
        <v/>
      </c>
      <c r="AD63" s="223" t="n">
        <v>0.98</v>
      </c>
      <c r="AF63" s="220" t="n">
        <v>51</v>
      </c>
      <c r="AG63" s="222">
        <f>IFERROR(AVERAGEIFS(SAISIE!AF:AF,SAISIE!Y:Y,BILAN!B63,SAISIE!B:B,"PETB"),"")</f>
        <v/>
      </c>
      <c r="AH63" s="222" t="n"/>
      <c r="AI63" s="223" t="n">
        <v>0.95</v>
      </c>
      <c r="AK63" s="220" t="n">
        <v>51</v>
      </c>
      <c r="AL63" s="222">
        <f>IFERROR(AVERAGEIFS(SAISIE!AG:AG,SAISIE!Y:Y,BILAN!B63,SAISIE!B:B,"PEPP"),"")</f>
        <v/>
      </c>
      <c r="AM63" s="222">
        <f>IFERROR(AVERAGEIFS(SAISIE!AT:AT,SAISIE!Y:Y,BILAN!B63,SAISIE!B:B,"PEPP"),"")</f>
        <v/>
      </c>
      <c r="AN63" s="223" t="n">
        <v>0.95</v>
      </c>
      <c r="AP63" s="220" t="n">
        <v>51</v>
      </c>
      <c r="AQ63" s="222">
        <f>IFERROR(AVERAGEIFS(SAISIE!AH:AH,SAISIE!Y:Y,BILAN!B63,SAISIE!B:B,"ELA"),"")</f>
        <v/>
      </c>
      <c r="AR63" s="222">
        <f>IFERROR(AVERAGEIFS(SAISIE!AN:AN,SAISIE!Y:Y,BILAN!B63,SAISIE!B:B,"ELA"),"")</f>
        <v/>
      </c>
      <c r="AS63" s="111" t="n">
        <v>0.95</v>
      </c>
      <c r="AT63" s="223">
        <f>IFERROR(AVERAGEIFS(SAISIE!AW:AW,SAISIE!Y:Y,BILAN!B63,SAISIE!B:B,"ELA"),"")</f>
        <v/>
      </c>
      <c r="AV63" s="220" t="n">
        <v>51</v>
      </c>
      <c r="AW63" s="222">
        <f>IFERROR(AVERAGEIFS(SAISIE!AI:AI,SAISIE!Y:Y,BILAN!B63,SAISIE!B:B,"FILM"),"")</f>
        <v/>
      </c>
      <c r="AX63" s="222">
        <f>IFERROR(AVERAGEIFS(SAISIE!AV:AV,SAISIE!Y:Y,BILAN!B63,SAISIE!B:B,"FILM"),"")</f>
        <v/>
      </c>
      <c r="AY63" s="223" t="n">
        <v>0.95</v>
      </c>
      <c r="AZ63" s="111" t="n"/>
      <c r="BA63" s="220" t="n">
        <v>51</v>
      </c>
      <c r="BB63" s="222">
        <f>IFERROR(AVERAGEIFS(SAISIE!AJ:AJ,SAISIE!Y:Y,BILAN!B63,SAISIE!B:B,"ACIER"),"")</f>
        <v/>
      </c>
      <c r="BC63" s="222" t="n"/>
      <c r="BD63" s="223" t="n">
        <v>0.95</v>
      </c>
      <c r="BE63" s="41" t="n"/>
      <c r="BF63" s="235" t="n">
        <v>51</v>
      </c>
      <c r="BG63" s="222">
        <f>IFERROR(AVERAGEIFS(SAISIE!AK:AK,SAISIE!Y:Y,BILAN!B63,SAISIE!B:B,"ALU"),"")</f>
        <v/>
      </c>
      <c r="BH63" s="222" t="n"/>
      <c r="BI63" s="223" t="n">
        <v>0.95</v>
      </c>
      <c r="BK63" s="220" t="n">
        <v>51</v>
      </c>
      <c r="BL63" s="222">
        <f>IFERROR(AVERAGEIFS(SAISIE!AL:AL,SAISIE!Y:Y,BILAN!B63,SAISIE!B:B,"PETIT ALU"),"")</f>
        <v/>
      </c>
      <c r="BM63" s="222">
        <f>IFERROR(AVERAGEIFS(SAISIE!AK:AK,SAISIE!Y:Y,BILAN!B63,SAISIE!B:B,"PETIT ALU"),"")</f>
        <v/>
      </c>
      <c r="BN63" s="223" t="n">
        <v>0.95</v>
      </c>
      <c r="BP63" s="220" t="n">
        <v>51</v>
      </c>
      <c r="BQ63" s="222">
        <f>IFERROR(AVERAGEIFS(SAISIE!AM:AM,SAISIE!Y:Y,BILAN!B63,SAISIE!B:B,"REFUS"),"")</f>
        <v/>
      </c>
      <c r="BR63" s="222">
        <f>IFERROR(AVERAGEIFS(SAISIE!AU:AU,SAISIE!Y:Y,BILAN!B63,SAISIE!B:B,"REFUS"),"")</f>
        <v/>
      </c>
      <c r="BS63" s="223" t="n">
        <v>0.95</v>
      </c>
      <c r="BU63" s="41" t="n"/>
      <c r="BV63" s="41" t="n"/>
      <c r="BW63" s="41" t="n"/>
      <c r="BX63" s="41" t="n"/>
    </row>
    <row r="64">
      <c r="B64" s="220" t="n">
        <v>52</v>
      </c>
      <c r="C64" s="222">
        <f>IFERROR(AVERAGEIFS(SAISIE!Z:Z,SAISIE!Y:Y,BILAN!B64,SAISIE!B:B,"JRM"),"")</f>
        <v/>
      </c>
      <c r="D64" s="222">
        <f>IFERROR(AVERAGEIFS(SAISIE!AP:AP,SAISIE!Y:Y,BILAN!B64,SAISIE!B:B,"JRM"),"")</f>
        <v/>
      </c>
      <c r="E64" s="223" t="n">
        <v>0.97</v>
      </c>
      <c r="F64" s="111" t="n"/>
      <c r="G64" s="220" t="n">
        <v>52</v>
      </c>
      <c r="H64" s="222">
        <f>IFERROR(AVERAGEIFS(SAISIE!AA:AA,SAISIE!Y:Y,BILAN!B64,SAISIE!B:B,"EMR"),"")</f>
        <v/>
      </c>
      <c r="I64" s="222">
        <f>IFERROR(AVERAGEIFS(SAISIE!AS:AS,SAISIE!Y:Y,BILAN!B64,SAISIE!B:B,"EMR"),"")</f>
        <v/>
      </c>
      <c r="J64" s="223" t="n">
        <v>0.95</v>
      </c>
      <c r="L64" s="220" t="n">
        <v>52</v>
      </c>
      <c r="M64" s="222">
        <f>IFERROR(AVERAGEIFS(SAISIE!AB:AB,SAISIE!Y:Y,BILAN!B64,SAISIE!B:B,"CARTON"),"")</f>
        <v/>
      </c>
      <c r="N64" s="222">
        <f>IFERROR(AVERAGEIFS(SAISIE!AS:AS,SAISIE!Y:Y,BILAN!B64,SAISIE!B:B,"CARTON"),"")</f>
        <v/>
      </c>
      <c r="O64" s="223" t="n">
        <v>0.95</v>
      </c>
      <c r="Q64" s="220" t="n">
        <v>52</v>
      </c>
      <c r="R64" s="222">
        <f>IFERROR(AVERAGEIFS(SAISIE!AC:AC,SAISIE!Y:Y,BILAN!B64,SAISIE!B:B,"GM"),"")</f>
        <v/>
      </c>
      <c r="S64" s="222">
        <f>IFERROR(AVERAGEIFS(SAISIE!AS:AS,SAISIE!Y:Y,BILAN!B64,SAISIE!B:B,"GM"),"")</f>
        <v/>
      </c>
      <c r="T64" s="223" t="n">
        <v>0.98</v>
      </c>
      <c r="V64" s="220" t="n">
        <v>52</v>
      </c>
      <c r="W64" s="222">
        <f>IFERROR(AVERAGEIFS(SAISIE!AD:AD,SAISIE!Y:Y,BILAN!B64,SAISIE!B:B,"PETQ9"),"")</f>
        <v/>
      </c>
      <c r="X64" s="222">
        <f>IFERROR(AVERAGEIFS(SAISIE!AF:AF,SAISIE!Y:Y,BILAN!B64,SAISIE!B:B,"PETQ9"),"")</f>
        <v/>
      </c>
      <c r="Y64" s="223" t="n">
        <v>0.98</v>
      </c>
      <c r="Z64" s="60" t="n"/>
      <c r="AA64" s="220" t="n">
        <v>52</v>
      </c>
      <c r="AB64" s="222">
        <f>IFERROR(AVERAGEIFS(SAISIE!AE:AE,SAISIE!Y:Y,BILAN!B64,SAISIE!B:B,"FLUX DEV"),"")</f>
        <v/>
      </c>
      <c r="AC64" s="222">
        <f>IFERROR(AVERAGEIFS(SAISIE!AD:AD,SAISIE!Y:Y,BILAN!B64,SAISIE!B:B,"FLUX DEV"),"")</f>
        <v/>
      </c>
      <c r="AD64" s="223" t="n">
        <v>0.98</v>
      </c>
      <c r="AF64" s="220" t="n">
        <v>52</v>
      </c>
      <c r="AG64" s="222">
        <f>IFERROR(AVERAGEIFS(SAISIE!AF:AF,SAISIE!Y:Y,BILAN!B64,SAISIE!B:B,"PETB"),"")</f>
        <v/>
      </c>
      <c r="AH64" s="222" t="n"/>
      <c r="AI64" s="223" t="n">
        <v>0.95</v>
      </c>
      <c r="AK64" s="220" t="n">
        <v>52</v>
      </c>
      <c r="AL64" s="222">
        <f>IFERROR(AVERAGEIFS(SAISIE!AG:AG,SAISIE!Y:Y,BILAN!B64,SAISIE!B:B,"PEPP"),"")</f>
        <v/>
      </c>
      <c r="AM64" s="222">
        <f>IFERROR(AVERAGEIFS(SAISIE!AT:AT,SAISIE!Y:Y,BILAN!B64,SAISIE!B:B,"PEPP"),"")</f>
        <v/>
      </c>
      <c r="AN64" s="223" t="n">
        <v>0.95</v>
      </c>
      <c r="AP64" s="220" t="n">
        <v>52</v>
      </c>
      <c r="AQ64" s="222">
        <f>IFERROR(AVERAGEIFS(SAISIE!AH:AH,SAISIE!Y:Y,BILAN!B64,SAISIE!B:B,"ELA"),"")</f>
        <v/>
      </c>
      <c r="AR64" s="222">
        <f>IFERROR(AVERAGEIFS(SAISIE!AN:AN,SAISIE!Y:Y,BILAN!B64,SAISIE!B:B,"ELA"),"")</f>
        <v/>
      </c>
      <c r="AS64" s="111" t="n">
        <v>0.95</v>
      </c>
      <c r="AT64" s="223">
        <f>IFERROR(AVERAGEIFS(SAISIE!AW:AW,SAISIE!Y:Y,BILAN!B64,SAISIE!B:B,"ELA"),"")</f>
        <v/>
      </c>
      <c r="AV64" s="220" t="n">
        <v>52</v>
      </c>
      <c r="AW64" s="222">
        <f>IFERROR(AVERAGEIFS(SAISIE!AI:AI,SAISIE!Y:Y,BILAN!B64,SAISIE!B:B,"FILM"),"")</f>
        <v/>
      </c>
      <c r="AX64" s="222">
        <f>IFERROR(AVERAGEIFS(SAISIE!AV:AV,SAISIE!Y:Y,BILAN!B64,SAISIE!B:B,"FILM"),"")</f>
        <v/>
      </c>
      <c r="AY64" s="223" t="n">
        <v>0.95</v>
      </c>
      <c r="AZ64" s="111" t="n"/>
      <c r="BA64" s="220" t="n">
        <v>52</v>
      </c>
      <c r="BB64" s="222">
        <f>IFERROR(AVERAGEIFS(SAISIE!AJ:AJ,SAISIE!Y:Y,BILAN!B64,SAISIE!B:B,"ACIER"),"")</f>
        <v/>
      </c>
      <c r="BC64" s="222" t="n"/>
      <c r="BD64" s="223" t="n">
        <v>0.95</v>
      </c>
      <c r="BE64" s="41" t="n"/>
      <c r="BF64" s="235" t="n">
        <v>52</v>
      </c>
      <c r="BG64" s="222">
        <f>IFERROR(AVERAGEIFS(SAISIE!AK:AK,SAISIE!Y:Y,BILAN!B64,SAISIE!B:B,"ALU"),"")</f>
        <v/>
      </c>
      <c r="BH64" s="222" t="n"/>
      <c r="BI64" s="223" t="n">
        <v>0.95</v>
      </c>
      <c r="BK64" s="220" t="n">
        <v>52</v>
      </c>
      <c r="BL64" s="222">
        <f>IFERROR(AVERAGEIFS(SAISIE!AL:AL,SAISIE!Y:Y,BILAN!B64,SAISIE!B:B,"PETIT ALU"),"")</f>
        <v/>
      </c>
      <c r="BM64" s="222">
        <f>IFERROR(AVERAGEIFS(SAISIE!AK:AK,SAISIE!Y:Y,BILAN!B64,SAISIE!B:B,"PETIT ALU"),"")</f>
        <v/>
      </c>
      <c r="BN64" s="223" t="n">
        <v>0.95</v>
      </c>
      <c r="BP64" s="220" t="n">
        <v>52</v>
      </c>
      <c r="BQ64" s="222">
        <f>IFERROR(AVERAGEIFS(SAISIE!AM:AM,SAISIE!Y:Y,BILAN!B64,SAISIE!B:B,"REFUS"),"")</f>
        <v/>
      </c>
      <c r="BR64" s="222">
        <f>IFERROR(AVERAGEIFS(SAISIE!AU:AU,SAISIE!Y:Y,BILAN!B64,SAISIE!B:B,"REFUS"),"")</f>
        <v/>
      </c>
      <c r="BS64" s="223" t="n">
        <v>0.95</v>
      </c>
      <c r="BU64" s="41" t="n"/>
      <c r="BV64" s="41" t="n"/>
      <c r="BW64" s="41" t="n"/>
      <c r="BX64" s="41" t="n"/>
    </row>
    <row r="65" ht="13.5" customHeight="1" s="259" thickBot="1">
      <c r="B65" s="226" t="n">
        <v>53</v>
      </c>
      <c r="C65" s="227">
        <f>IFERROR(AVERAGEIFS(SAISIE!Z:Z,SAISIE!Y:Y,BILAN!B65,SAISIE!B:B,"JRM"),"")</f>
        <v/>
      </c>
      <c r="D65" s="227">
        <f>IFERROR(AVERAGEIFS(SAISIE!AP:AP,SAISIE!Y:Y,BILAN!B65,SAISIE!B:B,"JRM"),"")</f>
        <v/>
      </c>
      <c r="E65" s="228" t="n">
        <v>0.97</v>
      </c>
      <c r="F65" s="111" t="n"/>
      <c r="G65" s="226" t="n">
        <v>53</v>
      </c>
      <c r="H65" s="227">
        <f>IFERROR(AVERAGEIFS(SAISIE!AA:AA,SAISIE!Y:Y,BILAN!B65,SAISIE!B:B,"EMR"),"")</f>
        <v/>
      </c>
      <c r="I65" s="227">
        <f>IFERROR(AVERAGEIFS(SAISIE!AS:AS,SAISIE!Y:Y,BILAN!B65,SAISIE!B:B,"EMR"),"")</f>
        <v/>
      </c>
      <c r="J65" s="228" t="n">
        <v>0.95</v>
      </c>
      <c r="L65" s="226" t="n">
        <v>53</v>
      </c>
      <c r="M65" s="227">
        <f>IFERROR(AVERAGEIFS(SAISIE!AB:AB,SAISIE!Y:Y,BILAN!B65,SAISIE!B:B,"CARTON"),"")</f>
        <v/>
      </c>
      <c r="N65" s="227">
        <f>IFERROR(AVERAGEIFS(SAISIE!AS:AS,SAISIE!Y:Y,BILAN!B65,SAISIE!B:B,"CARTON"),"")</f>
        <v/>
      </c>
      <c r="O65" s="228" t="n">
        <v>0.95</v>
      </c>
      <c r="Q65" s="226" t="n">
        <v>53</v>
      </c>
      <c r="R65" s="227">
        <f>IFERROR(AVERAGEIFS(SAISIE!AC:AC,SAISIE!Y:Y,BILAN!B65,SAISIE!B:B,"GM"),"")</f>
        <v/>
      </c>
      <c r="S65" s="227">
        <f>IFERROR(AVERAGEIFS(SAISIE!AS:AS,SAISIE!Y:Y,BILAN!B65,SAISIE!B:B,"GM"),"")</f>
        <v/>
      </c>
      <c r="T65" s="228" t="n">
        <v>0.98</v>
      </c>
      <c r="V65" s="226" t="n">
        <v>53</v>
      </c>
      <c r="W65" s="227">
        <f>IFERROR(AVERAGEIFS(SAISIE!AD:AD,SAISIE!Y:Y,BILAN!B65,SAISIE!B:B,"PETQ9"),"")</f>
        <v/>
      </c>
      <c r="X65" s="227">
        <f>IFERROR(AVERAGEIFS(SAISIE!AF:AF,SAISIE!Y:Y,BILAN!B65,SAISIE!B:B,"PETQ9"),"")</f>
        <v/>
      </c>
      <c r="Y65" s="228" t="n">
        <v>0.98</v>
      </c>
      <c r="Z65" s="60" t="n"/>
      <c r="AA65" s="226" t="n">
        <v>53</v>
      </c>
      <c r="AB65" s="227">
        <f>IFERROR(AVERAGEIFS(SAISIE!AE:AE,SAISIE!Y:Y,BILAN!B65,SAISIE!B:B,"FLUX DEV"),"")</f>
        <v/>
      </c>
      <c r="AC65" s="227">
        <f>IFERROR(AVERAGEIFS(SAISIE!AD:AD,SAISIE!Y:Y,BILAN!B65,SAISIE!B:B,"FLUX DEV"),"")</f>
        <v/>
      </c>
      <c r="AD65" s="228" t="n">
        <v>0.98</v>
      </c>
      <c r="AF65" s="226" t="n">
        <v>53</v>
      </c>
      <c r="AG65" s="227">
        <f>IFERROR(AVERAGEIFS(SAISIE!AF:AF,SAISIE!Y:Y,BILAN!B65,SAISIE!B:B,"PETB"),"")</f>
        <v/>
      </c>
      <c r="AH65" s="227" t="n"/>
      <c r="AI65" s="228" t="n">
        <v>0.95</v>
      </c>
      <c r="AK65" s="226" t="n">
        <v>53</v>
      </c>
      <c r="AL65" s="227">
        <f>IFERROR(AVERAGEIFS(SAISIE!AG:AG,SAISIE!Y:Y,BILAN!B65,SAISIE!B:B,"PEPP"),"")</f>
        <v/>
      </c>
      <c r="AM65" s="227">
        <f>IFERROR(AVERAGEIFS(SAISIE!AT:AT,SAISIE!Y:Y,BILAN!B65,SAISIE!B:B,"PEPP"),"")</f>
        <v/>
      </c>
      <c r="AN65" s="228" t="n">
        <v>0.95</v>
      </c>
      <c r="AP65" s="226" t="n">
        <v>53</v>
      </c>
      <c r="AQ65" s="227">
        <f>IFERROR(AVERAGEIFS(SAISIE!AH:AH,SAISIE!Y:Y,BILAN!B65,SAISIE!B:B,"ELA"),"")</f>
        <v/>
      </c>
      <c r="AR65" s="227">
        <f>IFERROR(AVERAGEIFS(SAISIE!AN:AN,SAISIE!Y:Y,BILAN!B65,SAISIE!B:B,"ELA"),"")</f>
        <v/>
      </c>
      <c r="AS65" s="238" t="n">
        <v>0.95</v>
      </c>
      <c r="AT65" s="228">
        <f>IFERROR(AVERAGEIFS(SAISIE!AW:AW,SAISIE!Y:Y,BILAN!B65,SAISIE!B:B,"ELA"),"")</f>
        <v/>
      </c>
      <c r="AV65" s="226" t="n">
        <v>53</v>
      </c>
      <c r="AW65" s="227">
        <f>IFERROR(AVERAGEIFS(SAISIE!AI:AI,SAISIE!Y:Y,BILAN!B65,SAISIE!B:B,"FILM"),"")</f>
        <v/>
      </c>
      <c r="AX65" s="227">
        <f>IFERROR(AVERAGEIFS(SAISIE!AV:AV,SAISIE!Y:Y,BILAN!B65,SAISIE!B:B,"FILM"),"")</f>
        <v/>
      </c>
      <c r="AY65" s="228" t="n">
        <v>0.95</v>
      </c>
      <c r="AZ65" s="111" t="n"/>
      <c r="BA65" s="226" t="n">
        <v>53</v>
      </c>
      <c r="BB65" s="227">
        <f>IFERROR(AVERAGEIFS(SAISIE!AJ:AJ,SAISIE!Y:Y,BILAN!B65,SAISIE!B:B,"ACIER"),"")</f>
        <v/>
      </c>
      <c r="BC65" s="227" t="n"/>
      <c r="BD65" s="228" t="n">
        <v>0.95</v>
      </c>
      <c r="BE65" s="41" t="n"/>
      <c r="BF65" s="237" t="n">
        <v>53</v>
      </c>
      <c r="BG65" s="227">
        <f>IFERROR(AVERAGEIFS(SAISIE!AK:AK,SAISIE!Y:Y,BILAN!B65,SAISIE!B:B,"ALU"),"")</f>
        <v/>
      </c>
      <c r="BH65" s="227" t="n"/>
      <c r="BI65" s="228" t="n">
        <v>0.95</v>
      </c>
      <c r="BK65" s="226" t="n">
        <v>53</v>
      </c>
      <c r="BL65" s="227">
        <f>IFERROR(AVERAGEIFS(SAISIE!AL:AL,SAISIE!Y:Y,BILAN!B65,SAISIE!B:B,"PETIT ALU"),"")</f>
        <v/>
      </c>
      <c r="BM65" s="227">
        <f>IFERROR(AVERAGEIFS(SAISIE!AK:AK,SAISIE!Y:Y,BILAN!B65,SAISIE!B:B,"PETIT ALU"),"")</f>
        <v/>
      </c>
      <c r="BN65" s="228" t="n">
        <v>0.95</v>
      </c>
      <c r="BP65" s="226" t="n">
        <v>53</v>
      </c>
      <c r="BQ65" s="227">
        <f>IFERROR(AVERAGEIFS(SAISIE!AM:AM,SAISIE!Y:Y,BILAN!B65,SAISIE!B:B,"REFUS"),"")</f>
        <v/>
      </c>
      <c r="BR65" s="227">
        <f>IFERROR(AVERAGEIFS(SAISIE!AU:AU,SAISIE!Y:Y,BILAN!B65,SAISIE!B:B,"REFUS"),"")</f>
        <v/>
      </c>
      <c r="BS65" s="228" t="n">
        <v>0.95</v>
      </c>
      <c r="BU65" s="41" t="n"/>
      <c r="BV65" s="41" t="n"/>
      <c r="BW65" s="41" t="n"/>
      <c r="BX65" s="41" t="n"/>
    </row>
    <row r="66">
      <c r="E66" s="60" t="n"/>
      <c r="F66" s="111" t="n"/>
      <c r="G66" s="111" t="n"/>
      <c r="H66" s="111" t="n"/>
      <c r="M66" s="111" t="n"/>
      <c r="N66" s="111" t="n"/>
      <c r="S66" s="111" t="n"/>
      <c r="T66" s="111" t="n"/>
      <c r="Y66" s="60" t="n"/>
      <c r="Z66" s="60" t="n"/>
      <c r="AE66" s="60" t="n"/>
      <c r="AF66" s="60" t="n"/>
      <c r="AK66" s="111" t="n"/>
      <c r="AL66" s="111" t="n"/>
      <c r="AR66" s="111" t="n"/>
      <c r="AS66" s="111" t="n"/>
      <c r="AT66" s="111" t="n"/>
      <c r="AZ66" s="111" t="n"/>
      <c r="BA66" s="111" t="n"/>
      <c r="BG66" s="111" t="n"/>
    </row>
    <row r="67">
      <c r="E67" s="111" t="n"/>
      <c r="F67" s="111" t="n"/>
      <c r="G67" s="111" t="n"/>
      <c r="H67" s="111" t="n"/>
      <c r="M67" s="111" t="n"/>
      <c r="N67" s="111" t="n"/>
      <c r="S67" s="111" t="n"/>
      <c r="T67" s="111" t="n"/>
      <c r="Y67" s="111" t="n"/>
      <c r="Z67" s="111" t="n"/>
      <c r="AE67" s="111" t="n"/>
      <c r="AF67" s="111" t="n"/>
      <c r="AK67" s="111" t="n"/>
      <c r="AL67" s="111" t="n"/>
      <c r="AR67" s="111" t="n"/>
      <c r="AS67" s="111" t="n"/>
      <c r="AT67" s="111" t="n"/>
      <c r="AZ67" s="111" t="n"/>
      <c r="BA67" s="111" t="n"/>
      <c r="BG67" s="111" t="n"/>
    </row>
    <row r="68">
      <c r="E68" s="111" t="n"/>
      <c r="F68" s="111" t="n"/>
      <c r="G68" s="111" t="n"/>
      <c r="H68" s="111" t="n"/>
      <c r="M68" s="111" t="n"/>
      <c r="N68" s="111" t="n"/>
      <c r="S68" s="111" t="n"/>
      <c r="T68" s="111" t="n"/>
      <c r="Y68" s="111" t="n"/>
      <c r="Z68" s="111" t="n"/>
      <c r="AE68" s="111" t="n"/>
      <c r="AF68" s="111" t="n"/>
      <c r="AK68" s="111" t="n"/>
      <c r="AL68" s="111" t="n"/>
      <c r="AR68" s="111" t="n"/>
      <c r="AS68" s="111" t="n"/>
      <c r="AT68" s="111" t="n"/>
      <c r="AZ68" s="111" t="n"/>
      <c r="BA68" s="111" t="n"/>
      <c r="BG68" s="111" t="n"/>
    </row>
    <row r="69">
      <c r="E69" s="111" t="n"/>
      <c r="F69" s="111" t="n"/>
      <c r="G69" s="111" t="n"/>
      <c r="H69" s="111" t="n"/>
      <c r="M69" s="111" t="n"/>
      <c r="N69" s="111" t="n"/>
      <c r="S69" s="111" t="n"/>
      <c r="T69" s="111" t="n"/>
      <c r="Y69" s="111" t="n"/>
      <c r="Z69" s="111" t="n"/>
      <c r="AE69" s="111" t="n"/>
      <c r="AF69" s="111" t="n"/>
      <c r="AK69" s="111" t="n"/>
      <c r="AL69" s="111" t="n"/>
      <c r="AR69" s="111" t="n"/>
      <c r="AS69" s="111" t="n"/>
      <c r="AT69" s="111" t="n"/>
      <c r="AZ69" s="111" t="n"/>
      <c r="BA69" s="111" t="n"/>
      <c r="BG69" s="111" t="n"/>
    </row>
    <row r="70">
      <c r="E70" s="111" t="n"/>
      <c r="F70" s="111" t="n"/>
      <c r="G70" s="111" t="n"/>
      <c r="H70" s="111" t="n"/>
      <c r="M70" s="111" t="n"/>
      <c r="N70" s="111" t="n"/>
      <c r="S70" s="111" t="n"/>
      <c r="T70" s="111" t="n"/>
      <c r="Y70" s="111" t="n"/>
      <c r="Z70" s="111" t="n"/>
      <c r="AE70" s="111" t="n"/>
      <c r="AF70" s="111" t="n"/>
      <c r="AK70" s="111" t="n"/>
      <c r="AL70" s="111" t="n"/>
      <c r="AR70" s="111" t="n"/>
      <c r="AS70" s="111" t="n"/>
      <c r="AT70" s="111" t="n"/>
      <c r="AZ70" s="111" t="n"/>
      <c r="BA70" s="111" t="n"/>
      <c r="BG70" s="111" t="n"/>
    </row>
    <row r="71">
      <c r="E71" s="111" t="n"/>
      <c r="F71" s="111" t="n"/>
      <c r="G71" s="111" t="n"/>
      <c r="H71" s="111" t="n"/>
      <c r="M71" s="111" t="n"/>
      <c r="N71" s="111" t="n"/>
      <c r="S71" s="111" t="n"/>
      <c r="T71" s="111" t="n"/>
      <c r="Y71" s="111" t="n"/>
      <c r="Z71" s="111" t="n"/>
      <c r="AE71" s="111" t="n"/>
      <c r="AF71" s="111" t="n"/>
      <c r="AK71" s="111" t="n"/>
      <c r="AL71" s="111" t="n"/>
      <c r="AR71" s="111" t="n"/>
      <c r="AS71" s="111" t="n"/>
      <c r="AT71" s="111" t="n"/>
      <c r="AZ71" s="111" t="n"/>
      <c r="BA71" s="111" t="n"/>
      <c r="BG71" s="111" t="n"/>
    </row>
    <row r="72">
      <c r="E72" s="111" t="n"/>
      <c r="F72" s="111" t="n"/>
      <c r="G72" s="111" t="n"/>
      <c r="H72" s="111" t="n"/>
      <c r="M72" s="111" t="n"/>
      <c r="N72" s="111" t="n"/>
      <c r="S72" s="111" t="n"/>
      <c r="T72" s="111" t="n"/>
      <c r="Y72" s="111" t="n"/>
      <c r="Z72" s="111" t="n"/>
      <c r="AE72" s="111" t="n"/>
      <c r="AF72" s="111" t="n"/>
      <c r="AK72" s="111" t="n"/>
      <c r="AL72" s="111" t="n"/>
      <c r="AR72" s="111" t="n"/>
      <c r="AS72" s="111" t="n"/>
      <c r="AT72" s="111" t="n"/>
      <c r="AZ72" s="111" t="n"/>
      <c r="BA72" s="111" t="n"/>
      <c r="BG72" s="111" t="n"/>
    </row>
    <row r="73">
      <c r="E73" s="111" t="n"/>
      <c r="F73" s="111" t="n"/>
      <c r="G73" s="111" t="n"/>
      <c r="H73" s="111" t="n"/>
      <c r="M73" s="111" t="n"/>
      <c r="N73" s="111" t="n"/>
      <c r="S73" s="111" t="n"/>
      <c r="T73" s="111" t="n"/>
      <c r="Y73" s="111" t="n"/>
      <c r="Z73" s="111" t="n"/>
      <c r="AE73" s="111" t="n"/>
      <c r="AF73" s="111" t="n"/>
      <c r="AK73" s="111" t="n"/>
      <c r="AL73" s="111" t="n"/>
      <c r="AR73" s="111" t="n"/>
      <c r="AS73" s="111" t="n"/>
      <c r="AT73" s="111" t="n"/>
      <c r="AZ73" s="111" t="n"/>
      <c r="BA73" s="111" t="n"/>
      <c r="BG73" s="111" t="n"/>
    </row>
    <row r="74">
      <c r="E74" s="111" t="n"/>
      <c r="F74" s="111" t="n"/>
      <c r="G74" s="111" t="n"/>
      <c r="H74" s="111" t="n"/>
      <c r="M74" s="111" t="n"/>
      <c r="N74" s="111" t="n"/>
      <c r="S74" s="111" t="n"/>
      <c r="T74" s="111" t="n"/>
      <c r="Y74" s="111" t="n"/>
      <c r="Z74" s="111" t="n"/>
      <c r="AE74" s="111" t="n"/>
      <c r="AF74" s="111" t="n"/>
      <c r="AK74" s="111" t="n"/>
      <c r="AL74" s="111" t="n"/>
      <c r="AR74" s="111" t="n"/>
      <c r="AS74" s="111" t="n"/>
      <c r="AT74" s="111" t="n"/>
      <c r="AZ74" s="111" t="n"/>
      <c r="BA74" s="111" t="n"/>
      <c r="BG74" s="111" t="n"/>
    </row>
    <row r="75">
      <c r="E75" s="111" t="n"/>
      <c r="F75" s="111" t="n"/>
      <c r="G75" s="111" t="n"/>
      <c r="H75" s="111" t="n"/>
      <c r="M75" s="111" t="n"/>
      <c r="N75" s="111" t="n"/>
      <c r="S75" s="111" t="n"/>
      <c r="T75" s="111" t="n"/>
      <c r="Y75" s="111" t="n"/>
      <c r="Z75" s="111" t="n"/>
      <c r="AE75" s="111" t="n"/>
      <c r="AF75" s="111" t="n"/>
      <c r="AK75" s="111" t="n"/>
      <c r="AL75" s="111" t="n"/>
      <c r="AR75" s="111" t="n"/>
      <c r="AS75" s="111" t="n"/>
      <c r="AT75" s="111" t="n"/>
      <c r="AZ75" s="111" t="n"/>
      <c r="BA75" s="111" t="n"/>
      <c r="BG75" s="111" t="n"/>
    </row>
    <row r="76">
      <c r="E76" s="111" t="n"/>
      <c r="F76" s="111" t="n"/>
      <c r="G76" s="111" t="n"/>
      <c r="H76" s="111" t="n"/>
      <c r="M76" s="111" t="n"/>
      <c r="N76" s="111" t="n"/>
      <c r="S76" s="111" t="n"/>
      <c r="T76" s="111" t="n"/>
      <c r="Y76" s="111" t="n"/>
      <c r="Z76" s="111" t="n"/>
      <c r="AE76" s="111" t="n"/>
      <c r="AF76" s="111" t="n"/>
      <c r="AK76" s="111" t="n"/>
      <c r="AL76" s="111" t="n"/>
      <c r="AR76" s="111" t="n"/>
      <c r="AS76" s="111" t="n"/>
      <c r="AT76" s="111" t="n"/>
      <c r="AZ76" s="111" t="n"/>
      <c r="BA76" s="111" t="n"/>
      <c r="BG76" s="111" t="n"/>
    </row>
    <row r="77">
      <c r="E77" s="111" t="n"/>
      <c r="F77" s="111" t="n"/>
      <c r="G77" s="111" t="n"/>
      <c r="H77" s="111" t="n"/>
      <c r="M77" s="111" t="n"/>
      <c r="N77" s="111" t="n"/>
      <c r="S77" s="111" t="n"/>
      <c r="T77" s="111" t="n"/>
      <c r="Y77" s="111" t="n"/>
      <c r="Z77" s="111" t="n"/>
      <c r="AE77" s="111" t="n"/>
      <c r="AF77" s="111" t="n"/>
      <c r="AK77" s="111" t="n"/>
      <c r="AL77" s="111" t="n"/>
      <c r="AR77" s="111" t="n"/>
      <c r="AS77" s="111" t="n"/>
      <c r="AT77" s="111" t="n"/>
      <c r="AZ77" s="111" t="n"/>
      <c r="BA77" s="111" t="n"/>
      <c r="BG77" s="111" t="n"/>
    </row>
    <row r="78">
      <c r="E78" s="111" t="n"/>
      <c r="F78" s="111" t="n"/>
      <c r="G78" s="111" t="n"/>
      <c r="H78" s="111" t="n"/>
      <c r="M78" s="111" t="n"/>
      <c r="N78" s="111" t="n"/>
      <c r="S78" s="111" t="n"/>
      <c r="T78" s="111" t="n"/>
      <c r="Y78" s="111" t="n"/>
      <c r="Z78" s="111" t="n"/>
      <c r="AE78" s="111" t="n"/>
      <c r="AF78" s="111" t="n"/>
      <c r="AK78" s="111" t="n"/>
      <c r="AL78" s="111" t="n"/>
      <c r="AR78" s="111" t="n"/>
      <c r="AS78" s="111" t="n"/>
      <c r="AT78" s="111" t="n"/>
      <c r="AZ78" s="111" t="n"/>
      <c r="BA78" s="111" t="n"/>
      <c r="BG78" s="111" t="n"/>
    </row>
    <row r="79">
      <c r="E79" s="111" t="n"/>
      <c r="F79" s="111" t="n"/>
      <c r="G79" s="111" t="n"/>
      <c r="H79" s="111" t="n"/>
      <c r="M79" s="111" t="n"/>
      <c r="N79" s="111" t="n"/>
      <c r="S79" s="111" t="n"/>
      <c r="T79" s="111" t="n"/>
      <c r="Y79" s="111" t="n"/>
      <c r="Z79" s="111" t="n"/>
      <c r="AE79" s="111" t="n"/>
      <c r="AF79" s="111" t="n"/>
      <c r="AK79" s="111" t="n"/>
      <c r="AL79" s="111" t="n"/>
      <c r="AR79" s="111" t="n"/>
      <c r="AS79" s="111" t="n"/>
      <c r="AT79" s="111" t="n"/>
      <c r="AZ79" s="111" t="n"/>
      <c r="BA79" s="111" t="n"/>
      <c r="BG79" s="111" t="n"/>
    </row>
    <row r="80">
      <c r="E80" s="111" t="n"/>
      <c r="F80" s="111" t="n"/>
      <c r="G80" s="111" t="n"/>
      <c r="H80" s="111" t="n"/>
      <c r="M80" s="111" t="n"/>
      <c r="N80" s="111" t="n"/>
      <c r="S80" s="111" t="n"/>
      <c r="T80" s="111" t="n"/>
      <c r="Y80" s="111" t="n"/>
      <c r="Z80" s="111" t="n"/>
      <c r="AE80" s="111" t="n"/>
      <c r="AF80" s="111" t="n"/>
      <c r="AK80" s="111" t="n"/>
      <c r="AL80" s="111" t="n"/>
      <c r="AR80" s="111" t="n"/>
      <c r="AS80" s="111" t="n"/>
      <c r="AT80" s="111" t="n"/>
      <c r="AZ80" s="111" t="n"/>
      <c r="BA80" s="111" t="n"/>
      <c r="BG80" s="111" t="n"/>
    </row>
    <row r="81">
      <c r="E81" s="111" t="n"/>
      <c r="F81" s="111" t="n"/>
      <c r="G81" s="111" t="n"/>
      <c r="H81" s="111" t="n"/>
      <c r="M81" s="111" t="n"/>
      <c r="N81" s="111" t="n"/>
      <c r="S81" s="111" t="n"/>
      <c r="T81" s="111" t="n"/>
      <c r="Y81" s="111" t="n"/>
      <c r="Z81" s="111" t="n"/>
      <c r="AE81" s="111" t="n"/>
      <c r="AF81" s="111" t="n"/>
      <c r="AK81" s="111" t="n"/>
      <c r="AL81" s="111" t="n"/>
      <c r="AR81" s="111" t="n"/>
      <c r="AS81" s="111" t="n"/>
      <c r="AT81" s="111" t="n"/>
    </row>
    <row r="82">
      <c r="E82" s="111" t="n"/>
      <c r="F82" s="111" t="n"/>
      <c r="G82" s="111" t="n"/>
      <c r="H82" s="111" t="n"/>
      <c r="M82" s="111" t="n"/>
      <c r="N82" s="111" t="n"/>
      <c r="S82" s="111" t="n"/>
      <c r="T82" s="111" t="n"/>
      <c r="Y82" s="111" t="n"/>
      <c r="Z82" s="111" t="n"/>
      <c r="AE82" s="111" t="n"/>
      <c r="AF82" s="111" t="n"/>
      <c r="AK82" s="111" t="n"/>
      <c r="AL82" s="111" t="n"/>
      <c r="AR82" s="111" t="n"/>
      <c r="AS82" s="111" t="n"/>
      <c r="AT82" s="111" t="n"/>
    </row>
    <row r="83">
      <c r="E83" s="111" t="n"/>
      <c r="F83" s="111" t="n"/>
      <c r="G83" s="111" t="n"/>
      <c r="H83" s="111" t="n"/>
      <c r="M83" s="111" t="n"/>
      <c r="N83" s="111" t="n"/>
      <c r="S83" s="111" t="n"/>
      <c r="T83" s="111" t="n"/>
      <c r="Y83" s="111" t="n"/>
      <c r="Z83" s="111" t="n"/>
      <c r="AE83" s="111" t="n"/>
      <c r="AF83" s="111" t="n"/>
      <c r="AK83" s="111" t="n"/>
      <c r="AL83" s="111" t="n"/>
      <c r="AR83" s="111" t="n"/>
      <c r="AS83" s="111" t="n"/>
      <c r="AT83" s="111" t="n"/>
    </row>
    <row r="84">
      <c r="E84" s="111" t="n"/>
      <c r="F84" s="111" t="n"/>
      <c r="G84" s="111" t="n"/>
      <c r="H84" s="111" t="n"/>
      <c r="M84" s="111" t="n"/>
      <c r="N84" s="111" t="n"/>
      <c r="S84" s="111" t="n"/>
      <c r="T84" s="111" t="n"/>
      <c r="Y84" s="111" t="n"/>
      <c r="Z84" s="111" t="n"/>
      <c r="AE84" s="111" t="n"/>
      <c r="AF84" s="111" t="n"/>
      <c r="AK84" s="111" t="n"/>
      <c r="AL84" s="111" t="n"/>
      <c r="AR84" s="111" t="n"/>
      <c r="AS84" s="111" t="n"/>
      <c r="AT84" s="111" t="n"/>
    </row>
    <row r="85">
      <c r="E85" s="111" t="n"/>
      <c r="F85" s="111" t="n"/>
      <c r="G85" s="111" t="n"/>
      <c r="H85" s="111" t="n"/>
      <c r="M85" s="111" t="n"/>
      <c r="N85" s="111" t="n"/>
      <c r="S85" s="111" t="n"/>
      <c r="T85" s="111" t="n"/>
      <c r="Y85" s="111" t="n"/>
      <c r="Z85" s="111" t="n"/>
      <c r="AE85" s="111" t="n"/>
      <c r="AF85" s="111" t="n"/>
      <c r="AK85" s="111" t="n"/>
      <c r="AL85" s="111" t="n"/>
      <c r="AR85" s="111" t="n"/>
      <c r="AS85" s="111" t="n"/>
      <c r="AT85" s="111" t="n"/>
    </row>
    <row r="86">
      <c r="E86" s="111" t="n"/>
      <c r="F86" s="111" t="n"/>
      <c r="G86" s="111" t="n"/>
      <c r="H86" s="111" t="n"/>
      <c r="M86" s="111" t="n"/>
      <c r="N86" s="111" t="n"/>
      <c r="S86" s="111" t="n"/>
      <c r="T86" s="111" t="n"/>
      <c r="Y86" s="111" t="n"/>
      <c r="Z86" s="111" t="n"/>
      <c r="AE86" s="111" t="n"/>
      <c r="AF86" s="111" t="n"/>
      <c r="AK86" s="111" t="n"/>
      <c r="AL86" s="111" t="n"/>
      <c r="AR86" s="111" t="n"/>
      <c r="AS86" s="111" t="n"/>
      <c r="AT86" s="111" t="n"/>
    </row>
    <row r="87">
      <c r="E87" s="111" t="n"/>
      <c r="F87" s="111" t="n"/>
      <c r="G87" s="111" t="n"/>
      <c r="H87" s="111" t="n"/>
      <c r="M87" s="111" t="n"/>
      <c r="N87" s="111" t="n"/>
      <c r="S87" s="111" t="n"/>
      <c r="T87" s="111" t="n"/>
      <c r="Y87" s="111" t="n"/>
      <c r="Z87" s="111" t="n"/>
      <c r="AE87" s="111" t="n"/>
      <c r="AF87" s="111" t="n"/>
      <c r="AK87" s="111" t="n"/>
      <c r="AL87" s="111" t="n"/>
      <c r="AR87" s="111" t="n"/>
      <c r="AS87" s="111" t="n"/>
      <c r="AT87" s="111" t="n"/>
    </row>
    <row r="88">
      <c r="E88" s="111" t="n"/>
      <c r="F88" s="111" t="n"/>
      <c r="G88" s="111" t="n"/>
      <c r="H88" s="111" t="n"/>
      <c r="M88" s="111" t="n"/>
      <c r="N88" s="111" t="n"/>
      <c r="S88" s="111" t="n"/>
      <c r="T88" s="111" t="n"/>
      <c r="Y88" s="111" t="n"/>
      <c r="Z88" s="111" t="n"/>
      <c r="AE88" s="111" t="n"/>
      <c r="AF88" s="111" t="n"/>
      <c r="AK88" s="111" t="n"/>
      <c r="AL88" s="111" t="n"/>
      <c r="AR88" s="111" t="n"/>
      <c r="AS88" s="111" t="n"/>
      <c r="AT88" s="111" t="n"/>
    </row>
    <row r="89">
      <c r="E89" s="111" t="n"/>
      <c r="F89" s="111" t="n"/>
      <c r="G89" s="111" t="n"/>
      <c r="H89" s="111" t="n"/>
      <c r="M89" s="111" t="n"/>
      <c r="N89" s="111" t="n"/>
      <c r="S89" s="111" t="n"/>
      <c r="T89" s="111" t="n"/>
      <c r="Y89" s="111" t="n"/>
      <c r="Z89" s="111" t="n"/>
      <c r="AE89" s="111" t="n"/>
      <c r="AF89" s="111" t="n"/>
      <c r="AK89" s="111" t="n"/>
      <c r="AL89" s="111" t="n"/>
      <c r="AR89" s="111" t="n"/>
      <c r="AS89" s="111" t="n"/>
      <c r="AT89" s="111" t="n"/>
    </row>
    <row r="90">
      <c r="E90" s="111" t="n"/>
      <c r="F90" s="111" t="n"/>
      <c r="G90" s="111" t="n"/>
      <c r="H90" s="111" t="n"/>
      <c r="M90" s="111" t="n"/>
      <c r="N90" s="111" t="n"/>
      <c r="S90" s="111" t="n"/>
      <c r="T90" s="111" t="n"/>
      <c r="Y90" s="111" t="n"/>
      <c r="Z90" s="111" t="n"/>
      <c r="AE90" s="111" t="n"/>
      <c r="AF90" s="111" t="n"/>
      <c r="AK90" s="111" t="n"/>
      <c r="AL90" s="111" t="n"/>
      <c r="AR90" s="111" t="n"/>
      <c r="AS90" s="111" t="n"/>
      <c r="AT90" s="111" t="n"/>
    </row>
    <row r="91">
      <c r="E91" s="111" t="n"/>
      <c r="F91" s="111" t="n"/>
      <c r="G91" s="111" t="n"/>
      <c r="H91" s="111" t="n"/>
      <c r="M91" s="111" t="n"/>
      <c r="N91" s="111" t="n"/>
      <c r="S91" s="111" t="n"/>
      <c r="T91" s="111" t="n"/>
      <c r="Y91" s="111" t="n"/>
      <c r="Z91" s="111" t="n"/>
      <c r="AE91" s="111" t="n"/>
      <c r="AF91" s="111" t="n"/>
      <c r="AK91" s="111" t="n"/>
      <c r="AL91" s="111" t="n"/>
      <c r="AR91" s="111" t="n"/>
      <c r="AS91" s="111" t="n"/>
      <c r="AT91" s="111" t="n"/>
    </row>
    <row r="92">
      <c r="E92" s="111" t="n"/>
      <c r="F92" s="111" t="n"/>
      <c r="G92" s="111" t="n"/>
      <c r="H92" s="111" t="n"/>
      <c r="M92" s="111" t="n"/>
      <c r="N92" s="111" t="n"/>
      <c r="S92" s="111" t="n"/>
      <c r="T92" s="111" t="n"/>
      <c r="Y92" s="111" t="n"/>
      <c r="Z92" s="111" t="n"/>
      <c r="AE92" s="111" t="n"/>
      <c r="AF92" s="111" t="n"/>
      <c r="AK92" s="111" t="n"/>
      <c r="AL92" s="111" t="n"/>
      <c r="AR92" s="111" t="n"/>
      <c r="AS92" s="111" t="n"/>
      <c r="AT92" s="111" t="n"/>
    </row>
    <row r="93">
      <c r="E93" s="111" t="n"/>
      <c r="F93" s="111" t="n"/>
      <c r="G93" s="111" t="n"/>
      <c r="H93" s="111" t="n"/>
      <c r="M93" s="111" t="n"/>
      <c r="N93" s="111" t="n"/>
      <c r="S93" s="111" t="n"/>
      <c r="T93" s="111" t="n"/>
      <c r="Y93" s="111" t="n"/>
      <c r="Z93" s="111" t="n"/>
      <c r="AE93" s="111" t="n"/>
      <c r="AF93" s="111" t="n"/>
      <c r="AK93" s="111" t="n"/>
      <c r="AL93" s="111" t="n"/>
      <c r="AR93" s="111" t="n"/>
      <c r="AS93" s="111" t="n"/>
      <c r="AT93" s="111" t="n"/>
    </row>
    <row r="94">
      <c r="E94" s="111" t="n"/>
      <c r="F94" s="111" t="n"/>
      <c r="G94" s="111" t="n"/>
      <c r="H94" s="111" t="n"/>
      <c r="M94" s="111" t="n"/>
      <c r="N94" s="111" t="n"/>
      <c r="S94" s="111" t="n"/>
      <c r="T94" s="111" t="n"/>
      <c r="Y94" s="111" t="n"/>
      <c r="Z94" s="111" t="n"/>
      <c r="AE94" s="111" t="n"/>
      <c r="AF94" s="111" t="n"/>
      <c r="AK94" s="111" t="n"/>
      <c r="AL94" s="111" t="n"/>
      <c r="AR94" s="111" t="n"/>
      <c r="AS94" s="111" t="n"/>
      <c r="AT94" s="111" t="n"/>
    </row>
    <row r="95">
      <c r="E95" s="111" t="n"/>
      <c r="F95" s="111" t="n"/>
      <c r="G95" s="111" t="n"/>
      <c r="H95" s="111" t="n"/>
      <c r="M95" s="111" t="n"/>
      <c r="N95" s="111" t="n"/>
      <c r="S95" s="111" t="n"/>
      <c r="T95" s="111" t="n"/>
      <c r="Y95" s="111" t="n"/>
      <c r="Z95" s="111" t="n"/>
      <c r="AE95" s="111" t="n"/>
      <c r="AF95" s="111" t="n"/>
      <c r="AK95" s="111" t="n"/>
      <c r="AL95" s="111" t="n"/>
      <c r="AR95" s="111" t="n"/>
      <c r="AS95" s="111" t="n"/>
      <c r="AT95" s="111" t="n"/>
    </row>
    <row r="96">
      <c r="E96" s="111" t="n"/>
      <c r="F96" s="111" t="n"/>
      <c r="G96" s="111" t="n"/>
      <c r="H96" s="111" t="n"/>
      <c r="M96" s="111" t="n"/>
      <c r="N96" s="111" t="n"/>
      <c r="S96" s="111" t="n"/>
      <c r="T96" s="111" t="n"/>
      <c r="Y96" s="111" t="n"/>
      <c r="Z96" s="111" t="n"/>
      <c r="AE96" s="111" t="n"/>
      <c r="AF96" s="111" t="n"/>
      <c r="AK96" s="111" t="n"/>
      <c r="AL96" s="111" t="n"/>
      <c r="AR96" s="111" t="n"/>
      <c r="AS96" s="111" t="n"/>
      <c r="AT96" s="111" t="n"/>
    </row>
    <row r="97">
      <c r="E97" s="111" t="n"/>
      <c r="F97" s="111" t="n"/>
      <c r="G97" s="111" t="n"/>
      <c r="H97" s="111" t="n"/>
      <c r="M97" s="111" t="n"/>
      <c r="N97" s="111" t="n"/>
      <c r="S97" s="111" t="n"/>
      <c r="T97" s="111" t="n"/>
      <c r="Y97" s="111" t="n"/>
      <c r="Z97" s="111" t="n"/>
      <c r="AE97" s="111" t="n"/>
      <c r="AF97" s="111" t="n"/>
      <c r="AK97" s="111" t="n"/>
      <c r="AL97" s="111" t="n"/>
      <c r="AR97" s="111" t="n"/>
      <c r="AS97" s="111" t="n"/>
      <c r="AT97" s="111" t="n"/>
    </row>
    <row r="98">
      <c r="E98" s="111" t="n"/>
      <c r="F98" s="111" t="n"/>
      <c r="G98" s="111" t="n"/>
      <c r="H98" s="111" t="n"/>
      <c r="M98" s="111" t="n"/>
      <c r="N98" s="111" t="n"/>
      <c r="S98" s="111" t="n"/>
      <c r="T98" s="111" t="n"/>
      <c r="Y98" s="111" t="n"/>
      <c r="Z98" s="111" t="n"/>
      <c r="AE98" s="111" t="n"/>
      <c r="AF98" s="111" t="n"/>
      <c r="AK98" s="111" t="n"/>
      <c r="AL98" s="111" t="n"/>
      <c r="AR98" s="111" t="n"/>
      <c r="AS98" s="111" t="n"/>
      <c r="AT98" s="111" t="n"/>
    </row>
    <row r="99">
      <c r="E99" s="111" t="n"/>
      <c r="F99" s="111" t="n"/>
      <c r="G99" s="111" t="n"/>
      <c r="H99" s="111" t="n"/>
      <c r="M99" s="111" t="n"/>
      <c r="N99" s="111" t="n"/>
      <c r="S99" s="111" t="n"/>
      <c r="T99" s="111" t="n"/>
      <c r="Y99" s="111" t="n"/>
      <c r="Z99" s="111" t="n"/>
      <c r="AE99" s="111" t="n"/>
      <c r="AF99" s="111" t="n"/>
      <c r="AK99" s="111" t="n"/>
      <c r="AL99" s="111" t="n"/>
      <c r="AR99" s="111" t="n"/>
      <c r="AS99" s="111" t="n"/>
      <c r="AT99" s="111" t="n"/>
    </row>
    <row r="100">
      <c r="E100" s="111" t="n"/>
      <c r="F100" s="111" t="n"/>
      <c r="G100" s="111" t="n"/>
      <c r="H100" s="111" t="n"/>
      <c r="M100" s="111" t="n"/>
      <c r="N100" s="111" t="n"/>
      <c r="S100" s="111" t="n"/>
      <c r="T100" s="111" t="n"/>
      <c r="Y100" s="111" t="n"/>
      <c r="Z100" s="111" t="n"/>
      <c r="AE100" s="111" t="n"/>
      <c r="AF100" s="111" t="n"/>
      <c r="AK100" s="111" t="n"/>
      <c r="AL100" s="111" t="n"/>
      <c r="AR100" s="111" t="n"/>
      <c r="AS100" s="111" t="n"/>
      <c r="AT100" s="111" t="n"/>
    </row>
    <row r="101">
      <c r="E101" s="111" t="n"/>
      <c r="F101" s="111" t="n"/>
      <c r="G101" s="111" t="n"/>
      <c r="H101" s="111" t="n"/>
      <c r="M101" s="111" t="n"/>
      <c r="N101" s="111" t="n"/>
      <c r="S101" s="111" t="n"/>
      <c r="T101" s="111" t="n"/>
      <c r="Y101" s="111" t="n"/>
      <c r="Z101" s="111" t="n"/>
      <c r="AE101" s="111" t="n"/>
      <c r="AF101" s="111" t="n"/>
      <c r="AK101" s="111" t="n"/>
      <c r="AL101" s="111" t="n"/>
      <c r="AR101" s="111" t="n"/>
      <c r="AS101" s="111" t="n"/>
      <c r="AT101" s="111" t="n"/>
    </row>
    <row r="102">
      <c r="E102" s="111" t="n"/>
      <c r="F102" s="111" t="n"/>
      <c r="G102" s="111" t="n"/>
      <c r="H102" s="111" t="n"/>
      <c r="M102" s="111" t="n"/>
      <c r="N102" s="111" t="n"/>
      <c r="S102" s="111" t="n"/>
      <c r="T102" s="111" t="n"/>
      <c r="Y102" s="111" t="n"/>
      <c r="Z102" s="111" t="n"/>
      <c r="AE102" s="111" t="n"/>
      <c r="AF102" s="111" t="n"/>
      <c r="AK102" s="111" t="n"/>
      <c r="AL102" s="111" t="n"/>
      <c r="AR102" s="111" t="n"/>
      <c r="AS102" s="111" t="n"/>
      <c r="AT102" s="111" t="n"/>
    </row>
  </sheetData>
  <mergeCells count="28">
    <mergeCell ref="AP2:AS2"/>
    <mergeCell ref="Q11:T11"/>
    <mergeCell ref="AA2:AD2"/>
    <mergeCell ref="BK11:BN11"/>
    <mergeCell ref="Q2:T2"/>
    <mergeCell ref="BK2:BN2"/>
    <mergeCell ref="AA11:AD11"/>
    <mergeCell ref="AK2:AN2"/>
    <mergeCell ref="L11:O11"/>
    <mergeCell ref="BF11:BI11"/>
    <mergeCell ref="BF2:BI2"/>
    <mergeCell ref="BP11:BS11"/>
    <mergeCell ref="V2:Y2"/>
    <mergeCell ref="L2:O2"/>
    <mergeCell ref="G2:J2"/>
    <mergeCell ref="G11:J11"/>
    <mergeCell ref="BA11:BD11"/>
    <mergeCell ref="BA2:BD2"/>
    <mergeCell ref="AP11:AS11"/>
    <mergeCell ref="B11:E11"/>
    <mergeCell ref="B2:E2"/>
    <mergeCell ref="AV2:AY2"/>
    <mergeCell ref="AV11:AY11"/>
    <mergeCell ref="BP2:BS2"/>
    <mergeCell ref="AK11:AN11"/>
    <mergeCell ref="V11:Y11"/>
    <mergeCell ref="AF2:AI2"/>
    <mergeCell ref="AF11:AI11"/>
  </mergeCells>
  <pageMargins left="0.25" right="0.25" top="0.75" bottom="0.75" header="0.3" footer="0.3"/>
  <pageSetup orientation="landscape" paperSize="9" scale="32" fitToWidth="0"/>
  <colBreaks count="1" manualBreakCount="1">
    <brk id="30" min="66" max="187" man="1"/>
  </colBreaks>
  <drawing xmlns:r="http://schemas.openxmlformats.org/officeDocument/2006/relationships" r:id="rId1"/>
</worksheet>
</file>

<file path=xl/worksheets/sheet4.xml><?xml version="1.0" encoding="utf-8"?>
<worksheet xmlns="http://schemas.openxmlformats.org/spreadsheetml/2006/main">
  <sheetPr>
    <tabColor rgb="FF00B0F0"/>
    <outlinePr summaryBelow="1" summaryRight="1"/>
    <pageSetUpPr fitToPage="1"/>
  </sheetPr>
  <dimension ref="A1:H40"/>
  <sheetViews>
    <sheetView view="pageBreakPreview" zoomScale="90" zoomScaleNormal="70" zoomScaleSheetLayoutView="90" workbookViewId="0">
      <selection activeCell="J8" sqref="J8"/>
    </sheetView>
  </sheetViews>
  <sheetFormatPr baseColWidth="10" defaultRowHeight="12.75"/>
  <cols>
    <col width="5.28515625" customWidth="1" style="259" min="1" max="1"/>
    <col width="5" customWidth="1" style="259" min="2" max="2"/>
    <col width="20.28515625" customWidth="1" style="259" min="4" max="4"/>
    <col width="17.28515625" customWidth="1" style="259" min="5" max="7"/>
    <col width="5" customWidth="1" style="259" min="8" max="8"/>
  </cols>
  <sheetData>
    <row r="1">
      <c r="C1" s="65" t="inlineStr">
        <is>
          <t>Numéro</t>
        </is>
      </c>
      <c r="D1" s="151" t="n">
        <v>17</v>
      </c>
    </row>
    <row r="2" ht="26.25" customHeight="1" s="259">
      <c r="B2" s="138" t="n"/>
      <c r="C2" s="297" t="n"/>
      <c r="D2" s="296" t="inlineStr">
        <is>
          <t>FICHE CARACTERISATION</t>
        </is>
      </c>
      <c r="E2" s="297" t="n"/>
      <c r="F2" s="297" t="n"/>
      <c r="G2" s="297" t="n"/>
      <c r="H2" s="140" t="n"/>
    </row>
    <row r="3" ht="13.5" customHeight="1" s="259" thickBot="1">
      <c r="B3" s="141" t="n"/>
      <c r="H3" s="142" t="n"/>
    </row>
    <row r="4" ht="30" customHeight="1" s="259" thickBot="1">
      <c r="B4" s="141" t="n"/>
      <c r="D4" s="143" t="inlineStr">
        <is>
          <t xml:space="preserve">Flux : </t>
        </is>
      </c>
      <c r="E4" s="299">
        <f>IF(VLOOKUP($D$1,SAISIE!A:BO,A8,FALSE)="","",VLOOKUP($D$1,SAISIE!A:BO,A8,FALSE))</f>
        <v/>
      </c>
      <c r="F4" s="300" t="n"/>
      <c r="G4" s="277" t="n"/>
      <c r="H4" s="142" t="n"/>
    </row>
    <row r="5" ht="13.5" customHeight="1" s="259" thickBot="1">
      <c r="B5" s="141" t="n"/>
      <c r="H5" s="142" t="n"/>
    </row>
    <row r="6" ht="30" customHeight="1" s="259" thickBot="1">
      <c r="B6" s="141" t="n"/>
      <c r="C6" s="143" t="inlineStr">
        <is>
          <t>Date :</t>
        </is>
      </c>
      <c r="D6" s="162">
        <f>IF(VLOOKUP($D$1,SAISIE!A:BO,A9,FALSE)="","",VLOOKUP($D$1,SAISIE!A:BO,A9,FALSE))</f>
        <v/>
      </c>
      <c r="E6" s="143" t="inlineStr">
        <is>
          <t>Equipe :</t>
        </is>
      </c>
      <c r="F6" s="276">
        <f>IF(VLOOKUP($D$1,SAISIE!A:BO,A10,FALSE)="","",VLOOKUP($D$1,SAISIE!A:BO,A10,FALSE))</f>
        <v/>
      </c>
      <c r="G6" s="277" t="n"/>
      <c r="H6" s="142" t="n"/>
    </row>
    <row r="7" ht="13.5" customHeight="1" s="259" thickBot="1">
      <c r="A7" s="154" t="n">
        <v>1</v>
      </c>
      <c r="B7" s="141" t="n"/>
      <c r="H7" s="142" t="n"/>
    </row>
    <row r="8" ht="30" customHeight="1" s="259" thickBot="1">
      <c r="A8" s="154" t="n">
        <v>2</v>
      </c>
      <c r="B8" s="141" t="n"/>
      <c r="E8" s="143" t="inlineStr">
        <is>
          <t>Provenance :</t>
        </is>
      </c>
      <c r="F8" s="286">
        <f>IF(VLOOKUP($D$1,SAISIE!A:BO,A11,FALSE)="","",VLOOKUP($D$1,SAISIE!A:BO,A11,FALSE))</f>
        <v/>
      </c>
      <c r="G8" s="277" t="n"/>
      <c r="H8" s="142" t="n"/>
    </row>
    <row r="9">
      <c r="A9" s="154" t="n">
        <v>3</v>
      </c>
      <c r="B9" s="141" t="n"/>
      <c r="H9" s="142" t="n"/>
    </row>
    <row r="10" ht="15" customHeight="1" s="259">
      <c r="A10" s="154" t="n">
        <v>4</v>
      </c>
      <c r="B10" s="141" t="n"/>
      <c r="C10" s="144" t="n"/>
      <c r="E10" s="145" t="n"/>
      <c r="F10" s="145" t="n"/>
      <c r="G10" s="145" t="n"/>
      <c r="H10" s="142" t="n"/>
    </row>
    <row r="11" ht="30" customHeight="1" s="259">
      <c r="A11" s="154" t="n">
        <v>5</v>
      </c>
      <c r="B11" s="141" t="n"/>
      <c r="C11" s="128" t="inlineStr">
        <is>
          <t>CATEGORIE</t>
        </is>
      </c>
      <c r="D11" s="280" t="inlineStr">
        <is>
          <t>MATIERE</t>
        </is>
      </c>
      <c r="E11" s="281" t="n"/>
      <c r="F11" s="128" t="inlineStr">
        <is>
          <t>Poids net (Kg)</t>
        </is>
      </c>
      <c r="G11" s="128" t="inlineStr">
        <is>
          <t xml:space="preserve">% total </t>
        </is>
      </c>
      <c r="H11" s="142" t="n"/>
    </row>
    <row r="12" ht="30" customHeight="1" s="259">
      <c r="A12" s="154" t="n">
        <v>6</v>
      </c>
      <c r="B12" s="141" t="n"/>
      <c r="C12" s="282" t="inlineStr">
        <is>
          <t>FIBREUX</t>
        </is>
      </c>
      <c r="D12" s="279" t="inlineStr">
        <is>
          <t>JRM (1.11)</t>
        </is>
      </c>
      <c r="E12" s="249" t="n"/>
      <c r="F12" s="305">
        <f>IF(VLOOKUP($D$1,SAISIE!A:BO,A12,FALSE)="","",VLOOKUP($D$1,SAISIE!A:BO,A12,FALSE))</f>
        <v/>
      </c>
      <c r="G12" s="129">
        <f>F12/F27</f>
        <v/>
      </c>
      <c r="H12" s="142" t="n"/>
    </row>
    <row r="13" ht="30" customHeight="1" s="259">
      <c r="A13" s="154" t="n">
        <v>7</v>
      </c>
      <c r="B13" s="141" t="n"/>
      <c r="C13" s="283" t="n"/>
      <c r="D13" s="279" t="inlineStr">
        <is>
          <t>EMR (1.04) Cartonette</t>
        </is>
      </c>
      <c r="E13" s="249" t="n"/>
      <c r="F13" s="305">
        <f>IF(VLOOKUP($D$1,SAISIE!A:BO,A13,FALSE)="","",VLOOKUP($D$1,SAISIE!A:BO,A13,FALSE))</f>
        <v/>
      </c>
      <c r="G13" s="129">
        <f>F13/F27</f>
        <v/>
      </c>
      <c r="H13" s="142" t="n"/>
    </row>
    <row r="14" ht="30" customHeight="1" s="259">
      <c r="A14" s="154" t="n">
        <v>8</v>
      </c>
      <c r="B14" s="141" t="n"/>
      <c r="C14" s="283" t="n"/>
      <c r="D14" s="279" t="inlineStr">
        <is>
          <t>CARTON (1.05) Carton brun</t>
        </is>
      </c>
      <c r="E14" s="249" t="n"/>
      <c r="F14" s="305">
        <f>IF(VLOOKUP($D$1,SAISIE!A:BO,A14,FALSE)="","",VLOOKUP($D$1,SAISIE!A:BO,A14,FALSE))</f>
        <v/>
      </c>
      <c r="G14" s="129">
        <f>F14/F27</f>
        <v/>
      </c>
      <c r="H14" s="142" t="n"/>
    </row>
    <row r="15" ht="30" customHeight="1" s="259">
      <c r="A15" s="154" t="n">
        <v>9</v>
      </c>
      <c r="B15" s="141" t="n"/>
      <c r="C15" s="284" t="n"/>
      <c r="D15" s="279" t="inlineStr">
        <is>
          <t>GM (1.02)</t>
        </is>
      </c>
      <c r="E15" s="249" t="n"/>
      <c r="F15" s="305">
        <f>IF(VLOOKUP($D$1,SAISIE!A:BO,A15,FALSE)="","",VLOOKUP($D$1,SAISIE!A:BO,A15,FALSE))</f>
        <v/>
      </c>
      <c r="G15" s="129">
        <f>F15/F27</f>
        <v/>
      </c>
      <c r="H15" s="142" t="n"/>
    </row>
    <row r="16" ht="30" customHeight="1" s="259">
      <c r="A16" s="154" t="n">
        <v>10</v>
      </c>
      <c r="B16" s="141" t="n"/>
      <c r="C16" s="285" t="inlineStr">
        <is>
          <t>PLASTIQUES</t>
        </is>
      </c>
      <c r="D16" s="275" t="inlineStr">
        <is>
          <t>PET clair (Q9)</t>
        </is>
      </c>
      <c r="E16" s="249" t="n"/>
      <c r="F16" s="303">
        <f>IF(VLOOKUP($D$1,SAISIE!A:BO,A16,FALSE)="","",VLOOKUP($D$1,SAISIE!A:BO,A16,FALSE))</f>
        <v/>
      </c>
      <c r="G16" s="133">
        <f>F16/F27</f>
        <v/>
      </c>
      <c r="H16" s="142" t="n"/>
    </row>
    <row r="17" ht="30" customHeight="1" s="259">
      <c r="A17" s="154" t="n">
        <v>11</v>
      </c>
      <c r="B17" s="141" t="n"/>
      <c r="C17" s="283" t="n"/>
      <c r="D17" s="275" t="inlineStr">
        <is>
          <t>Flux dev</t>
        </is>
      </c>
      <c r="E17" s="249" t="n"/>
      <c r="F17" s="303">
        <f>IF(VLOOKUP($D$1,SAISIE!A:BO,A17,FALSE)="","",VLOOKUP($D$1,SAISIE!A:BO,A17,FALSE))</f>
        <v/>
      </c>
      <c r="G17" s="133">
        <f>F17/F27</f>
        <v/>
      </c>
      <c r="H17" s="142" t="n"/>
    </row>
    <row r="18" ht="30" customHeight="1" s="259">
      <c r="A18" s="154" t="n">
        <v>12</v>
      </c>
      <c r="B18" s="141" t="n"/>
      <c r="C18" s="283" t="n"/>
      <c r="D18" s="275" t="inlineStr">
        <is>
          <t>PET B</t>
        </is>
      </c>
      <c r="E18" s="249" t="n"/>
      <c r="F18" s="303">
        <f>IF(VLOOKUP($D$1,SAISIE!A:BO,A18,FALSE)="","",VLOOKUP($D$1,SAISIE!A:BO,A18,FALSE))</f>
        <v/>
      </c>
      <c r="G18" s="133">
        <f>F18/F27</f>
        <v/>
      </c>
      <c r="H18" s="142" t="n"/>
    </row>
    <row r="19" ht="30" customHeight="1" s="259">
      <c r="A19" s="154" t="n">
        <v>13</v>
      </c>
      <c r="B19" s="141" t="n"/>
      <c r="C19" s="283" t="n"/>
      <c r="D19" s="275" t="inlineStr">
        <is>
          <t>PEPP</t>
        </is>
      </c>
      <c r="E19" s="249" t="n"/>
      <c r="F19" s="303">
        <f>IF(VLOOKUP($D$1,SAISIE!A:BO,A19,FALSE)="","",VLOOKUP($D$1,SAISIE!A:BO,A19,FALSE))</f>
        <v/>
      </c>
      <c r="G19" s="133">
        <f>F19/F27</f>
        <v/>
      </c>
      <c r="H19" s="142" t="n"/>
    </row>
    <row r="20" ht="30" customHeight="1" s="259">
      <c r="A20" s="154" t="n">
        <v>14</v>
      </c>
      <c r="B20" s="141" t="n"/>
      <c r="C20" s="283" t="n"/>
      <c r="D20" s="274" t="inlineStr">
        <is>
          <t>ELA (5.03)</t>
        </is>
      </c>
      <c r="E20" s="249" t="n"/>
      <c r="F20" s="303">
        <f>IF(VLOOKUP($D$1,SAISIE!A:BO,A20,FALSE)="","",VLOOKUP($D$1,SAISIE!A:BO,A20,FALSE))</f>
        <v/>
      </c>
      <c r="G20" s="133">
        <f>F20/F27</f>
        <v/>
      </c>
      <c r="H20" s="142" t="n"/>
    </row>
    <row r="21" ht="30" customHeight="1" s="259">
      <c r="A21" s="154" t="n">
        <v>15</v>
      </c>
      <c r="B21" s="141" t="n"/>
      <c r="C21" s="284" t="n"/>
      <c r="D21" s="275" t="inlineStr">
        <is>
          <t>Films</t>
        </is>
      </c>
      <c r="E21" s="249" t="n"/>
      <c r="F21" s="303">
        <f>IF(VLOOKUP($D$1,SAISIE!A:BO,A21,FALSE)="","",VLOOKUP($D$1,SAISIE!A:BO,A21,FALSE))</f>
        <v/>
      </c>
      <c r="G21" s="133">
        <f>F21/F27</f>
        <v/>
      </c>
      <c r="H21" s="142" t="n"/>
    </row>
    <row r="22" ht="30" customHeight="1" s="259">
      <c r="A22" s="154" t="n">
        <v>16</v>
      </c>
      <c r="B22" s="141" t="n"/>
      <c r="C22" s="301" t="inlineStr">
        <is>
          <t>METAUX</t>
        </is>
      </c>
      <c r="D22" s="278" t="inlineStr">
        <is>
          <t>Acier</t>
        </is>
      </c>
      <c r="E22" s="249" t="n"/>
      <c r="F22" s="306">
        <f>IF(VLOOKUP($D$1,SAISIE!A:BO,A22,FALSE)="","",VLOOKUP($D$1,SAISIE!A:BO,A22,FALSE))</f>
        <v/>
      </c>
      <c r="G22" s="155">
        <f>F22/F27</f>
        <v/>
      </c>
      <c r="H22" s="142" t="n"/>
    </row>
    <row r="23" ht="30" customHeight="1" s="259">
      <c r="A23" s="154" t="n">
        <v>17</v>
      </c>
      <c r="B23" s="141" t="n"/>
      <c r="C23" s="283" t="n"/>
      <c r="D23" s="278" t="inlineStr">
        <is>
          <t>Aluminium</t>
        </is>
      </c>
      <c r="E23" s="249" t="n"/>
      <c r="F23" s="306">
        <f>IF(VLOOKUP($D$1,SAISIE!A:BO,A23,FALSE)="","",VLOOKUP($D$1,SAISIE!A:BO,A23,FALSE))</f>
        <v/>
      </c>
      <c r="G23" s="155">
        <f>F23/F27</f>
        <v/>
      </c>
      <c r="H23" s="142" t="n"/>
    </row>
    <row r="24" ht="30" customHeight="1" s="259">
      <c r="A24" s="154" t="n">
        <v>18</v>
      </c>
      <c r="B24" s="141" t="n"/>
      <c r="C24" s="283" t="n"/>
      <c r="D24" s="278" t="inlineStr">
        <is>
          <t>Petit Alu</t>
        </is>
      </c>
      <c r="E24" s="249" t="n"/>
      <c r="F24" s="306">
        <f>IF(VLOOKUP($D$1,SAISIE!A:BO,A24,FALSE)="","",VLOOKUP($D$1,SAISIE!A:BO,A24,FALSE))</f>
        <v/>
      </c>
      <c r="G24" s="155">
        <f>F24/F27</f>
        <v/>
      </c>
      <c r="H24" s="142" t="n"/>
    </row>
    <row r="25" ht="30" customHeight="1" s="259">
      <c r="A25" s="154" t="n">
        <v>19</v>
      </c>
      <c r="B25" s="141" t="n"/>
      <c r="C25" s="150" t="inlineStr">
        <is>
          <t>REFUS</t>
        </is>
      </c>
      <c r="D25" s="298" t="inlineStr">
        <is>
          <t>Refus vrais</t>
        </is>
      </c>
      <c r="E25" s="249" t="n"/>
      <c r="F25" s="304">
        <f>IF(VLOOKUP($D$1,SAISIE!A:BO,A25,FALSE)="","",VLOOKUP($D$1,SAISIE!A:BO,A25,FALSE))</f>
        <v/>
      </c>
      <c r="G25" s="156">
        <f>F25/F27</f>
        <v/>
      </c>
      <c r="H25" s="142" t="n"/>
    </row>
    <row r="26" ht="15.75" customHeight="1" s="259" thickBot="1">
      <c r="A26" s="154" t="n">
        <v>20</v>
      </c>
      <c r="B26" s="141" t="n"/>
      <c r="C26" s="134" t="n"/>
      <c r="D26" s="135" t="n"/>
      <c r="E26" s="136" t="n"/>
      <c r="F26" s="136" t="n"/>
      <c r="G26" s="137" t="n"/>
      <c r="H26" s="142" t="n"/>
    </row>
    <row r="27" ht="24.6" customHeight="1" s="259" thickBot="1">
      <c r="A27" s="154" t="n">
        <v>21</v>
      </c>
      <c r="B27" s="141" t="n"/>
      <c r="C27" s="287" t="n"/>
      <c r="E27" s="161" t="inlineStr">
        <is>
          <t>Total :</t>
        </is>
      </c>
      <c r="F27" s="307">
        <f>SUM(F12:F25)</f>
        <v/>
      </c>
      <c r="G27" s="158">
        <f>IF(VLOOKUP($D$1,SAISIE!A:BO,A27,FALSE)="","",VLOOKUP($D$1,SAISIE!A:BO,A27,FALSE))</f>
        <v/>
      </c>
      <c r="H27" s="142" t="n"/>
    </row>
    <row r="28" ht="15.75" customHeight="1" s="259">
      <c r="A28" s="154" t="n">
        <v>22</v>
      </c>
      <c r="B28" s="141" t="n"/>
      <c r="C28" s="160" t="inlineStr">
        <is>
          <t>Remarques :</t>
        </is>
      </c>
      <c r="H28" s="142" t="n"/>
    </row>
    <row r="29" ht="17.1" customHeight="1" s="259">
      <c r="B29" s="141" t="n"/>
      <c r="C29" s="288">
        <f>IF(VLOOKUP($D$1,SAISIE!A:BO,A28,FALSE)="","",VLOOKUP($D$1,SAISIE!A:BO,A28,FALSE))</f>
        <v/>
      </c>
      <c r="D29" s="289" t="n"/>
      <c r="E29" s="289" t="n"/>
      <c r="F29" s="289" t="n"/>
      <c r="G29" s="290" t="n"/>
      <c r="H29" s="142" t="n"/>
    </row>
    <row r="30">
      <c r="B30" s="141" t="n"/>
      <c r="C30" s="291" t="n"/>
      <c r="G30" s="292" t="n"/>
      <c r="H30" s="142" t="n"/>
    </row>
    <row r="31" ht="12.6" customHeight="1" s="259">
      <c r="B31" s="141" t="n"/>
      <c r="C31" s="291" t="n"/>
      <c r="G31" s="292" t="n"/>
      <c r="H31" s="142" t="n"/>
    </row>
    <row r="32" ht="12.6" customHeight="1" s="259">
      <c r="B32" s="141" t="n"/>
      <c r="C32" s="291" t="n"/>
      <c r="G32" s="292" t="n"/>
      <c r="H32" s="142" t="n"/>
    </row>
    <row r="33" ht="12.6" customHeight="1" s="259">
      <c r="B33" s="141" t="n"/>
      <c r="C33" s="291" t="n"/>
      <c r="G33" s="292" t="n"/>
      <c r="H33" s="142" t="n"/>
    </row>
    <row r="34" ht="12.6" customHeight="1" s="259">
      <c r="B34" s="141" t="n"/>
      <c r="C34" s="291" t="n"/>
      <c r="G34" s="292" t="n"/>
      <c r="H34" s="142" t="n"/>
    </row>
    <row r="35" ht="12.6" customHeight="1" s="259">
      <c r="B35" s="141" t="n"/>
      <c r="C35" s="291" t="n"/>
      <c r="G35" s="292" t="n"/>
      <c r="H35" s="142" t="n"/>
    </row>
    <row r="36" ht="12.6" customHeight="1" s="259">
      <c r="B36" s="141" t="n"/>
      <c r="C36" s="291" t="n"/>
      <c r="G36" s="292" t="n"/>
      <c r="H36" s="142" t="n"/>
    </row>
    <row r="37" ht="12.6" customHeight="1" s="259">
      <c r="B37" s="141" t="n"/>
      <c r="C37" s="291" t="n"/>
      <c r="G37" s="292" t="n"/>
      <c r="H37" s="142" t="n"/>
    </row>
    <row r="38" ht="12.6" customHeight="1" s="259">
      <c r="B38" s="141" t="n"/>
      <c r="C38" s="291" t="n"/>
      <c r="G38" s="292" t="n"/>
      <c r="H38" s="142" t="n"/>
    </row>
    <row r="39" ht="12.6" customHeight="1" s="259">
      <c r="B39" s="141" t="n"/>
      <c r="C39" s="293" t="n"/>
      <c r="D39" s="294" t="n"/>
      <c r="E39" s="294" t="n"/>
      <c r="F39" s="294" t="n"/>
      <c r="G39" s="295" t="n"/>
      <c r="H39" s="142" t="n"/>
    </row>
    <row r="40">
      <c r="B40" s="146" t="n"/>
      <c r="C40" s="147" t="n"/>
      <c r="D40" s="147" t="n"/>
      <c r="E40" s="147" t="n"/>
      <c r="F40" s="147" t="n"/>
      <c r="G40" s="147" t="n"/>
      <c r="H40" s="148" t="n"/>
    </row>
  </sheetData>
  <mergeCells count="24">
    <mergeCell ref="D20:E20"/>
    <mergeCell ref="D19:E19"/>
    <mergeCell ref="F6:G6"/>
    <mergeCell ref="D22:E22"/>
    <mergeCell ref="D21:E21"/>
    <mergeCell ref="D13:E13"/>
    <mergeCell ref="D11:E11"/>
    <mergeCell ref="C12:C15"/>
    <mergeCell ref="C16:C21"/>
    <mergeCell ref="D17:E17"/>
    <mergeCell ref="F8:G8"/>
    <mergeCell ref="D16:E16"/>
    <mergeCell ref="C27:D27"/>
    <mergeCell ref="C29:G39"/>
    <mergeCell ref="D18:E18"/>
    <mergeCell ref="D2:G2"/>
    <mergeCell ref="D12:E12"/>
    <mergeCell ref="D25:E25"/>
    <mergeCell ref="D24:E24"/>
    <mergeCell ref="D15:E15"/>
    <mergeCell ref="D23:E23"/>
    <mergeCell ref="D14:E14"/>
    <mergeCell ref="E4:G4"/>
    <mergeCell ref="C22:C24"/>
  </mergeCells>
  <pageMargins left="0.7" right="0.7" top="0.75" bottom="0.75" header="0.3" footer="0.3"/>
  <pageSetup orientation="portrait" paperSize="9" scale="89"/>
</worksheet>
</file>

<file path=xl/worksheets/sheet5.xml><?xml version="1.0" encoding="utf-8"?>
<worksheet xmlns="http://schemas.openxmlformats.org/spreadsheetml/2006/main">
  <sheetPr codeName="Feuil5">
    <tabColor rgb="FF00B0F0"/>
    <outlinePr summaryBelow="1" summaryRight="1"/>
    <pageSetUpPr/>
  </sheetPr>
  <dimension ref="A1:H40"/>
  <sheetViews>
    <sheetView topLeftCell="A5" zoomScale="70" zoomScaleNormal="70" workbookViewId="0">
      <selection activeCell="D20" sqref="D20:E20"/>
    </sheetView>
  </sheetViews>
  <sheetFormatPr baseColWidth="10" defaultRowHeight="12.75"/>
  <cols>
    <col width="5.28515625" customWidth="1" style="259" min="1" max="1"/>
    <col width="5" customWidth="1" style="259" min="2" max="2"/>
    <col width="20.28515625" customWidth="1" style="259" min="4" max="4"/>
    <col width="17.28515625" customWidth="1" style="259" min="5" max="7"/>
    <col width="5" customWidth="1" style="259" min="8" max="8"/>
  </cols>
  <sheetData>
    <row r="1">
      <c r="C1" s="65" t="inlineStr">
        <is>
          <t>Numéro</t>
        </is>
      </c>
      <c r="D1" s="151" t="n">
        <v>93</v>
      </c>
    </row>
    <row r="2" ht="26.25" customHeight="1" s="259">
      <c r="B2" s="138" t="n"/>
      <c r="C2" s="297" t="n"/>
      <c r="D2" s="296" t="inlineStr">
        <is>
          <t>FICHE CARACTERISATION</t>
        </is>
      </c>
      <c r="E2" s="297" t="n"/>
      <c r="F2" s="297" t="n"/>
      <c r="G2" s="297" t="n"/>
      <c r="H2" s="140" t="n"/>
    </row>
    <row r="3" ht="13.5" customHeight="1" s="259" thickBot="1">
      <c r="B3" s="141" t="n"/>
      <c r="H3" s="142" t="n"/>
    </row>
    <row r="4" ht="30" customHeight="1" s="259" thickBot="1">
      <c r="B4" s="141" t="n"/>
      <c r="D4" s="143" t="inlineStr">
        <is>
          <t xml:space="preserve">Flux : </t>
        </is>
      </c>
      <c r="E4" s="299">
        <f>IF(VLOOKUP($D$1,SAISIE!A:BO,A8,FALSE)="","",VLOOKUP($D$1,SAISIE!A:BO,A8,FALSE))</f>
        <v/>
      </c>
      <c r="F4" s="300" t="n"/>
      <c r="G4" s="277" t="n"/>
      <c r="H4" s="142" t="n"/>
    </row>
    <row r="5" ht="13.5" customHeight="1" s="259" thickBot="1">
      <c r="B5" s="141" t="n"/>
      <c r="H5" s="142" t="n"/>
    </row>
    <row r="6" ht="30" customHeight="1" s="259" thickBot="1">
      <c r="B6" s="141" t="n"/>
      <c r="C6" s="143" t="inlineStr">
        <is>
          <t>Date :</t>
        </is>
      </c>
      <c r="D6" s="162">
        <f>IF(VLOOKUP($D$1,SAISIE!A:BO,A9,FALSE)="","",VLOOKUP($D$1,SAISIE!A:BO,A9,FALSE))</f>
        <v/>
      </c>
      <c r="E6" s="143" t="inlineStr">
        <is>
          <t>Equipe :</t>
        </is>
      </c>
      <c r="F6" s="276">
        <f>IF(VLOOKUP($D$1,SAISIE!A:BO,A10,FALSE)="","",VLOOKUP($D$1,SAISIE!A:BO,A10,FALSE))</f>
        <v/>
      </c>
      <c r="G6" s="277" t="n"/>
      <c r="H6" s="142" t="n"/>
    </row>
    <row r="7" ht="13.5" customHeight="1" s="259" thickBot="1">
      <c r="A7" s="154" t="n">
        <v>1</v>
      </c>
      <c r="B7" s="141" t="n"/>
      <c r="H7" s="142" t="n"/>
    </row>
    <row r="8" ht="30" customHeight="1" s="259" thickBot="1">
      <c r="A8" s="154" t="n">
        <v>2</v>
      </c>
      <c r="B8" s="141" t="n"/>
      <c r="E8" s="143" t="inlineStr">
        <is>
          <t>Provenance :</t>
        </is>
      </c>
      <c r="F8" s="286">
        <f>IF(VLOOKUP($D$1,SAISIE!A:BO,A11,FALSE)="","",VLOOKUP($D$1,SAISIE!A:BO,A11,FALSE))</f>
        <v/>
      </c>
      <c r="G8" s="277" t="n"/>
      <c r="H8" s="142" t="n"/>
    </row>
    <row r="9">
      <c r="A9" s="154" t="n">
        <v>3</v>
      </c>
      <c r="B9" s="141" t="n"/>
      <c r="H9" s="142" t="n"/>
    </row>
    <row r="10" ht="15" customHeight="1" s="259">
      <c r="A10" s="154" t="n">
        <v>4</v>
      </c>
      <c r="B10" s="141" t="n"/>
      <c r="C10" s="144" t="n"/>
      <c r="E10" s="145" t="n"/>
      <c r="F10" s="145" t="n"/>
      <c r="G10" s="145" t="n"/>
      <c r="H10" s="142" t="n"/>
    </row>
    <row r="11" ht="30" customHeight="1" s="259">
      <c r="A11" s="154" t="n">
        <v>5</v>
      </c>
      <c r="B11" s="141" t="n"/>
      <c r="C11" s="128" t="inlineStr">
        <is>
          <t>CATEGORIE</t>
        </is>
      </c>
      <c r="D11" s="280" t="inlineStr">
        <is>
          <t>MATIERE</t>
        </is>
      </c>
      <c r="E11" s="281" t="n"/>
      <c r="F11" s="128" t="inlineStr">
        <is>
          <t>Poids net (Kg)</t>
        </is>
      </c>
      <c r="G11" s="128" t="inlineStr">
        <is>
          <t xml:space="preserve">% total </t>
        </is>
      </c>
      <c r="H11" s="142" t="n"/>
    </row>
    <row r="12" ht="30" customHeight="1" s="259">
      <c r="A12" s="154" t="n">
        <v>6</v>
      </c>
      <c r="B12" s="141" t="n"/>
      <c r="C12" s="282" t="inlineStr">
        <is>
          <t>FIBREUX</t>
        </is>
      </c>
      <c r="D12" s="279" t="inlineStr">
        <is>
          <t>JRM (1.11)</t>
        </is>
      </c>
      <c r="E12" s="249" t="n"/>
      <c r="F12" s="305">
        <f>IF(VLOOKUP($D$1,SAISIE!A:BO,A12,FALSE)="","",VLOOKUP($D$1,SAISIE!A:BO,A12,FALSE))</f>
        <v/>
      </c>
      <c r="G12" s="129">
        <f>F12/$F$27</f>
        <v/>
      </c>
      <c r="H12" s="142" t="n"/>
    </row>
    <row r="13" ht="30" customHeight="1" s="259">
      <c r="A13" s="154" t="n">
        <v>7</v>
      </c>
      <c r="B13" s="141" t="n"/>
      <c r="C13" s="283" t="n"/>
      <c r="D13" s="279" t="inlineStr">
        <is>
          <t>EMR (1.04)</t>
        </is>
      </c>
      <c r="E13" s="249" t="n"/>
      <c r="F13" s="305">
        <f>IF(VLOOKUP($D$1,SAISIE!A:BO,A13,FALSE)="","",VLOOKUP($D$1,SAISIE!A:BO,A13,FALSE))</f>
        <v/>
      </c>
      <c r="G13" s="129">
        <f>F13/$F$27</f>
        <v/>
      </c>
      <c r="H13" s="142" t="n"/>
    </row>
    <row r="14" ht="30" customHeight="1" s="259">
      <c r="A14" s="154" t="n">
        <v>8</v>
      </c>
      <c r="B14" s="141" t="n"/>
      <c r="C14" s="283" t="n"/>
      <c r="D14" s="279" t="inlineStr">
        <is>
          <t>CARTON (1.05)</t>
        </is>
      </c>
      <c r="E14" s="249" t="n"/>
      <c r="F14" s="305">
        <f>IF(VLOOKUP($D$1,SAISIE!A:BO,A14,FALSE)="","",VLOOKUP($D$1,SAISIE!A:BO,A14,FALSE))</f>
        <v/>
      </c>
      <c r="G14" s="129">
        <f>F14/$F$27</f>
        <v/>
      </c>
      <c r="H14" s="142" t="n"/>
    </row>
    <row r="15" ht="30" customHeight="1" s="259">
      <c r="A15" s="154" t="n">
        <v>9</v>
      </c>
      <c r="B15" s="141" t="n"/>
      <c r="C15" s="283" t="n"/>
      <c r="D15" s="302" t="inlineStr">
        <is>
          <t>TOTAL EMR</t>
        </is>
      </c>
      <c r="E15" s="249" t="n"/>
      <c r="F15" s="132" t="n"/>
      <c r="G15" s="130">
        <f>SUM(G13:G14)</f>
        <v/>
      </c>
      <c r="H15" s="142" t="n"/>
    </row>
    <row r="16" ht="30" customHeight="1" s="259">
      <c r="A16" s="154" t="n">
        <v>10</v>
      </c>
      <c r="B16" s="141" t="n"/>
      <c r="C16" s="284" t="n"/>
      <c r="D16" s="279" t="inlineStr">
        <is>
          <t>GM (1.02)</t>
        </is>
      </c>
      <c r="E16" s="249" t="n"/>
      <c r="F16" s="305">
        <f>IF(VLOOKUP($D$1,SAISIE!A:BO,A15,FALSE)="","",VLOOKUP($D$1,SAISIE!A:BO,A15,FALSE))</f>
        <v/>
      </c>
      <c r="G16" s="129">
        <f>F16/$F$27</f>
        <v/>
      </c>
      <c r="H16" s="142" t="n"/>
    </row>
    <row r="17" ht="30" customHeight="1" s="259">
      <c r="A17" s="154" t="n">
        <v>11</v>
      </c>
      <c r="B17" s="141" t="n"/>
      <c r="C17" s="285" t="inlineStr">
        <is>
          <t>PLASTIQUES</t>
        </is>
      </c>
      <c r="D17" s="275" t="inlineStr">
        <is>
          <t>PET clair (Q7)</t>
        </is>
      </c>
      <c r="E17" s="249" t="n"/>
      <c r="F17" s="303">
        <f>IF(VLOOKUP($D$1,SAISIE!A:BO,A17,FALSE)="","",VLOOKUP($D$1,SAISIE!A:BO,A17,FALSE))</f>
        <v/>
      </c>
      <c r="G17" s="133">
        <f>F17/$F$27</f>
        <v/>
      </c>
      <c r="H17" s="142" t="n"/>
    </row>
    <row r="18" ht="30" customHeight="1" s="259">
      <c r="A18" s="154" t="n">
        <v>12</v>
      </c>
      <c r="B18" s="141" t="n"/>
      <c r="C18" s="283" t="n"/>
      <c r="D18" s="275" t="inlineStr">
        <is>
          <t>PET couleur (Q8)</t>
        </is>
      </c>
      <c r="E18" s="249" t="n"/>
      <c r="F18" s="303">
        <f>IF(VLOOKUP($D$1,SAISIE!A:BO,A18,FALSE)="","",VLOOKUP($D$1,SAISIE!A:BO,A18,FALSE))</f>
        <v/>
      </c>
      <c r="G18" s="133">
        <f>F18/$F$27</f>
        <v/>
      </c>
      <c r="H18" s="142" t="n"/>
    </row>
    <row r="19" ht="30" customHeight="1" s="259">
      <c r="A19" s="154" t="n">
        <v>13</v>
      </c>
      <c r="B19" s="141" t="n"/>
      <c r="C19" s="283" t="n"/>
      <c r="D19" s="275" t="inlineStr">
        <is>
          <t>PEPPPS</t>
        </is>
      </c>
      <c r="E19" s="249" t="n"/>
      <c r="F19" s="303">
        <f>IF(VLOOKUP($D$1,SAISIE!A:BO,A19,FALSE)="","",VLOOKUP($D$1,SAISIE!A:BO,A19,FALSE))</f>
        <v/>
      </c>
      <c r="G19" s="133">
        <f>F19/$F$27</f>
        <v/>
      </c>
      <c r="H19" s="142" t="n"/>
    </row>
    <row r="20" ht="30" customHeight="1" s="259">
      <c r="A20" s="154" t="n">
        <v>14</v>
      </c>
      <c r="B20" s="141" t="n"/>
      <c r="C20" s="283" t="n"/>
      <c r="D20" s="274" t="inlineStr">
        <is>
          <t>ELA (5.03)</t>
        </is>
      </c>
      <c r="E20" s="249" t="n"/>
      <c r="F20" s="303">
        <f>IF(VLOOKUP($D$1,SAISIE!A:BO,A20,FALSE)="","",VLOOKUP($D$1,SAISIE!A:BO,A20,FALSE))</f>
        <v/>
      </c>
      <c r="G20" s="133">
        <f>F20/$F$27</f>
        <v/>
      </c>
      <c r="H20" s="142" t="n"/>
    </row>
    <row r="21" ht="30" customHeight="1" s="259">
      <c r="A21" s="154" t="n">
        <v>15</v>
      </c>
      <c r="B21" s="141" t="n"/>
      <c r="C21" s="284" t="n"/>
      <c r="D21" s="275" t="inlineStr">
        <is>
          <t>Films PE</t>
        </is>
      </c>
      <c r="E21" s="249" t="n"/>
      <c r="F21" s="303">
        <f>IF(VLOOKUP($D$1,SAISIE!A:BO,A21,FALSE)="","",VLOOKUP($D$1,SAISIE!A:BO,A21,FALSE))</f>
        <v/>
      </c>
      <c r="G21" s="133">
        <f>F21/$F$27</f>
        <v/>
      </c>
      <c r="H21" s="142" t="n"/>
    </row>
    <row r="22" ht="30" customHeight="1" s="259">
      <c r="A22" s="154" t="n">
        <v>16</v>
      </c>
      <c r="B22" s="141" t="n"/>
      <c r="C22" s="301" t="inlineStr">
        <is>
          <t>METAUX</t>
        </is>
      </c>
      <c r="D22" s="278" t="inlineStr">
        <is>
          <t>Acier</t>
        </is>
      </c>
      <c r="E22" s="249" t="n"/>
      <c r="F22" s="306">
        <f>IF(VLOOKUP($D$1,SAISIE!A:BO,A22,FALSE)="","",VLOOKUP($D$1,SAISIE!A:BO,A22,FALSE))</f>
        <v/>
      </c>
      <c r="G22" s="155">
        <f>F22/$F$27</f>
        <v/>
      </c>
      <c r="H22" s="142" t="n"/>
    </row>
    <row r="23" ht="30" customHeight="1" s="259">
      <c r="A23" s="154" t="n">
        <v>17</v>
      </c>
      <c r="B23" s="141" t="n"/>
      <c r="C23" s="283" t="n"/>
      <c r="D23" s="278" t="inlineStr">
        <is>
          <t>Aluminium</t>
        </is>
      </c>
      <c r="E23" s="249" t="n"/>
      <c r="F23" s="306">
        <f>IF(VLOOKUP($D$1,SAISIE!A:BO,A23,FALSE)="","",VLOOKUP($D$1,SAISIE!A:BO,A23,FALSE))</f>
        <v/>
      </c>
      <c r="G23" s="155">
        <f>F23/$F$27</f>
        <v/>
      </c>
      <c r="H23" s="142" t="n"/>
    </row>
    <row r="24" ht="30" customHeight="1" s="259">
      <c r="A24" s="154" t="n">
        <v>18</v>
      </c>
      <c r="B24" s="141" t="n"/>
      <c r="C24" s="283" t="n"/>
      <c r="D24" s="278" t="inlineStr">
        <is>
          <t>Petit Alu</t>
        </is>
      </c>
      <c r="E24" s="249" t="n"/>
      <c r="F24" s="306">
        <f>IF(VLOOKUP($D$1,SAISIE!A:BO,A24,FALSE)="","",VLOOKUP($D$1,SAISIE!A:BO,A24,FALSE))</f>
        <v/>
      </c>
      <c r="G24" s="155">
        <f>F24/$F$27</f>
        <v/>
      </c>
      <c r="H24" s="142" t="n"/>
    </row>
    <row r="25" ht="30" customHeight="1" s="259">
      <c r="A25" s="154" t="n">
        <v>19</v>
      </c>
      <c r="B25" s="141" t="n"/>
      <c r="C25" s="150" t="inlineStr">
        <is>
          <t>REFUS</t>
        </is>
      </c>
      <c r="D25" s="298" t="inlineStr">
        <is>
          <t>Refus vrais</t>
        </is>
      </c>
      <c r="E25" s="249" t="n"/>
      <c r="F25" s="304">
        <f>IF(VLOOKUP($D$1,SAISIE!A:BO,A25,FALSE)="","",VLOOKUP($D$1,SAISIE!A:BO,A25,FALSE))</f>
        <v/>
      </c>
      <c r="G25" s="156">
        <f>F25/$F$27</f>
        <v/>
      </c>
      <c r="H25" s="142" t="n"/>
    </row>
    <row r="26" ht="15.75" customHeight="1" s="259" thickBot="1">
      <c r="A26" s="154" t="n">
        <v>20</v>
      </c>
      <c r="B26" s="141" t="n"/>
      <c r="C26" s="134" t="n"/>
      <c r="D26" s="135" t="n"/>
      <c r="E26" s="136" t="n"/>
      <c r="F26" s="136" t="n"/>
      <c r="G26" s="137" t="n"/>
      <c r="H26" s="142" t="n"/>
    </row>
    <row r="27" ht="24.6" customHeight="1" s="259" thickBot="1">
      <c r="A27" s="154" t="n">
        <v>21</v>
      </c>
      <c r="B27" s="141" t="n"/>
      <c r="C27" s="287" t="n"/>
      <c r="E27" s="161" t="inlineStr">
        <is>
          <t>Total :</t>
        </is>
      </c>
      <c r="F27" s="307">
        <f>SUM(F12:F25)</f>
        <v/>
      </c>
      <c r="G27" s="158">
        <f>SUM(G12:G25)</f>
        <v/>
      </c>
      <c r="H27" s="142" t="n"/>
    </row>
    <row r="28" ht="15.75" customHeight="1" s="259">
      <c r="B28" s="141" t="n"/>
      <c r="C28" s="160" t="inlineStr">
        <is>
          <t>Remarques :</t>
        </is>
      </c>
      <c r="H28" s="142" t="n"/>
    </row>
    <row r="29" ht="17.1" customHeight="1" s="259">
      <c r="B29" s="141" t="n"/>
      <c r="C29" s="288">
        <f>IF(VLOOKUP($D$1,SAISIE!A:BO,A27,FALSE)="","",VLOOKUP($D$1,SAISIE!A:BO,A27,FALSE))</f>
        <v/>
      </c>
      <c r="D29" s="289" t="n"/>
      <c r="E29" s="289" t="n"/>
      <c r="F29" s="289" t="n"/>
      <c r="G29" s="290" t="n"/>
      <c r="H29" s="142" t="n"/>
    </row>
    <row r="30">
      <c r="B30" s="141" t="n"/>
      <c r="C30" s="291" t="n"/>
      <c r="G30" s="292" t="n"/>
      <c r="H30" s="142" t="n"/>
    </row>
    <row r="31" ht="12.6" customHeight="1" s="259">
      <c r="B31" s="141" t="n"/>
      <c r="C31" s="291" t="n"/>
      <c r="G31" s="292" t="n"/>
      <c r="H31" s="142" t="n"/>
    </row>
    <row r="32" ht="12.6" customHeight="1" s="259">
      <c r="B32" s="141" t="n"/>
      <c r="C32" s="291" t="n"/>
      <c r="G32" s="292" t="n"/>
      <c r="H32" s="142" t="n"/>
    </row>
    <row r="33" ht="12.6" customHeight="1" s="259">
      <c r="B33" s="141" t="n"/>
      <c r="C33" s="291" t="n"/>
      <c r="G33" s="292" t="n"/>
      <c r="H33" s="142" t="n"/>
    </row>
    <row r="34" ht="12.6" customHeight="1" s="259">
      <c r="B34" s="141" t="n"/>
      <c r="C34" s="291" t="n"/>
      <c r="G34" s="292" t="n"/>
      <c r="H34" s="142" t="n"/>
    </row>
    <row r="35" ht="12.6" customHeight="1" s="259">
      <c r="B35" s="141" t="n"/>
      <c r="C35" s="291" t="n"/>
      <c r="G35" s="292" t="n"/>
      <c r="H35" s="142" t="n"/>
    </row>
    <row r="36" ht="12.6" customHeight="1" s="259">
      <c r="B36" s="141" t="n"/>
      <c r="C36" s="291" t="n"/>
      <c r="G36" s="292" t="n"/>
      <c r="H36" s="142" t="n"/>
    </row>
    <row r="37" ht="12.6" customHeight="1" s="259">
      <c r="B37" s="141" t="n"/>
      <c r="C37" s="291" t="n"/>
      <c r="G37" s="292" t="n"/>
      <c r="H37" s="142" t="n"/>
    </row>
    <row r="38" ht="12.6" customHeight="1" s="259">
      <c r="B38" s="141" t="n"/>
      <c r="C38" s="291" t="n"/>
      <c r="G38" s="292" t="n"/>
      <c r="H38" s="142" t="n"/>
    </row>
    <row r="39" ht="12.6" customHeight="1" s="259">
      <c r="B39" s="141" t="n"/>
      <c r="C39" s="293" t="n"/>
      <c r="D39" s="294" t="n"/>
      <c r="E39" s="294" t="n"/>
      <c r="F39" s="294" t="n"/>
      <c r="G39" s="295" t="n"/>
      <c r="H39" s="142" t="n"/>
    </row>
    <row r="40">
      <c r="B40" s="146" t="n"/>
      <c r="C40" s="147" t="n"/>
      <c r="D40" s="147" t="n"/>
      <c r="E40" s="147" t="n"/>
      <c r="F40" s="147" t="n"/>
      <c r="G40" s="147" t="n"/>
      <c r="H40" s="148" t="n"/>
    </row>
  </sheetData>
  <mergeCells count="24">
    <mergeCell ref="D20:E20"/>
    <mergeCell ref="D19:E19"/>
    <mergeCell ref="C17:C21"/>
    <mergeCell ref="F6:G6"/>
    <mergeCell ref="D22:E22"/>
    <mergeCell ref="D21:E21"/>
    <mergeCell ref="D13:E13"/>
    <mergeCell ref="D11:E11"/>
    <mergeCell ref="D17:E17"/>
    <mergeCell ref="F8:G8"/>
    <mergeCell ref="D16:E16"/>
    <mergeCell ref="C27:D27"/>
    <mergeCell ref="C29:G39"/>
    <mergeCell ref="D18:E18"/>
    <mergeCell ref="D2:G2"/>
    <mergeCell ref="D12:E12"/>
    <mergeCell ref="D25:E25"/>
    <mergeCell ref="D24:E24"/>
    <mergeCell ref="D15:E15"/>
    <mergeCell ref="D23:E23"/>
    <mergeCell ref="D14:E14"/>
    <mergeCell ref="C12:C16"/>
    <mergeCell ref="E4:G4"/>
    <mergeCell ref="C22:C24"/>
  </mergeCells>
  <pageMargins left="0.7" right="0.7" top="0.75" bottom="0.75" header="0.3" footer="0.3"/>
  <pageSetup orientation="portrait" paperSize="9"/>
</worksheet>
</file>

<file path=xl/worksheets/sheet6.xml><?xml version="1.0" encoding="utf-8"?>
<worksheet xmlns="http://schemas.openxmlformats.org/spreadsheetml/2006/main">
  <sheetPr>
    <tabColor rgb="FF00B0F0"/>
    <outlinePr summaryBelow="1" summaryRight="1"/>
    <pageSetUpPr fitToPage="1"/>
  </sheetPr>
  <dimension ref="A1:H40"/>
  <sheetViews>
    <sheetView view="pageBreakPreview" topLeftCell="A7" zoomScale="90" zoomScaleNormal="70" zoomScaleSheetLayoutView="90" workbookViewId="0">
      <selection activeCell="K6" sqref="K6"/>
    </sheetView>
  </sheetViews>
  <sheetFormatPr baseColWidth="10" defaultRowHeight="12.75"/>
  <cols>
    <col width="5.28515625" customWidth="1" style="259" min="1" max="1"/>
    <col width="5" customWidth="1" style="259" min="2" max="2"/>
    <col width="20.28515625" customWidth="1" style="259" min="4" max="4"/>
    <col width="17.28515625" customWidth="1" style="259" min="5" max="7"/>
    <col width="5" customWidth="1" style="259" min="8" max="8"/>
  </cols>
  <sheetData>
    <row r="1">
      <c r="C1" s="65" t="n"/>
      <c r="D1" s="151" t="n"/>
    </row>
    <row r="2" ht="26.25" customHeight="1" s="259">
      <c r="B2" s="138" t="n"/>
      <c r="C2" s="297" t="n"/>
      <c r="D2" s="296" t="inlineStr">
        <is>
          <t>FICHE CARACTERISATION</t>
        </is>
      </c>
      <c r="E2" s="297" t="n"/>
      <c r="F2" s="297" t="n"/>
      <c r="G2" s="297" t="n"/>
      <c r="H2" s="140" t="n"/>
    </row>
    <row r="3" ht="13.5" customHeight="1" s="259" thickBot="1">
      <c r="B3" s="141" t="n"/>
      <c r="H3" s="142" t="n"/>
    </row>
    <row r="4" ht="30" customHeight="1" s="259" thickBot="1">
      <c r="B4" s="141" t="n"/>
      <c r="D4" s="143" t="inlineStr">
        <is>
          <t xml:space="preserve">Flux : </t>
        </is>
      </c>
      <c r="E4" s="299" t="n"/>
      <c r="F4" s="300" t="n"/>
      <c r="G4" s="277" t="n"/>
      <c r="H4" s="142" t="n"/>
    </row>
    <row r="5" ht="13.5" customHeight="1" s="259" thickBot="1">
      <c r="B5" s="141" t="n"/>
      <c r="H5" s="142" t="n"/>
    </row>
    <row r="6" ht="30" customHeight="1" s="259" thickBot="1">
      <c r="B6" s="141" t="n"/>
      <c r="C6" s="143" t="inlineStr">
        <is>
          <t>Date :</t>
        </is>
      </c>
      <c r="D6" s="162" t="n"/>
      <c r="E6" s="143" t="inlineStr">
        <is>
          <t>Equipe :</t>
        </is>
      </c>
      <c r="F6" s="276" t="n"/>
      <c r="G6" s="277" t="n"/>
      <c r="H6" s="142" t="n"/>
    </row>
    <row r="7" ht="13.5" customHeight="1" s="259" thickBot="1">
      <c r="A7" s="154" t="n"/>
      <c r="B7" s="141" t="n"/>
      <c r="H7" s="142" t="n"/>
    </row>
    <row r="8" ht="30" customHeight="1" s="259" thickBot="1">
      <c r="A8" s="154" t="n"/>
      <c r="B8" s="141" t="n"/>
      <c r="E8" s="143" t="inlineStr">
        <is>
          <t>Provenance :</t>
        </is>
      </c>
      <c r="F8" s="286" t="n"/>
      <c r="G8" s="277" t="n"/>
      <c r="H8" s="142" t="n"/>
    </row>
    <row r="9">
      <c r="A9" s="154" t="n"/>
      <c r="B9" s="141" t="n"/>
      <c r="H9" s="142" t="n"/>
    </row>
    <row r="10" ht="15" customHeight="1" s="259">
      <c r="A10" s="154" t="n"/>
      <c r="B10" s="141" t="n"/>
      <c r="C10" s="144" t="n"/>
      <c r="E10" s="145" t="n"/>
      <c r="F10" s="145" t="n"/>
      <c r="G10" s="145" t="n"/>
      <c r="H10" s="142" t="n"/>
    </row>
    <row r="11" ht="30" customHeight="1" s="259">
      <c r="A11" s="154" t="n"/>
      <c r="B11" s="141" t="n"/>
      <c r="C11" s="128" t="inlineStr">
        <is>
          <t>CATEGORIE</t>
        </is>
      </c>
      <c r="D11" s="280" t="inlineStr">
        <is>
          <t>MATIERE</t>
        </is>
      </c>
      <c r="E11" s="281" t="n"/>
      <c r="F11" s="280" t="inlineStr">
        <is>
          <t>Poids net (Kg)</t>
        </is>
      </c>
      <c r="G11" s="281" t="n"/>
      <c r="H11" s="142" t="n"/>
    </row>
    <row r="12" ht="30" customHeight="1" s="259">
      <c r="A12" s="154" t="n"/>
      <c r="B12" s="141" t="n"/>
      <c r="C12" s="282" t="inlineStr">
        <is>
          <t>FIBREUX</t>
        </is>
      </c>
      <c r="D12" s="279" t="inlineStr">
        <is>
          <t>JRM (1.11)</t>
        </is>
      </c>
      <c r="E12" s="249" t="n"/>
      <c r="F12" s="305" t="n"/>
      <c r="G12" s="249" t="n"/>
      <c r="H12" s="142" t="n"/>
    </row>
    <row r="13" ht="30" customHeight="1" s="259">
      <c r="A13" s="154" t="n"/>
      <c r="B13" s="141" t="n"/>
      <c r="C13" s="283" t="n"/>
      <c r="D13" s="279" t="inlineStr">
        <is>
          <t>EMR (1.04) Cartonette</t>
        </is>
      </c>
      <c r="E13" s="249" t="n"/>
      <c r="F13" s="305" t="n"/>
      <c r="G13" s="249" t="n"/>
      <c r="H13" s="142" t="n"/>
    </row>
    <row r="14" ht="30" customHeight="1" s="259">
      <c r="A14" s="154" t="n"/>
      <c r="B14" s="141" t="n"/>
      <c r="C14" s="283" t="n"/>
      <c r="D14" s="279" t="inlineStr">
        <is>
          <t>CARTON (1.05) Carton brun</t>
        </is>
      </c>
      <c r="E14" s="249" t="n"/>
      <c r="F14" s="305" t="n"/>
      <c r="G14" s="249" t="n"/>
      <c r="H14" s="142" t="n"/>
    </row>
    <row r="15" ht="30" customHeight="1" s="259">
      <c r="A15" s="154" t="n"/>
      <c r="B15" s="141" t="n"/>
      <c r="C15" s="284" t="n"/>
      <c r="D15" s="279" t="inlineStr">
        <is>
          <t>GM (1.02)</t>
        </is>
      </c>
      <c r="E15" s="249" t="n"/>
      <c r="F15" s="305" t="n"/>
      <c r="G15" s="249" t="n"/>
      <c r="H15" s="142" t="n"/>
    </row>
    <row r="16" ht="30" customHeight="1" s="259">
      <c r="A16" s="154" t="n"/>
      <c r="B16" s="141" t="n"/>
      <c r="C16" s="285" t="inlineStr">
        <is>
          <t>PLASTIQUES</t>
        </is>
      </c>
      <c r="D16" s="275" t="inlineStr">
        <is>
          <t>PET clair (Q9)</t>
        </is>
      </c>
      <c r="E16" s="249" t="n"/>
      <c r="F16" s="303" t="n"/>
      <c r="G16" s="249" t="n"/>
      <c r="H16" s="142" t="n"/>
    </row>
    <row r="17" ht="30" customHeight="1" s="259">
      <c r="A17" s="154" t="n"/>
      <c r="B17" s="141" t="n"/>
      <c r="C17" s="283" t="n"/>
      <c r="D17" s="275" t="inlineStr">
        <is>
          <t>Flux dev</t>
        </is>
      </c>
      <c r="E17" s="249" t="n"/>
      <c r="F17" s="303" t="n"/>
      <c r="G17" s="249" t="n"/>
      <c r="H17" s="142" t="n"/>
    </row>
    <row r="18" ht="30" customHeight="1" s="259">
      <c r="A18" s="154" t="n"/>
      <c r="B18" s="141" t="n"/>
      <c r="C18" s="283" t="n"/>
      <c r="D18" s="275" t="inlineStr">
        <is>
          <t>PET B</t>
        </is>
      </c>
      <c r="E18" s="249" t="n"/>
      <c r="F18" s="303" t="n"/>
      <c r="G18" s="249" t="n"/>
      <c r="H18" s="142" t="n"/>
    </row>
    <row r="19" ht="30" customHeight="1" s="259">
      <c r="A19" s="154" t="n"/>
      <c r="B19" s="141" t="n"/>
      <c r="C19" s="283" t="n"/>
      <c r="D19" s="275" t="inlineStr">
        <is>
          <t>PEPP</t>
        </is>
      </c>
      <c r="E19" s="249" t="n"/>
      <c r="F19" s="303" t="n"/>
      <c r="G19" s="249" t="n"/>
      <c r="H19" s="142" t="n"/>
    </row>
    <row r="20" ht="30" customHeight="1" s="259">
      <c r="A20" s="154" t="n"/>
      <c r="B20" s="141" t="n"/>
      <c r="C20" s="283" t="n"/>
      <c r="D20" s="274" t="inlineStr">
        <is>
          <t>ELA (5.03)</t>
        </is>
      </c>
      <c r="E20" s="249" t="n"/>
      <c r="F20" s="303" t="n"/>
      <c r="G20" s="249" t="n"/>
      <c r="H20" s="142" t="n"/>
    </row>
    <row r="21" ht="30" customHeight="1" s="259">
      <c r="A21" s="154" t="n"/>
      <c r="B21" s="141" t="n"/>
      <c r="C21" s="284" t="n"/>
      <c r="D21" s="275" t="inlineStr">
        <is>
          <t>Films</t>
        </is>
      </c>
      <c r="E21" s="249" t="n"/>
      <c r="F21" s="303" t="n"/>
      <c r="G21" s="249" t="n"/>
      <c r="H21" s="142" t="n"/>
    </row>
    <row r="22" ht="30" customHeight="1" s="259">
      <c r="A22" s="154" t="n"/>
      <c r="B22" s="141" t="n"/>
      <c r="C22" s="301" t="inlineStr">
        <is>
          <t>METAUX</t>
        </is>
      </c>
      <c r="D22" s="278" t="inlineStr">
        <is>
          <t>Acier</t>
        </is>
      </c>
      <c r="E22" s="249" t="n"/>
      <c r="F22" s="306" t="n"/>
      <c r="G22" s="249" t="n"/>
      <c r="H22" s="142" t="n"/>
    </row>
    <row r="23" ht="30" customHeight="1" s="259">
      <c r="A23" s="154" t="n"/>
      <c r="B23" s="141" t="n"/>
      <c r="C23" s="283" t="n"/>
      <c r="D23" s="278" t="inlineStr">
        <is>
          <t>Aluminium</t>
        </is>
      </c>
      <c r="E23" s="249" t="n"/>
      <c r="F23" s="306" t="n"/>
      <c r="G23" s="249" t="n"/>
      <c r="H23" s="142" t="n"/>
    </row>
    <row r="24" ht="30" customHeight="1" s="259">
      <c r="A24" s="154" t="n"/>
      <c r="B24" s="141" t="n"/>
      <c r="C24" s="283" t="n"/>
      <c r="D24" s="278" t="inlineStr">
        <is>
          <t>Petit Alu</t>
        </is>
      </c>
      <c r="E24" s="249" t="n"/>
      <c r="F24" s="306" t="n"/>
      <c r="G24" s="249" t="n"/>
      <c r="H24" s="142" t="n"/>
    </row>
    <row r="25" ht="30" customHeight="1" s="259">
      <c r="A25" s="154" t="n"/>
      <c r="B25" s="141" t="n"/>
      <c r="C25" s="150" t="inlineStr">
        <is>
          <t>REFUS</t>
        </is>
      </c>
      <c r="D25" s="298" t="inlineStr">
        <is>
          <t>Refus vrais</t>
        </is>
      </c>
      <c r="E25" s="249" t="n"/>
      <c r="F25" s="304" t="n"/>
      <c r="G25" s="249" t="n"/>
      <c r="H25" s="142" t="n"/>
    </row>
    <row r="26" ht="15.75" customHeight="1" s="259" thickBot="1">
      <c r="A26" s="154" t="n"/>
      <c r="B26" s="141" t="n"/>
      <c r="C26" s="134" t="n"/>
      <c r="D26" s="135" t="n"/>
      <c r="E26" s="136" t="n"/>
      <c r="F26" s="136" t="n"/>
      <c r="G26" s="137" t="n"/>
      <c r="H26" s="142" t="n"/>
    </row>
    <row r="27" ht="24.6" customHeight="1" s="259" thickBot="1">
      <c r="A27" s="154" t="n"/>
      <c r="B27" s="141" t="n"/>
      <c r="C27" s="287" t="n"/>
      <c r="E27" s="161" t="inlineStr">
        <is>
          <t>Total :</t>
        </is>
      </c>
      <c r="F27" s="307" t="n"/>
      <c r="G27" s="277" t="n"/>
      <c r="H27" s="142" t="n"/>
    </row>
    <row r="28" ht="15.75" customHeight="1" s="259">
      <c r="A28" s="154" t="n"/>
      <c r="B28" s="141" t="n"/>
      <c r="C28" s="160" t="inlineStr">
        <is>
          <t>Remarques :</t>
        </is>
      </c>
      <c r="H28" s="142" t="n"/>
    </row>
    <row r="29" ht="17.1" customHeight="1" s="259">
      <c r="B29" s="141" t="n"/>
      <c r="C29" s="288" t="n"/>
      <c r="D29" s="289" t="n"/>
      <c r="E29" s="289" t="n"/>
      <c r="F29" s="289" t="n"/>
      <c r="G29" s="290" t="n"/>
      <c r="H29" s="142" t="n"/>
    </row>
    <row r="30">
      <c r="B30" s="141" t="n"/>
      <c r="C30" s="291" t="n"/>
      <c r="G30" s="292" t="n"/>
      <c r="H30" s="142" t="n"/>
    </row>
    <row r="31" ht="12.6" customHeight="1" s="259">
      <c r="B31" s="141" t="n"/>
      <c r="C31" s="291" t="n"/>
      <c r="G31" s="292" t="n"/>
      <c r="H31" s="142" t="n"/>
    </row>
    <row r="32" ht="12.6" customHeight="1" s="259">
      <c r="B32" s="141" t="n"/>
      <c r="C32" s="291" t="n"/>
      <c r="G32" s="292" t="n"/>
      <c r="H32" s="142" t="n"/>
    </row>
    <row r="33" ht="12.6" customHeight="1" s="259">
      <c r="B33" s="141" t="n"/>
      <c r="C33" s="291" t="n"/>
      <c r="G33" s="292" t="n"/>
      <c r="H33" s="142" t="n"/>
    </row>
    <row r="34" ht="12.6" customHeight="1" s="259">
      <c r="B34" s="141" t="n"/>
      <c r="C34" s="291" t="n"/>
      <c r="G34" s="292" t="n"/>
      <c r="H34" s="142" t="n"/>
    </row>
    <row r="35" ht="12.6" customHeight="1" s="259">
      <c r="B35" s="141" t="n"/>
      <c r="C35" s="291" t="n"/>
      <c r="G35" s="292" t="n"/>
      <c r="H35" s="142" t="n"/>
    </row>
    <row r="36" ht="12.6" customHeight="1" s="259">
      <c r="B36" s="141" t="n"/>
      <c r="C36" s="291" t="n"/>
      <c r="G36" s="292" t="n"/>
      <c r="H36" s="142" t="n"/>
    </row>
    <row r="37" ht="12.6" customHeight="1" s="259">
      <c r="B37" s="141" t="n"/>
      <c r="C37" s="291" t="n"/>
      <c r="G37" s="292" t="n"/>
      <c r="H37" s="142" t="n"/>
    </row>
    <row r="38" ht="12.6" customHeight="1" s="259">
      <c r="B38" s="141" t="n"/>
      <c r="C38" s="291" t="n"/>
      <c r="G38" s="292" t="n"/>
      <c r="H38" s="142" t="n"/>
    </row>
    <row r="39" ht="12.6" customHeight="1" s="259">
      <c r="B39" s="141" t="n"/>
      <c r="C39" s="293" t="n"/>
      <c r="D39" s="294" t="n"/>
      <c r="E39" s="294" t="n"/>
      <c r="F39" s="294" t="n"/>
      <c r="G39" s="295" t="n"/>
      <c r="H39" s="142" t="n"/>
    </row>
    <row r="40">
      <c r="B40" s="146" t="n"/>
      <c r="C40" s="147" t="n"/>
      <c r="D40" s="147" t="n"/>
      <c r="E40" s="147" t="n"/>
      <c r="F40" s="147" t="n"/>
      <c r="G40" s="147" t="n"/>
      <c r="H40" s="148" t="n"/>
    </row>
  </sheetData>
  <mergeCells count="40">
    <mergeCell ref="D20:E20"/>
    <mergeCell ref="F11:G11"/>
    <mergeCell ref="F16:G16"/>
    <mergeCell ref="D19:E19"/>
    <mergeCell ref="F25:G25"/>
    <mergeCell ref="F19:G19"/>
    <mergeCell ref="F6:G6"/>
    <mergeCell ref="D22:E22"/>
    <mergeCell ref="D21:E21"/>
    <mergeCell ref="F21:G21"/>
    <mergeCell ref="F12:G12"/>
    <mergeCell ref="F24:G24"/>
    <mergeCell ref="F15:G15"/>
    <mergeCell ref="D13:E13"/>
    <mergeCell ref="D11:E11"/>
    <mergeCell ref="F20:G20"/>
    <mergeCell ref="F18:G18"/>
    <mergeCell ref="C12:C15"/>
    <mergeCell ref="C16:C21"/>
    <mergeCell ref="D17:E17"/>
    <mergeCell ref="F17:G17"/>
    <mergeCell ref="F8:G8"/>
    <mergeCell ref="D16:E16"/>
    <mergeCell ref="C27:D27"/>
    <mergeCell ref="C29:G39"/>
    <mergeCell ref="F23:G23"/>
    <mergeCell ref="F22:G22"/>
    <mergeCell ref="D18:E18"/>
    <mergeCell ref="F13:G13"/>
    <mergeCell ref="D2:G2"/>
    <mergeCell ref="F27:G27"/>
    <mergeCell ref="D12:E12"/>
    <mergeCell ref="D25:E25"/>
    <mergeCell ref="D24:E24"/>
    <mergeCell ref="D15:E15"/>
    <mergeCell ref="D23:E23"/>
    <mergeCell ref="D14:E14"/>
    <mergeCell ref="E4:G4"/>
    <mergeCell ref="F14:G14"/>
    <mergeCell ref="C22:C24"/>
  </mergeCells>
  <pageMargins left="0.7" right="0.7" top="0.75" bottom="0.75" header="0.3" footer="0.3"/>
  <pageSetup orientation="portrait" paperSize="9" scale="89"/>
</worksheet>
</file>

<file path=xl/worksheets/sheet7.xml><?xml version="1.0" encoding="utf-8"?>
<worksheet xmlns="http://schemas.openxmlformats.org/spreadsheetml/2006/main">
  <sheetPr codeName="Feuil4">
    <tabColor rgb="FF00B050"/>
    <outlinePr summaryBelow="1" summaryRight="1"/>
    <pageSetUpPr/>
  </sheetPr>
  <dimension ref="A1:J15"/>
  <sheetViews>
    <sheetView workbookViewId="0">
      <selection activeCell="E21" sqref="E21"/>
    </sheetView>
  </sheetViews>
  <sheetFormatPr baseColWidth="10" defaultRowHeight="12.75"/>
  <cols>
    <col width="17.7109375" customWidth="1" style="259" min="1" max="1"/>
    <col width="22.42578125" customWidth="1" style="259" min="7" max="7"/>
  </cols>
  <sheetData>
    <row r="1">
      <c r="A1" s="182" t="inlineStr">
        <is>
          <t>MATIERE</t>
        </is>
      </c>
      <c r="C1" s="182" t="inlineStr">
        <is>
          <t>EQUIPE</t>
        </is>
      </c>
      <c r="G1" s="310" t="inlineStr">
        <is>
          <t>CARACT</t>
        </is>
      </c>
    </row>
    <row r="2" ht="15" customHeight="1" s="259">
      <c r="A2" s="176" t="inlineStr">
        <is>
          <t>JRM</t>
        </is>
      </c>
      <c r="B2" t="inlineStr">
        <is>
          <t>1/S</t>
        </is>
      </c>
      <c r="C2" t="inlineStr">
        <is>
          <t>Matin</t>
        </is>
      </c>
      <c r="G2" s="170" t="inlineStr">
        <is>
          <t>VALODEA</t>
        </is>
      </c>
      <c r="H2" s="309" t="inlineStr">
        <is>
          <t>1/S en alternant matin/après-midi</t>
        </is>
      </c>
    </row>
    <row r="3" ht="15" customHeight="1" s="259">
      <c r="A3" s="177" t="inlineStr">
        <is>
          <t>EMR</t>
        </is>
      </c>
      <c r="B3" t="inlineStr">
        <is>
          <t>1/S</t>
        </is>
      </c>
      <c r="C3" t="inlineStr">
        <is>
          <t>Après-midi</t>
        </is>
      </c>
      <c r="G3" s="170" t="inlineStr">
        <is>
          <t>DECLASSEMENT</t>
        </is>
      </c>
      <c r="H3" s="309" t="inlineStr">
        <is>
          <t>1/S en alternant matin/après-midi</t>
        </is>
      </c>
    </row>
    <row r="4" ht="15" customHeight="1" s="259">
      <c r="A4" s="177" t="inlineStr">
        <is>
          <t>CARTON</t>
        </is>
      </c>
      <c r="G4" s="170" t="inlineStr">
        <is>
          <t>JRM</t>
        </is>
      </c>
      <c r="H4" s="309" t="inlineStr">
        <is>
          <t>1/S en alternant matin/après-midi</t>
        </is>
      </c>
    </row>
    <row r="5" ht="15" customHeight="1" s="259">
      <c r="A5" s="176" t="inlineStr">
        <is>
          <t>GM</t>
        </is>
      </c>
      <c r="G5" s="170" t="inlineStr">
        <is>
          <t>EMR</t>
        </is>
      </c>
      <c r="H5" s="309" t="inlineStr">
        <is>
          <t>1/S en alternant matin/après-midi</t>
        </is>
      </c>
    </row>
    <row r="6" ht="15" customHeight="1" s="259">
      <c r="A6" s="177" t="inlineStr">
        <is>
          <t>PETQ9</t>
        </is>
      </c>
      <c r="G6" s="170" t="inlineStr">
        <is>
          <t xml:space="preserve">GM </t>
        </is>
      </c>
      <c r="H6" s="309" t="inlineStr">
        <is>
          <t>1/S en alternant matin/après-midi</t>
        </is>
      </c>
    </row>
    <row r="7" ht="15" customHeight="1" s="259">
      <c r="A7" s="177" t="inlineStr">
        <is>
          <t>FLUX DEV</t>
        </is>
      </c>
      <c r="G7" s="170" t="inlineStr">
        <is>
          <t>PET Q4</t>
        </is>
      </c>
      <c r="H7" s="309" t="inlineStr">
        <is>
          <t>1/S en alternant matin/après-midi</t>
        </is>
      </c>
    </row>
    <row r="8" ht="15" customHeight="1" s="259">
      <c r="A8" s="177" t="inlineStr">
        <is>
          <t>PETB</t>
        </is>
      </c>
      <c r="G8" s="170" t="n"/>
      <c r="H8" s="309" t="n"/>
      <c r="I8" s="309" t="n"/>
      <c r="J8" s="309" t="n"/>
    </row>
    <row r="9" ht="15" customHeight="1" s="259">
      <c r="A9" s="177" t="inlineStr">
        <is>
          <t>PEPP</t>
        </is>
      </c>
      <c r="G9" s="170" t="inlineStr">
        <is>
          <t>Flux dev Rigide</t>
        </is>
      </c>
      <c r="H9" s="309" t="inlineStr">
        <is>
          <t>1/S en alternant matin/après-midi</t>
        </is>
      </c>
    </row>
    <row r="10" ht="15" customHeight="1" s="259">
      <c r="A10" s="176" t="inlineStr">
        <is>
          <t>ELA</t>
        </is>
      </c>
      <c r="G10" s="170" t="inlineStr">
        <is>
          <t>PE/PP</t>
        </is>
      </c>
      <c r="H10" s="309" t="inlineStr">
        <is>
          <t>1/S en alternant matin/après-midi</t>
        </is>
      </c>
    </row>
    <row r="11" ht="15" customHeight="1" s="259">
      <c r="A11" s="176" t="inlineStr">
        <is>
          <t>FILM</t>
        </is>
      </c>
      <c r="G11" s="179" t="inlineStr">
        <is>
          <t>ELA</t>
        </is>
      </c>
      <c r="H11" s="308" t="inlineStr">
        <is>
          <t>1/M</t>
        </is>
      </c>
    </row>
    <row r="12" ht="15" customHeight="1" s="259">
      <c r="A12" s="177" t="inlineStr">
        <is>
          <t>ACIER</t>
        </is>
      </c>
      <c r="G12" s="179" t="inlineStr">
        <is>
          <t>FILM</t>
        </is>
      </c>
      <c r="H12" s="308" t="inlineStr">
        <is>
          <t>1/M</t>
        </is>
      </c>
    </row>
    <row r="13" ht="15" customHeight="1" s="259">
      <c r="A13" s="176" t="inlineStr">
        <is>
          <t>ALU</t>
        </is>
      </c>
      <c r="G13" s="179" t="inlineStr">
        <is>
          <t>REFUS</t>
        </is>
      </c>
      <c r="H13" s="308" t="inlineStr">
        <is>
          <t>1/M</t>
        </is>
      </c>
    </row>
    <row r="14" ht="15" customHeight="1" s="259">
      <c r="A14" s="176" t="inlineStr">
        <is>
          <t>PETIT ALU</t>
        </is>
      </c>
      <c r="G14" s="179" t="inlineStr">
        <is>
          <t>ALU</t>
        </is>
      </c>
      <c r="H14" s="308" t="inlineStr">
        <is>
          <t>1/M</t>
        </is>
      </c>
    </row>
    <row r="15" ht="15" customHeight="1" s="259">
      <c r="A15" s="176" t="inlineStr">
        <is>
          <t>REFUS</t>
        </is>
      </c>
      <c r="G15" s="179" t="inlineStr">
        <is>
          <t>PETITALU</t>
        </is>
      </c>
      <c r="H15" s="308" t="inlineStr">
        <is>
          <t>1/M</t>
        </is>
      </c>
    </row>
  </sheetData>
  <mergeCells count="14">
    <mergeCell ref="H15:J15"/>
    <mergeCell ref="H10:J10"/>
    <mergeCell ref="H14:J14"/>
    <mergeCell ref="H13:J13"/>
    <mergeCell ref="H5:J5"/>
    <mergeCell ref="H4:J4"/>
    <mergeCell ref="H9:J9"/>
    <mergeCell ref="H12:J12"/>
    <mergeCell ref="H2:J2"/>
    <mergeCell ref="G1:J1"/>
    <mergeCell ref="H3:J3"/>
    <mergeCell ref="H11:J11"/>
    <mergeCell ref="H7:J7"/>
    <mergeCell ref="H6:J6"/>
  </mergeCells>
  <pageMargins left="0.7" right="0.7" top="0.75" bottom="0.75" header="0.3" footer="0.3"/>
</worksheet>
</file>

<file path=xl/worksheets/sheet8.xml><?xml version="1.0" encoding="utf-8"?>
<worksheet xmlns="http://schemas.openxmlformats.org/spreadsheetml/2006/main">
  <sheetPr codeName="Feuil6" filterMode="1">
    <tabColor rgb="FF00B0F0"/>
    <outlinePr summaryBelow="1" summaryRight="1"/>
    <pageSetUpPr fitToPage="1"/>
  </sheetPr>
  <dimension ref="A1:AQ205"/>
  <sheetViews>
    <sheetView showWhiteSpace="0" topLeftCell="D1" zoomScale="70" zoomScaleNormal="70" zoomScalePageLayoutView="70" workbookViewId="0">
      <pane ySplit="2" topLeftCell="A176" activePane="bottomLeft" state="frozen"/>
      <selection activeCell="H12" sqref="H12"/>
      <selection pane="bottomLeft" activeCell="S188" sqref="S188"/>
    </sheetView>
  </sheetViews>
  <sheetFormatPr baseColWidth="10" defaultRowHeight="12.75"/>
  <cols>
    <col width="19.42578125" customWidth="1" style="259" min="1" max="1"/>
    <col width="16.7109375" customWidth="1" style="259" min="3" max="3"/>
    <col width="20.28515625" customWidth="1" style="259" min="4" max="4"/>
    <col width="16.7109375" customWidth="1" style="259" min="8" max="8"/>
    <col width="15.7109375" customWidth="1" style="259" min="9" max="11"/>
    <col width="17.28515625" customWidth="1" style="259" min="12" max="12"/>
    <col width="17" customWidth="1" style="259" min="15" max="16"/>
    <col width="12.7109375" customWidth="1" style="259" min="17" max="17"/>
    <col width="11.42578125" customWidth="1" style="25" min="18" max="18"/>
    <col width="12.7109375" customWidth="1" style="259" min="19" max="20"/>
    <col width="18.42578125" customWidth="1" style="259" min="21" max="21"/>
    <col width="19.42578125" customWidth="1" style="259" min="22" max="22"/>
    <col width="12" bestFit="1" customWidth="1" style="259" min="23" max="25"/>
    <col width="15.7109375" customWidth="1" style="259" min="26" max="29"/>
    <col width="16.7109375" customWidth="1" style="259" min="30" max="30"/>
    <col width="12" bestFit="1" customWidth="1" style="259" min="31" max="32"/>
    <col width="20" customWidth="1" style="259" min="33" max="33"/>
    <col width="17" customWidth="1" style="259" min="34" max="34"/>
    <col width="24.7109375" customWidth="1" style="259" min="35" max="35"/>
    <col width="20.42578125" customWidth="1" style="259" min="36" max="36"/>
    <col width="15.28515625" customWidth="1" style="259" min="37" max="37"/>
    <col width="21.28515625" customWidth="1" style="259" min="38" max="38"/>
    <col width="22" customWidth="1" style="259" min="39" max="41"/>
  </cols>
  <sheetData>
    <row r="1" ht="47.85" customHeight="1" s="259" thickBot="1">
      <c r="B1" s="311" t="inlineStr">
        <is>
          <t>poids</t>
        </is>
      </c>
      <c r="C1" s="300" t="n"/>
      <c r="D1" s="300" t="n"/>
      <c r="E1" s="300" t="n"/>
      <c r="F1" s="300" t="n"/>
      <c r="G1" s="300" t="n"/>
      <c r="H1" s="300" t="n"/>
      <c r="I1" s="300" t="n"/>
      <c r="J1" s="300" t="n"/>
      <c r="K1" s="300" t="n"/>
      <c r="L1" s="300" t="n"/>
      <c r="M1" s="300" t="n"/>
      <c r="N1" s="300" t="n"/>
      <c r="O1" s="300" t="n"/>
      <c r="P1" s="300" t="n"/>
      <c r="Q1" s="277" t="n"/>
      <c r="R1" s="24" t="n"/>
      <c r="S1" s="312" t="inlineStr">
        <is>
          <t>%</t>
        </is>
      </c>
      <c r="T1" s="300" t="n"/>
      <c r="U1" s="300" t="n"/>
      <c r="V1" s="300" t="n"/>
      <c r="W1" s="300" t="n"/>
      <c r="X1" s="300" t="n"/>
      <c r="Y1" s="300" t="n"/>
      <c r="Z1" s="300" t="n"/>
      <c r="AA1" s="300" t="n"/>
      <c r="AB1" s="300" t="n"/>
      <c r="AC1" s="300" t="n"/>
      <c r="AD1" s="300" t="n"/>
      <c r="AE1" s="300" t="n"/>
      <c r="AF1" s="300" t="n"/>
      <c r="AG1" s="300" t="n"/>
      <c r="AH1" s="300" t="n"/>
      <c r="AI1" s="300" t="n"/>
      <c r="AJ1" s="300" t="n"/>
      <c r="AK1" s="277" t="n"/>
    </row>
    <row r="2" ht="85.34999999999999" customHeight="1" s="259">
      <c r="A2" s="34" t="inlineStr">
        <is>
          <t>Date</t>
        </is>
      </c>
      <c r="B2" s="30" t="inlineStr">
        <is>
          <t>JRM</t>
        </is>
      </c>
      <c r="C2" s="30" t="inlineStr">
        <is>
          <t>enveloppes blanches</t>
        </is>
      </c>
      <c r="D2" s="30" t="inlineStr">
        <is>
          <t>papier emballage et teintés (écrit couleurs)</t>
        </is>
      </c>
      <c r="E2" s="31" t="inlineStr">
        <is>
          <t>Cartons 1.05</t>
        </is>
      </c>
      <c r="F2" s="31" t="inlineStr">
        <is>
          <t>Cartons 1.04</t>
        </is>
      </c>
      <c r="G2" s="31" t="inlineStr">
        <is>
          <t>GM</t>
        </is>
      </c>
      <c r="H2" s="32" t="inlineStr">
        <is>
          <t>ELA</t>
        </is>
      </c>
      <c r="I2" s="32" t="inlineStr">
        <is>
          <t>PET Q7 (dont barquettes)</t>
        </is>
      </c>
      <c r="J2" s="32" t="inlineStr">
        <is>
          <t>PET Q8 (dont barquettes)</t>
        </is>
      </c>
      <c r="K2" s="32" t="inlineStr">
        <is>
          <t>PEPPPS (dont barquettes)</t>
        </is>
      </c>
      <c r="L2" s="32" t="inlineStr">
        <is>
          <t>films</t>
        </is>
      </c>
      <c r="M2" s="32" t="inlineStr">
        <is>
          <t>acier</t>
        </is>
      </c>
      <c r="N2" s="32" t="inlineStr">
        <is>
          <t>alu</t>
        </is>
      </c>
      <c r="O2" s="32" t="inlineStr">
        <is>
          <t>petits alu</t>
        </is>
      </c>
      <c r="P2" s="33" t="inlineStr">
        <is>
          <t>Refus indésirables (textiles, verres, fines)</t>
        </is>
      </c>
      <c r="Q2" s="5" t="inlineStr">
        <is>
          <t>TOTAL</t>
        </is>
      </c>
      <c r="R2" s="40" t="n"/>
      <c r="S2" s="30" t="inlineStr">
        <is>
          <t>JRM</t>
        </is>
      </c>
      <c r="T2" s="30" t="inlineStr">
        <is>
          <t>enveloppes blanches</t>
        </is>
      </c>
      <c r="U2" s="30" t="inlineStr">
        <is>
          <t>papier emballage et teintés (écrit couleurs)</t>
        </is>
      </c>
      <c r="V2" s="31" t="inlineStr">
        <is>
          <t>1.05</t>
        </is>
      </c>
      <c r="W2" s="31" t="inlineStr">
        <is>
          <t>1.04</t>
        </is>
      </c>
      <c r="X2" s="31" t="inlineStr">
        <is>
          <t>GM</t>
        </is>
      </c>
      <c r="Y2" s="32" t="inlineStr">
        <is>
          <t>ELA</t>
        </is>
      </c>
      <c r="Z2" s="32" t="inlineStr">
        <is>
          <t>PET Q7 (dont barquettes)</t>
        </is>
      </c>
      <c r="AA2" s="32" t="inlineStr">
        <is>
          <t>PET Q8 (dont barquettes)</t>
        </is>
      </c>
      <c r="AB2" s="32" t="inlineStr">
        <is>
          <t>PEPPPS (dont barquettes)</t>
        </is>
      </c>
      <c r="AC2" s="32" t="inlineStr">
        <is>
          <t>films</t>
        </is>
      </c>
      <c r="AD2" s="32" t="inlineStr">
        <is>
          <t>acier</t>
        </is>
      </c>
      <c r="AE2" s="32" t="inlineStr">
        <is>
          <t>alu</t>
        </is>
      </c>
      <c r="AF2" s="32" t="inlineStr">
        <is>
          <t>petits alu</t>
        </is>
      </c>
      <c r="AG2" s="33" t="inlineStr">
        <is>
          <t>Refus indésirables (textiles, verres, fines)</t>
        </is>
      </c>
      <c r="AH2" s="31" t="inlineStr">
        <is>
          <t>TOTAL refus fibreux valorisables</t>
        </is>
      </c>
      <c r="AI2" s="32" t="inlineStr">
        <is>
          <t>TOTAL refus non fibreux valorisables</t>
        </is>
      </c>
      <c r="AJ2" s="33" t="inlineStr">
        <is>
          <t>TOTAL REFUS</t>
        </is>
      </c>
      <c r="AK2" s="33" t="inlineStr">
        <is>
          <t>TOTAL REFUS + refus fibreux</t>
        </is>
      </c>
      <c r="AL2" s="33" t="inlineStr">
        <is>
          <t xml:space="preserve">Contaminant A </t>
        </is>
      </c>
      <c r="AM2" s="33" t="inlineStr">
        <is>
          <t>Contaminant B</t>
        </is>
      </c>
      <c r="AN2" s="112" t="inlineStr">
        <is>
          <t>JRM pureté</t>
        </is>
      </c>
      <c r="AO2" s="112" t="inlineStr">
        <is>
          <t>Année</t>
        </is>
      </c>
      <c r="AP2" s="112" t="inlineStr">
        <is>
          <t>Mois</t>
        </is>
      </c>
      <c r="AQ2" s="112" t="inlineStr">
        <is>
          <t>nb caract</t>
        </is>
      </c>
    </row>
    <row r="3" hidden="1" ht="15.75" customFormat="1" customHeight="1" s="2">
      <c r="A3" s="9" t="n"/>
      <c r="B3" s="2" t="n">
        <v>16.55</v>
      </c>
      <c r="E3" s="2" t="n">
        <v>0.19</v>
      </c>
      <c r="F3" s="2" t="n">
        <v>1.86</v>
      </c>
      <c r="G3" s="2" t="n">
        <v>1.09</v>
      </c>
      <c r="I3" s="2" t="n">
        <v>0.03</v>
      </c>
      <c r="P3" s="2" t="n">
        <v>0.78</v>
      </c>
      <c r="Q3" s="2">
        <f>SUM(B3:P3)</f>
        <v/>
      </c>
      <c r="R3" s="25" t="n"/>
      <c r="S3" s="62">
        <f>(B3/$Q3)</f>
        <v/>
      </c>
      <c r="T3" s="62">
        <f>(C3/$Q3)</f>
        <v/>
      </c>
      <c r="U3" s="62">
        <f>(D3/$Q3)</f>
        <v/>
      </c>
      <c r="V3" s="62">
        <f>(E3/$Q3)</f>
        <v/>
      </c>
      <c r="W3" s="62">
        <f>(F3/$Q3)</f>
        <v/>
      </c>
      <c r="X3" s="62">
        <f>(G3/$Q3)</f>
        <v/>
      </c>
      <c r="Y3" s="62">
        <f>(H3/$Q3)</f>
        <v/>
      </c>
      <c r="Z3" s="62">
        <f>(I3/$Q3)</f>
        <v/>
      </c>
      <c r="AA3" s="62">
        <f>(J3/$Q3)</f>
        <v/>
      </c>
      <c r="AB3" s="62">
        <f>(K3/$Q3)</f>
        <v/>
      </c>
      <c r="AC3" s="62">
        <f>(L3/$Q3)</f>
        <v/>
      </c>
      <c r="AD3" s="62">
        <f>(M3/$Q3)</f>
        <v/>
      </c>
      <c r="AE3" s="62">
        <f>(N3/$Q3)</f>
        <v/>
      </c>
      <c r="AF3" s="62">
        <f>(O3/$Q3)</f>
        <v/>
      </c>
      <c r="AG3" s="62">
        <f>(P3/$Q3)</f>
        <v/>
      </c>
      <c r="AH3" s="62">
        <f>SUM(V3:X3)</f>
        <v/>
      </c>
      <c r="AI3" s="76">
        <f>SUM(Z3:AF3)</f>
        <v/>
      </c>
      <c r="AJ3" s="43">
        <f>SUM(AG3+AI3)</f>
        <v/>
      </c>
      <c r="AK3" s="44">
        <f>AJ3+AH3</f>
        <v/>
      </c>
      <c r="AL3" s="63">
        <f>SUM(V3,Y3:AG3)</f>
        <v/>
      </c>
      <c r="AM3" s="88">
        <f>SUM(W3:X3)</f>
        <v/>
      </c>
      <c r="AN3" s="88" t="n"/>
      <c r="AO3" s="2">
        <f>YEAR(A3)</f>
        <v/>
      </c>
      <c r="AP3" s="2">
        <f>MONTH(A3)</f>
        <v/>
      </c>
    </row>
    <row r="4" hidden="1" ht="15.75" customFormat="1" customHeight="1" s="2">
      <c r="A4" s="9" t="n">
        <v>44610</v>
      </c>
      <c r="B4" s="2" t="n">
        <v>16.43</v>
      </c>
      <c r="E4" s="2" t="n">
        <v>0.48</v>
      </c>
      <c r="F4" s="2" t="n">
        <v>1.81</v>
      </c>
      <c r="G4" s="2" t="n">
        <v>1.63</v>
      </c>
      <c r="I4" s="2" t="n">
        <v>0.09</v>
      </c>
      <c r="N4" s="2" t="n">
        <v>0.07000000000000001</v>
      </c>
      <c r="P4" s="2" t="n">
        <v>0.51</v>
      </c>
      <c r="Q4" s="2">
        <f>SUM(B4:P4)</f>
        <v/>
      </c>
      <c r="R4" s="25" t="n"/>
      <c r="S4" s="69">
        <f>(B4/$Q4)</f>
        <v/>
      </c>
      <c r="T4" s="69">
        <f>(C4/$Q4)</f>
        <v/>
      </c>
      <c r="U4" s="69">
        <f>(D4/$Q4)</f>
        <v/>
      </c>
      <c r="V4" s="69">
        <f>(E4/$Q4)</f>
        <v/>
      </c>
      <c r="W4" s="69">
        <f>(F4/$Q4)</f>
        <v/>
      </c>
      <c r="X4" s="69">
        <f>(G4/$Q4)</f>
        <v/>
      </c>
      <c r="Y4" s="69">
        <f>(H4/$Q4)</f>
        <v/>
      </c>
      <c r="Z4" s="69">
        <f>(I4/$Q4)</f>
        <v/>
      </c>
      <c r="AA4" s="69">
        <f>(J4/$Q4)</f>
        <v/>
      </c>
      <c r="AB4" s="69">
        <f>(K4/$Q4)</f>
        <v/>
      </c>
      <c r="AC4" s="69">
        <f>(L4/$Q4)</f>
        <v/>
      </c>
      <c r="AD4" s="69">
        <f>(M4/$Q4)</f>
        <v/>
      </c>
      <c r="AE4" s="69">
        <f>(N4/$Q4)</f>
        <v/>
      </c>
      <c r="AF4" s="69">
        <f>(O4/$Q4)</f>
        <v/>
      </c>
      <c r="AG4" s="69">
        <f>(P4/$Q4)</f>
        <v/>
      </c>
      <c r="AH4" s="69">
        <f>SUM(V4:X4)</f>
        <v/>
      </c>
      <c r="AI4" s="79">
        <f>SUM(Z4:AF4)</f>
        <v/>
      </c>
      <c r="AJ4" s="80">
        <f>SUM(AG4+AI4)</f>
        <v/>
      </c>
      <c r="AK4" s="81">
        <f>AJ4+AH4</f>
        <v/>
      </c>
      <c r="AL4" s="63">
        <f>SUM(V4,Y4:AG4)</f>
        <v/>
      </c>
      <c r="AM4" s="88">
        <f>SUM(W4:X4)</f>
        <v/>
      </c>
      <c r="AN4" s="88" t="n"/>
    </row>
    <row r="5" hidden="1" ht="15.75" customFormat="1" customHeight="1" s="2">
      <c r="A5" s="9" t="n">
        <v>44610</v>
      </c>
      <c r="B5" s="2" t="n">
        <v>14.88</v>
      </c>
      <c r="E5" s="2" t="n">
        <v>0.51</v>
      </c>
      <c r="F5" s="2" t="n">
        <v>1.7</v>
      </c>
      <c r="G5" s="2" t="n">
        <v>1.25</v>
      </c>
      <c r="I5" s="2" t="n">
        <v>0.17</v>
      </c>
      <c r="N5" s="2" t="n">
        <v>0.09</v>
      </c>
      <c r="P5" s="2" t="n">
        <v>0.45</v>
      </c>
      <c r="Q5" s="2">
        <f>SUM(B5:P5)</f>
        <v/>
      </c>
      <c r="R5" s="25" t="n"/>
      <c r="S5" s="69">
        <f>(B5/$Q5)</f>
        <v/>
      </c>
      <c r="T5" s="69">
        <f>(C5/$Q5)</f>
        <v/>
      </c>
      <c r="U5" s="69">
        <f>(D5/$Q5)</f>
        <v/>
      </c>
      <c r="V5" s="69">
        <f>(E5/$Q5)</f>
        <v/>
      </c>
      <c r="W5" s="69">
        <f>(F5/$Q5)</f>
        <v/>
      </c>
      <c r="X5" s="69">
        <f>(G5/$Q5)</f>
        <v/>
      </c>
      <c r="Y5" s="69">
        <f>(H5/$Q5)</f>
        <v/>
      </c>
      <c r="Z5" s="69">
        <f>(I5/$Q5)</f>
        <v/>
      </c>
      <c r="AA5" s="69">
        <f>(J5/$Q5)</f>
        <v/>
      </c>
      <c r="AB5" s="69">
        <f>(K5/$Q5)</f>
        <v/>
      </c>
      <c r="AC5" s="69">
        <f>(L5/$Q5)</f>
        <v/>
      </c>
      <c r="AD5" s="69">
        <f>(M5/$Q5)</f>
        <v/>
      </c>
      <c r="AE5" s="69">
        <f>(N5/$Q5)</f>
        <v/>
      </c>
      <c r="AF5" s="69">
        <f>(O5/$Q5)</f>
        <v/>
      </c>
      <c r="AG5" s="69">
        <f>(P5/$Q5)</f>
        <v/>
      </c>
      <c r="AH5" s="69">
        <f>SUM(V5:X5)</f>
        <v/>
      </c>
      <c r="AI5" s="79">
        <f>SUM(Z5:AF5)</f>
        <v/>
      </c>
      <c r="AJ5" s="80">
        <f>SUM(AG5+AI5)</f>
        <v/>
      </c>
      <c r="AK5" s="81">
        <f>AJ5+AH5</f>
        <v/>
      </c>
      <c r="AL5" s="63">
        <f>SUM(V5,Y5:AG5)</f>
        <v/>
      </c>
      <c r="AM5" s="88">
        <f>SUM(W5:X5)</f>
        <v/>
      </c>
      <c r="AN5" s="88" t="n"/>
    </row>
    <row r="6" hidden="1" ht="15.75" customFormat="1" customHeight="1" s="2">
      <c r="A6" s="9" t="n">
        <v>44608</v>
      </c>
      <c r="B6" s="2" t="n">
        <v>17.54</v>
      </c>
      <c r="E6" s="2" t="n">
        <v>0.76</v>
      </c>
      <c r="F6" s="2" t="n">
        <v>1.84</v>
      </c>
      <c r="G6" s="2" t="n">
        <v>1.38</v>
      </c>
      <c r="H6" s="2" t="n">
        <v>0.07000000000000001</v>
      </c>
      <c r="J6" s="2" t="n">
        <v>0.07000000000000001</v>
      </c>
      <c r="N6" s="2" t="n">
        <v>0.07000000000000001</v>
      </c>
      <c r="P6" s="2" t="n">
        <v>0.48</v>
      </c>
      <c r="Q6" s="2">
        <f>SUM(B6:P6)</f>
        <v/>
      </c>
      <c r="R6" s="25" t="n"/>
      <c r="S6" s="69">
        <f>(B6/$Q6)</f>
        <v/>
      </c>
      <c r="T6" s="69">
        <f>(C6/$Q6)</f>
        <v/>
      </c>
      <c r="U6" s="69">
        <f>(D6/$Q6)</f>
        <v/>
      </c>
      <c r="V6" s="69">
        <f>(E6/$Q6)</f>
        <v/>
      </c>
      <c r="W6" s="69">
        <f>(F6/$Q6)</f>
        <v/>
      </c>
      <c r="X6" s="69">
        <f>(G6/$Q6)</f>
        <v/>
      </c>
      <c r="Y6" s="69">
        <f>(H6/$Q6)</f>
        <v/>
      </c>
      <c r="Z6" s="69">
        <f>(I6/$Q6)</f>
        <v/>
      </c>
      <c r="AA6" s="69">
        <f>(J6/$Q6)</f>
        <v/>
      </c>
      <c r="AB6" s="69">
        <f>(K6/$Q6)</f>
        <v/>
      </c>
      <c r="AC6" s="69">
        <f>(L6/$Q6)</f>
        <v/>
      </c>
      <c r="AD6" s="69">
        <f>(M6/$Q6)</f>
        <v/>
      </c>
      <c r="AE6" s="69">
        <f>(N6/$Q6)</f>
        <v/>
      </c>
      <c r="AF6" s="69">
        <f>(O6/$Q6)</f>
        <v/>
      </c>
      <c r="AG6" s="69">
        <f>(P6/$Q6)</f>
        <v/>
      </c>
      <c r="AH6" s="69">
        <f>SUM(V6:X6)</f>
        <v/>
      </c>
      <c r="AI6" s="79">
        <f>SUM(Z6:AF6)</f>
        <v/>
      </c>
      <c r="AJ6" s="80">
        <f>SUM(AG6+AI6)</f>
        <v/>
      </c>
      <c r="AK6" s="81">
        <f>AJ6+AH6</f>
        <v/>
      </c>
      <c r="AL6" s="63">
        <f>SUM(V6,Y6:AG6)</f>
        <v/>
      </c>
      <c r="AM6" s="88">
        <f>SUM(W6:X6)</f>
        <v/>
      </c>
      <c r="AN6" s="88" t="n"/>
    </row>
    <row r="7" hidden="1" ht="15.75" customFormat="1" customHeight="1" s="2">
      <c r="A7" s="9" t="n">
        <v>44618</v>
      </c>
      <c r="B7" s="2" t="n">
        <v>18.13</v>
      </c>
      <c r="E7" s="2" t="n">
        <v>0.9399999999999999</v>
      </c>
      <c r="F7" s="2" t="n">
        <v>2.09</v>
      </c>
      <c r="G7" s="2" t="n">
        <v>1.32</v>
      </c>
      <c r="I7" s="2" t="n">
        <v>0.04</v>
      </c>
      <c r="J7" s="2" t="n">
        <v>0.07000000000000001</v>
      </c>
      <c r="N7" s="2" t="n">
        <v>0.03</v>
      </c>
      <c r="P7" s="2" t="n">
        <v>0.43</v>
      </c>
      <c r="Q7" s="2">
        <f>SUM(B7:P7)</f>
        <v/>
      </c>
      <c r="R7" s="25" t="n"/>
      <c r="S7" s="69">
        <f>(B7/$Q7)</f>
        <v/>
      </c>
      <c r="T7" s="69">
        <f>(C7/$Q7)</f>
        <v/>
      </c>
      <c r="U7" s="69">
        <f>(D7/$Q7)</f>
        <v/>
      </c>
      <c r="V7" s="69">
        <f>(E7/$Q7)</f>
        <v/>
      </c>
      <c r="W7" s="69">
        <f>(F7/$Q7)</f>
        <v/>
      </c>
      <c r="X7" s="69">
        <f>(G7/$Q7)</f>
        <v/>
      </c>
      <c r="Y7" s="69">
        <f>(H7/$Q7)</f>
        <v/>
      </c>
      <c r="Z7" s="69">
        <f>(I7/$Q7)</f>
        <v/>
      </c>
      <c r="AA7" s="69">
        <f>(J7/$Q7)</f>
        <v/>
      </c>
      <c r="AB7" s="69">
        <f>(K7/$Q7)</f>
        <v/>
      </c>
      <c r="AC7" s="69">
        <f>(L7/$Q7)</f>
        <v/>
      </c>
      <c r="AD7" s="69">
        <f>(M7/$Q7)</f>
        <v/>
      </c>
      <c r="AE7" s="69">
        <f>(N7/$Q7)</f>
        <v/>
      </c>
      <c r="AF7" s="69">
        <f>(O7/$Q7)</f>
        <v/>
      </c>
      <c r="AG7" s="69">
        <f>(P7/$Q7)</f>
        <v/>
      </c>
      <c r="AH7" s="69">
        <f>SUM(V7:X7)</f>
        <v/>
      </c>
      <c r="AI7" s="79">
        <f>SUM(Z7:AF7)</f>
        <v/>
      </c>
      <c r="AJ7" s="80">
        <f>SUM(AG7+AI7)</f>
        <v/>
      </c>
      <c r="AK7" s="81">
        <f>AJ7+AH7</f>
        <v/>
      </c>
      <c r="AL7" s="63">
        <f>SUM(V7,Y7:AG7)</f>
        <v/>
      </c>
      <c r="AM7" s="88">
        <f>SUM(W7:X7)</f>
        <v/>
      </c>
      <c r="AN7" s="88" t="n"/>
    </row>
    <row r="8" hidden="1" ht="15.75" customFormat="1" customHeight="1" s="2">
      <c r="A8" s="9" t="n">
        <v>44621</v>
      </c>
      <c r="B8" s="2" t="n">
        <v>16.23</v>
      </c>
      <c r="E8" s="2" t="n">
        <v>0.93</v>
      </c>
      <c r="F8" s="2" t="n">
        <v>2.49</v>
      </c>
      <c r="G8" s="2" t="n">
        <v>1.69</v>
      </c>
      <c r="J8" s="2" t="n">
        <v>0.07000000000000001</v>
      </c>
      <c r="N8" s="2" t="n">
        <v>0.06</v>
      </c>
      <c r="O8" s="2" t="n">
        <v>0.07000000000000001</v>
      </c>
      <c r="P8" s="2" t="n">
        <v>0.77</v>
      </c>
      <c r="Q8" s="2">
        <f>SUM(B8:P8)</f>
        <v/>
      </c>
      <c r="R8" s="25" t="n"/>
      <c r="S8" s="69">
        <f>(B8/$Q8)</f>
        <v/>
      </c>
      <c r="T8" s="69">
        <f>(C8/$Q8)</f>
        <v/>
      </c>
      <c r="U8" s="69">
        <f>(D8/$Q8)</f>
        <v/>
      </c>
      <c r="V8" s="69">
        <f>(E8/$Q8)</f>
        <v/>
      </c>
      <c r="W8" s="69">
        <f>(F8/$Q8)</f>
        <v/>
      </c>
      <c r="X8" s="69">
        <f>(G8/$Q8)</f>
        <v/>
      </c>
      <c r="Y8" s="69">
        <f>(H8/$Q8)</f>
        <v/>
      </c>
      <c r="Z8" s="69">
        <f>(I8/$Q8)</f>
        <v/>
      </c>
      <c r="AA8" s="69">
        <f>(J8/$Q8)</f>
        <v/>
      </c>
      <c r="AB8" s="69">
        <f>(K8/$Q8)</f>
        <v/>
      </c>
      <c r="AC8" s="69">
        <f>(L8/$Q8)</f>
        <v/>
      </c>
      <c r="AD8" s="69">
        <f>(M8/$Q8)</f>
        <v/>
      </c>
      <c r="AE8" s="69">
        <f>(N8/$Q8)</f>
        <v/>
      </c>
      <c r="AF8" s="69">
        <f>(O8/$Q8)</f>
        <v/>
      </c>
      <c r="AG8" s="69">
        <f>(P8/$Q8)</f>
        <v/>
      </c>
      <c r="AH8" s="69">
        <f>SUM(V8:X8)</f>
        <v/>
      </c>
      <c r="AI8" s="79">
        <f>SUM(Z8:AF8)</f>
        <v/>
      </c>
      <c r="AJ8" s="80">
        <f>SUM(AG8+AI8)</f>
        <v/>
      </c>
      <c r="AK8" s="81">
        <f>AJ8+AH8</f>
        <v/>
      </c>
      <c r="AL8" s="63">
        <f>SUM(V8,Y8:AG8)</f>
        <v/>
      </c>
      <c r="AM8" s="88">
        <f>SUM(W8:X8)</f>
        <v/>
      </c>
      <c r="AN8" s="88" t="n"/>
    </row>
    <row r="9" hidden="1" ht="15.75" customFormat="1" customHeight="1" s="2">
      <c r="A9" s="9" t="n">
        <v>44621</v>
      </c>
      <c r="B9" s="2" t="n">
        <v>18.2</v>
      </c>
      <c r="E9" s="2" t="n">
        <v>0.89</v>
      </c>
      <c r="F9" s="2" t="n">
        <v>0.36</v>
      </c>
      <c r="G9" s="2" t="n">
        <v>1.71</v>
      </c>
      <c r="J9" s="2" t="n">
        <v>0.08</v>
      </c>
      <c r="N9" s="2" t="n">
        <v>0.07000000000000001</v>
      </c>
      <c r="O9" s="2" t="n">
        <v>0.06</v>
      </c>
      <c r="P9" s="2" t="n">
        <v>0.53</v>
      </c>
      <c r="Q9" s="2">
        <f>SUM(B9:P9)</f>
        <v/>
      </c>
      <c r="R9" s="25" t="n"/>
      <c r="S9" s="69">
        <f>(B9/$Q9)</f>
        <v/>
      </c>
      <c r="T9" s="69">
        <f>(C9/$Q9)</f>
        <v/>
      </c>
      <c r="U9" s="69">
        <f>(D9/$Q9)</f>
        <v/>
      </c>
      <c r="V9" s="69">
        <f>(E9/$Q9)</f>
        <v/>
      </c>
      <c r="W9" s="69">
        <f>(F9/$Q9)</f>
        <v/>
      </c>
      <c r="X9" s="69">
        <f>(G9/$Q9)</f>
        <v/>
      </c>
      <c r="Y9" s="69">
        <f>(H9/$Q9)</f>
        <v/>
      </c>
      <c r="Z9" s="69">
        <f>(I9/$Q9)</f>
        <v/>
      </c>
      <c r="AA9" s="69">
        <f>(J9/$Q9)</f>
        <v/>
      </c>
      <c r="AB9" s="69">
        <f>(K9/$Q9)</f>
        <v/>
      </c>
      <c r="AC9" s="69">
        <f>(L9/$Q9)</f>
        <v/>
      </c>
      <c r="AD9" s="69">
        <f>(M9/$Q9)</f>
        <v/>
      </c>
      <c r="AE9" s="69">
        <f>(N9/$Q9)</f>
        <v/>
      </c>
      <c r="AF9" s="69">
        <f>(O9/$Q9)</f>
        <v/>
      </c>
      <c r="AG9" s="69">
        <f>(P9/$Q9)</f>
        <v/>
      </c>
      <c r="AH9" s="69">
        <f>SUM(V9:X9)</f>
        <v/>
      </c>
      <c r="AI9" s="79">
        <f>SUM(Z9:AF9)</f>
        <v/>
      </c>
      <c r="AJ9" s="80">
        <f>SUM(AG9+AI9)</f>
        <v/>
      </c>
      <c r="AK9" s="81">
        <f>AJ9+AH9</f>
        <v/>
      </c>
      <c r="AL9" s="63">
        <f>SUM(V9,Y9:AG9)</f>
        <v/>
      </c>
      <c r="AM9" s="88">
        <f>SUM(W9:X9)</f>
        <v/>
      </c>
      <c r="AN9" s="88" t="n"/>
    </row>
    <row r="10" hidden="1" ht="15.75" customFormat="1" customHeight="1" s="2">
      <c r="A10" s="9" t="n">
        <v>44623</v>
      </c>
      <c r="B10" s="2" t="n">
        <v>19.2</v>
      </c>
      <c r="E10" s="2" t="n">
        <v>0.76</v>
      </c>
      <c r="F10" s="2" t="n">
        <v>2.22</v>
      </c>
      <c r="G10" s="2" t="n">
        <v>1</v>
      </c>
      <c r="H10" s="2" t="n">
        <v>0.04</v>
      </c>
      <c r="J10" s="2" t="n">
        <v>0.06</v>
      </c>
      <c r="K10" s="2" t="n">
        <v>0.04</v>
      </c>
      <c r="N10" s="2" t="n">
        <v>0.04</v>
      </c>
      <c r="O10" s="2" t="n">
        <v>0.06</v>
      </c>
      <c r="P10" s="2" t="n">
        <v>0.58</v>
      </c>
      <c r="Q10" s="2">
        <f>SUM(B10:P10)</f>
        <v/>
      </c>
      <c r="R10" s="25" t="n"/>
      <c r="S10" s="69">
        <f>(B10/$Q10)</f>
        <v/>
      </c>
      <c r="T10" s="69">
        <f>(C10/$Q10)</f>
        <v/>
      </c>
      <c r="U10" s="69">
        <f>(D10/$Q10)</f>
        <v/>
      </c>
      <c r="V10" s="69">
        <f>(E10/$Q10)</f>
        <v/>
      </c>
      <c r="W10" s="69">
        <f>(F10/$Q10)</f>
        <v/>
      </c>
      <c r="X10" s="69">
        <f>(G10/$Q10)</f>
        <v/>
      </c>
      <c r="Y10" s="69">
        <f>(H10/$Q10)</f>
        <v/>
      </c>
      <c r="Z10" s="69">
        <f>(I10/$Q10)</f>
        <v/>
      </c>
      <c r="AA10" s="69">
        <f>(J10/$Q10)</f>
        <v/>
      </c>
      <c r="AB10" s="69">
        <f>(K10/$Q10)</f>
        <v/>
      </c>
      <c r="AC10" s="69">
        <f>(L10/$Q10)</f>
        <v/>
      </c>
      <c r="AD10" s="69">
        <f>(M10/$Q10)</f>
        <v/>
      </c>
      <c r="AE10" s="69">
        <f>(N10/$Q10)</f>
        <v/>
      </c>
      <c r="AF10" s="69">
        <f>(O10/$Q10)</f>
        <v/>
      </c>
      <c r="AG10" s="69">
        <f>(P10/$Q10)</f>
        <v/>
      </c>
      <c r="AH10" s="69">
        <f>SUM(V10:X10)</f>
        <v/>
      </c>
      <c r="AI10" s="79">
        <f>SUM(Z10:AF10)</f>
        <v/>
      </c>
      <c r="AJ10" s="80">
        <f>SUM(AG10+AI10)</f>
        <v/>
      </c>
      <c r="AK10" s="81">
        <f>AJ10+AH10</f>
        <v/>
      </c>
      <c r="AL10" s="63">
        <f>SUM(V10,Y10:AG10)</f>
        <v/>
      </c>
      <c r="AM10" s="88">
        <f>SUM(W10:X10)</f>
        <v/>
      </c>
      <c r="AN10" s="88" t="n"/>
    </row>
    <row r="11" hidden="1" ht="15.75" customFormat="1" customHeight="1" s="2">
      <c r="A11" s="9" t="n">
        <v>44624</v>
      </c>
      <c r="B11" s="2" t="n">
        <v>16.45</v>
      </c>
      <c r="E11" s="2" t="n">
        <v>0.72</v>
      </c>
      <c r="F11" s="2" t="n">
        <v>2.26</v>
      </c>
      <c r="G11" s="2" t="n">
        <v>2.16</v>
      </c>
      <c r="I11" s="2" t="n">
        <v>0.03</v>
      </c>
      <c r="N11" s="2" t="n">
        <v>0.02</v>
      </c>
      <c r="O11" s="2" t="n">
        <v>0.04</v>
      </c>
      <c r="P11" s="2" t="n">
        <v>0.74</v>
      </c>
      <c r="Q11" s="2">
        <f>SUM(B11:P11)</f>
        <v/>
      </c>
      <c r="R11" s="25" t="n"/>
      <c r="S11" s="69">
        <f>(B11/$Q11)</f>
        <v/>
      </c>
      <c r="T11" s="69">
        <f>(C11/$Q11)</f>
        <v/>
      </c>
      <c r="U11" s="69">
        <f>(D11/$Q11)</f>
        <v/>
      </c>
      <c r="V11" s="69">
        <f>(E11/$Q11)</f>
        <v/>
      </c>
      <c r="W11" s="69">
        <f>(F11/$Q11)</f>
        <v/>
      </c>
      <c r="X11" s="69">
        <f>(G11/$Q11)</f>
        <v/>
      </c>
      <c r="Y11" s="69">
        <f>(H11/$Q11)</f>
        <v/>
      </c>
      <c r="Z11" s="69">
        <f>(I11/$Q11)</f>
        <v/>
      </c>
      <c r="AA11" s="69">
        <f>(J11/$Q11)</f>
        <v/>
      </c>
      <c r="AB11" s="69">
        <f>(K11/$Q11)</f>
        <v/>
      </c>
      <c r="AC11" s="69">
        <f>(L11/$Q11)</f>
        <v/>
      </c>
      <c r="AD11" s="69">
        <f>(M11/$Q11)</f>
        <v/>
      </c>
      <c r="AE11" s="69">
        <f>(N11/$Q11)</f>
        <v/>
      </c>
      <c r="AF11" s="69">
        <f>(O11/$Q11)</f>
        <v/>
      </c>
      <c r="AG11" s="69">
        <f>(P11/$Q11)</f>
        <v/>
      </c>
      <c r="AH11" s="69">
        <f>SUM(V11:X11)</f>
        <v/>
      </c>
      <c r="AI11" s="79">
        <f>SUM(Z11:AF11)</f>
        <v/>
      </c>
      <c r="AJ11" s="80">
        <f>SUM(AG11+AI11)</f>
        <v/>
      </c>
      <c r="AK11" s="81">
        <f>AJ11+AH11</f>
        <v/>
      </c>
      <c r="AL11" s="63">
        <f>SUM(V11,Y11:AG11)</f>
        <v/>
      </c>
      <c r="AM11" s="88">
        <f>SUM(W11:X11)</f>
        <v/>
      </c>
      <c r="AN11" s="88" t="n"/>
    </row>
    <row r="12" hidden="1" ht="15.75" customFormat="1" customHeight="1" s="2">
      <c r="A12" s="9" t="n">
        <v>44624</v>
      </c>
      <c r="B12" s="2" t="n">
        <v>18.18</v>
      </c>
      <c r="E12" s="2" t="n">
        <v>0.6</v>
      </c>
      <c r="F12" s="2" t="n">
        <v>1.56</v>
      </c>
      <c r="G12" s="2" t="n">
        <v>1.23</v>
      </c>
      <c r="J12" s="2" t="n">
        <v>0.04</v>
      </c>
      <c r="M12" s="2" t="n">
        <v>0.03</v>
      </c>
      <c r="N12" s="2" t="n">
        <v>0.04</v>
      </c>
      <c r="O12" s="2" t="n">
        <v>0.03</v>
      </c>
      <c r="P12" s="2" t="n">
        <v>0.5600000000000001</v>
      </c>
      <c r="Q12" s="2">
        <f>SUM(B12:P12)</f>
        <v/>
      </c>
      <c r="R12" s="25" t="n"/>
      <c r="S12" s="69">
        <f>(B12/$Q12)</f>
        <v/>
      </c>
      <c r="T12" s="69">
        <f>(C12/$Q12)</f>
        <v/>
      </c>
      <c r="U12" s="69">
        <f>(D12/$Q12)</f>
        <v/>
      </c>
      <c r="V12" s="69">
        <f>(E12/$Q12)</f>
        <v/>
      </c>
      <c r="W12" s="69">
        <f>(F12/$Q12)</f>
        <v/>
      </c>
      <c r="X12" s="69">
        <f>(G12/$Q12)</f>
        <v/>
      </c>
      <c r="Y12" s="69">
        <f>(H12/$Q12)</f>
        <v/>
      </c>
      <c r="Z12" s="69">
        <f>(I12/$Q12)</f>
        <v/>
      </c>
      <c r="AA12" s="69">
        <f>(J12/$Q12)</f>
        <v/>
      </c>
      <c r="AB12" s="69">
        <f>(K12/$Q12)</f>
        <v/>
      </c>
      <c r="AC12" s="69">
        <f>(L12/$Q12)</f>
        <v/>
      </c>
      <c r="AD12" s="69">
        <f>(M12/$Q12)</f>
        <v/>
      </c>
      <c r="AE12" s="69">
        <f>(N12/$Q12)</f>
        <v/>
      </c>
      <c r="AF12" s="69">
        <f>(O12/$Q12)</f>
        <v/>
      </c>
      <c r="AG12" s="69">
        <f>(P12/$Q12)</f>
        <v/>
      </c>
      <c r="AH12" s="69">
        <f>SUM(V12:X12)</f>
        <v/>
      </c>
      <c r="AI12" s="79">
        <f>SUM(Z12:AF12)</f>
        <v/>
      </c>
      <c r="AJ12" s="80">
        <f>SUM(AG12+AI12)</f>
        <v/>
      </c>
      <c r="AK12" s="81">
        <f>AJ12+AH12</f>
        <v/>
      </c>
      <c r="AL12" s="63">
        <f>SUM(V12,Y12:AG12)</f>
        <v/>
      </c>
      <c r="AM12" s="88">
        <f>SUM(W12:X12)</f>
        <v/>
      </c>
      <c r="AN12" s="88" t="n"/>
    </row>
    <row r="13" hidden="1" ht="15.75" customFormat="1" customHeight="1" s="2">
      <c r="A13" s="9" t="n">
        <v>44625</v>
      </c>
      <c r="B13" s="2" t="n">
        <v>20.24</v>
      </c>
      <c r="E13" s="2" t="n">
        <v>1.04</v>
      </c>
      <c r="F13" s="2" t="n">
        <v>2.22</v>
      </c>
      <c r="G13" s="2" t="n">
        <v>1.56</v>
      </c>
      <c r="I13" s="2" t="n">
        <v>0.04</v>
      </c>
      <c r="J13" s="2" t="n">
        <v>0.04</v>
      </c>
      <c r="O13" s="2" t="n">
        <v>0.06</v>
      </c>
      <c r="P13" s="2" t="n">
        <v>0.44</v>
      </c>
      <c r="Q13" s="2">
        <f>SUM(B13:P13)</f>
        <v/>
      </c>
      <c r="R13" s="25" t="n"/>
      <c r="S13" s="69">
        <f>(B13/$Q13)</f>
        <v/>
      </c>
      <c r="T13" s="69">
        <f>(C13/$Q13)</f>
        <v/>
      </c>
      <c r="U13" s="69">
        <f>(D13/$Q13)</f>
        <v/>
      </c>
      <c r="V13" s="69">
        <f>(E13/$Q13)</f>
        <v/>
      </c>
      <c r="W13" s="69">
        <f>(F13/$Q13)</f>
        <v/>
      </c>
      <c r="X13" s="69">
        <f>(G13/$Q13)</f>
        <v/>
      </c>
      <c r="Y13" s="69">
        <f>(H13/$Q13)</f>
        <v/>
      </c>
      <c r="Z13" s="69">
        <f>(I13/$Q13)</f>
        <v/>
      </c>
      <c r="AA13" s="69">
        <f>(J13/$Q13)</f>
        <v/>
      </c>
      <c r="AB13" s="69">
        <f>(K13/$Q13)</f>
        <v/>
      </c>
      <c r="AC13" s="69">
        <f>(L13/$Q13)</f>
        <v/>
      </c>
      <c r="AD13" s="69">
        <f>(M13/$Q13)</f>
        <v/>
      </c>
      <c r="AE13" s="69">
        <f>(N13/$Q13)</f>
        <v/>
      </c>
      <c r="AF13" s="69">
        <f>(O13/$Q13)</f>
        <v/>
      </c>
      <c r="AG13" s="69">
        <f>(P13/$Q13)</f>
        <v/>
      </c>
      <c r="AH13" s="69">
        <f>SUM(V13:X13)</f>
        <v/>
      </c>
      <c r="AI13" s="79">
        <f>SUM(Z13:AF13)</f>
        <v/>
      </c>
      <c r="AJ13" s="80">
        <f>SUM(AG13+AI13)</f>
        <v/>
      </c>
      <c r="AK13" s="81">
        <f>AJ13+AH13</f>
        <v/>
      </c>
      <c r="AL13" s="63">
        <f>SUM(V13,Y13:AG13)</f>
        <v/>
      </c>
      <c r="AM13" s="88">
        <f>SUM(W13:X13)</f>
        <v/>
      </c>
      <c r="AN13" s="88" t="n"/>
    </row>
    <row r="14" hidden="1" ht="15.75" customFormat="1" customHeight="1" s="2">
      <c r="A14" s="9" t="n">
        <v>44625</v>
      </c>
      <c r="B14" s="2" t="n">
        <v>18.61</v>
      </c>
      <c r="E14" s="2" t="n">
        <v>0.72</v>
      </c>
      <c r="F14" s="2" t="n">
        <v>1.64</v>
      </c>
      <c r="G14" s="2" t="n">
        <v>1.03</v>
      </c>
      <c r="J14" s="2" t="n">
        <v>0.07000000000000001</v>
      </c>
      <c r="N14" s="2" t="n">
        <v>0.03</v>
      </c>
      <c r="O14" s="2" t="n">
        <v>0.03</v>
      </c>
      <c r="P14" s="2" t="n">
        <v>0.38</v>
      </c>
      <c r="Q14" s="2">
        <f>SUM(B14:P14)</f>
        <v/>
      </c>
      <c r="R14" s="25" t="n"/>
      <c r="S14" s="69">
        <f>(B14/$Q14)</f>
        <v/>
      </c>
      <c r="T14" s="69">
        <f>(C14/$Q14)</f>
        <v/>
      </c>
      <c r="U14" s="69">
        <f>(D14/$Q14)</f>
        <v/>
      </c>
      <c r="V14" s="69">
        <f>(E14/$Q14)</f>
        <v/>
      </c>
      <c r="W14" s="69">
        <f>(F14/$Q14)</f>
        <v/>
      </c>
      <c r="X14" s="69">
        <f>(G14/$Q14)</f>
        <v/>
      </c>
      <c r="Y14" s="69">
        <f>(H14/$Q14)</f>
        <v/>
      </c>
      <c r="Z14" s="69">
        <f>(I14/$Q14)</f>
        <v/>
      </c>
      <c r="AA14" s="69">
        <f>(J14/$Q14)</f>
        <v/>
      </c>
      <c r="AB14" s="69">
        <f>(K14/$Q14)</f>
        <v/>
      </c>
      <c r="AC14" s="69">
        <f>(L14/$Q14)</f>
        <v/>
      </c>
      <c r="AD14" s="69">
        <f>(M14/$Q14)</f>
        <v/>
      </c>
      <c r="AE14" s="69">
        <f>(N14/$Q14)</f>
        <v/>
      </c>
      <c r="AF14" s="69">
        <f>(O14/$Q14)</f>
        <v/>
      </c>
      <c r="AG14" s="69">
        <f>(P14/$Q14)</f>
        <v/>
      </c>
      <c r="AH14" s="69">
        <f>SUM(V14:X14)</f>
        <v/>
      </c>
      <c r="AI14" s="79">
        <f>SUM(Z14:AF14)</f>
        <v/>
      </c>
      <c r="AJ14" s="80">
        <f>SUM(AG14+AI14)</f>
        <v/>
      </c>
      <c r="AK14" s="81">
        <f>AJ14+AH14</f>
        <v/>
      </c>
      <c r="AL14" s="63">
        <f>SUM(V14,Y14:AG14)</f>
        <v/>
      </c>
      <c r="AM14" s="88">
        <f>SUM(W14:X14)</f>
        <v/>
      </c>
      <c r="AN14" s="88" t="n"/>
    </row>
    <row r="15" hidden="1" ht="15.75" customFormat="1" customHeight="1" s="2">
      <c r="A15" s="9" t="n">
        <v>44627</v>
      </c>
      <c r="B15" s="2" t="n">
        <v>19.14</v>
      </c>
      <c r="E15" s="2" t="n">
        <v>1.08</v>
      </c>
      <c r="F15" s="2" t="n">
        <v>3.82</v>
      </c>
      <c r="I15" s="2" t="n">
        <v>0.1</v>
      </c>
      <c r="N15" s="2" t="n">
        <v>0.02</v>
      </c>
      <c r="O15" s="2" t="n">
        <v>0.8</v>
      </c>
      <c r="P15" s="2" t="n">
        <v>1.64</v>
      </c>
      <c r="Q15" s="2">
        <f>SUM(B15:P15)</f>
        <v/>
      </c>
      <c r="R15" s="25" t="n"/>
      <c r="S15" s="69">
        <f>(B15/$Q15)</f>
        <v/>
      </c>
      <c r="T15" s="69">
        <f>(C15/$Q15)</f>
        <v/>
      </c>
      <c r="U15" s="69">
        <f>(D15/$Q15)</f>
        <v/>
      </c>
      <c r="V15" s="69">
        <f>(E15/$Q15)</f>
        <v/>
      </c>
      <c r="W15" s="69">
        <f>(F15/$Q15)</f>
        <v/>
      </c>
      <c r="X15" s="69">
        <f>(G15/$Q15)</f>
        <v/>
      </c>
      <c r="Y15" s="69">
        <f>(H15/$Q15)</f>
        <v/>
      </c>
      <c r="Z15" s="69">
        <f>(I15/$Q15)</f>
        <v/>
      </c>
      <c r="AA15" s="69">
        <f>(J15/$Q15)</f>
        <v/>
      </c>
      <c r="AB15" s="69">
        <f>(K15/$Q15)</f>
        <v/>
      </c>
      <c r="AC15" s="69">
        <f>(L15/$Q15)</f>
        <v/>
      </c>
      <c r="AD15" s="69">
        <f>(M15/$Q15)</f>
        <v/>
      </c>
      <c r="AE15" s="69">
        <f>(N15/$Q15)</f>
        <v/>
      </c>
      <c r="AF15" s="69">
        <f>(O15/$Q15)</f>
        <v/>
      </c>
      <c r="AG15" s="69">
        <f>(P15/$Q15)</f>
        <v/>
      </c>
      <c r="AH15" s="69">
        <f>SUM(V15:X15)</f>
        <v/>
      </c>
      <c r="AI15" s="79">
        <f>SUM(Z15:AF15)</f>
        <v/>
      </c>
      <c r="AJ15" s="80">
        <f>SUM(AG15+AI15)</f>
        <v/>
      </c>
      <c r="AK15" s="81">
        <f>AJ15+AH15</f>
        <v/>
      </c>
      <c r="AL15" s="63">
        <f>SUM(V15,Y15:AG15)</f>
        <v/>
      </c>
      <c r="AM15" s="88">
        <f>SUM(W15:X15)</f>
        <v/>
      </c>
      <c r="AN15" s="88" t="n"/>
    </row>
    <row r="16" hidden="1" ht="15.75" customFormat="1" customHeight="1" s="2">
      <c r="A16" s="9" t="n">
        <v>44627</v>
      </c>
      <c r="B16" s="2" t="n">
        <v>18.68</v>
      </c>
      <c r="E16" s="2" t="n">
        <v>0.26</v>
      </c>
      <c r="F16" s="2" t="n">
        <v>0.66</v>
      </c>
      <c r="G16" s="2" t="n">
        <v>0.18</v>
      </c>
      <c r="K16" s="2" t="n">
        <v>0.06</v>
      </c>
      <c r="L16" s="2" t="n">
        <v>0.02</v>
      </c>
      <c r="P16" s="2" t="n">
        <v>0.1</v>
      </c>
      <c r="Q16" s="2">
        <f>SUM(B16:P16)</f>
        <v/>
      </c>
      <c r="R16" s="25" t="n"/>
      <c r="S16" s="69">
        <f>(B16/$Q16)</f>
        <v/>
      </c>
      <c r="T16" s="69">
        <f>(C16/$Q16)</f>
        <v/>
      </c>
      <c r="U16" s="69">
        <f>(D16/$Q16)</f>
        <v/>
      </c>
      <c r="V16" s="69">
        <f>(E16/$Q16)</f>
        <v/>
      </c>
      <c r="W16" s="69">
        <f>(F16/$Q16)</f>
        <v/>
      </c>
      <c r="X16" s="69">
        <f>(G16/$Q16)</f>
        <v/>
      </c>
      <c r="Y16" s="69">
        <f>(H16/$Q16)</f>
        <v/>
      </c>
      <c r="Z16" s="69">
        <f>(I16/$Q16)</f>
        <v/>
      </c>
      <c r="AA16" s="69">
        <f>(J16/$Q16)</f>
        <v/>
      </c>
      <c r="AB16" s="69">
        <f>(K16/$Q16)</f>
        <v/>
      </c>
      <c r="AC16" s="69">
        <f>(L16/$Q16)</f>
        <v/>
      </c>
      <c r="AD16" s="69">
        <f>(M16/$Q16)</f>
        <v/>
      </c>
      <c r="AE16" s="69">
        <f>(N16/$Q16)</f>
        <v/>
      </c>
      <c r="AF16" s="69">
        <f>(O16/$Q16)</f>
        <v/>
      </c>
      <c r="AG16" s="69">
        <f>(P16/$Q16)</f>
        <v/>
      </c>
      <c r="AH16" s="69">
        <f>SUM(V16:X16)</f>
        <v/>
      </c>
      <c r="AI16" s="79">
        <f>SUM(Z16:AF16)</f>
        <v/>
      </c>
      <c r="AJ16" s="80">
        <f>SUM(AG16+AI16)</f>
        <v/>
      </c>
      <c r="AK16" s="81">
        <f>AJ16+AH16</f>
        <v/>
      </c>
      <c r="AL16" s="63">
        <f>SUM(V16,Y16:AG16)</f>
        <v/>
      </c>
      <c r="AM16" s="88">
        <f>SUM(W16:X16)</f>
        <v/>
      </c>
      <c r="AN16" s="88" t="n"/>
    </row>
    <row r="17" hidden="1" ht="15.75" customFormat="1" customHeight="1" s="2">
      <c r="A17" s="9" t="n">
        <v>44631</v>
      </c>
      <c r="B17" s="2" t="n">
        <v>21.46</v>
      </c>
      <c r="D17" s="2" t="n">
        <v>0.02</v>
      </c>
      <c r="E17" s="2" t="n">
        <v>0.76</v>
      </c>
      <c r="F17" s="2" t="n">
        <v>2.18</v>
      </c>
      <c r="G17" s="2" t="n">
        <v>0.48</v>
      </c>
      <c r="J17" s="2" t="n">
        <v>0.06</v>
      </c>
      <c r="K17" s="2" t="n">
        <v>0.08</v>
      </c>
      <c r="L17" s="2" t="n">
        <v>0.06</v>
      </c>
      <c r="P17" s="2" t="n">
        <v>0.3</v>
      </c>
      <c r="Q17" s="2">
        <f>SUM(B17:P17)</f>
        <v/>
      </c>
      <c r="R17" s="25" t="n"/>
      <c r="S17" s="69">
        <f>(B17/$Q17)</f>
        <v/>
      </c>
      <c r="T17" s="69">
        <f>(C17/$Q17)</f>
        <v/>
      </c>
      <c r="U17" s="69">
        <f>(D17/$Q17)</f>
        <v/>
      </c>
      <c r="V17" s="69">
        <f>(E17/$Q17)</f>
        <v/>
      </c>
      <c r="W17" s="69">
        <f>(F17/$Q17)</f>
        <v/>
      </c>
      <c r="X17" s="69">
        <f>(G17/$Q17)</f>
        <v/>
      </c>
      <c r="Y17" s="69">
        <f>(H17/$Q17)</f>
        <v/>
      </c>
      <c r="Z17" s="69">
        <f>(I17/$Q17)</f>
        <v/>
      </c>
      <c r="AA17" s="69">
        <f>(J17/$Q17)</f>
        <v/>
      </c>
      <c r="AB17" s="69">
        <f>(K17/$Q17)</f>
        <v/>
      </c>
      <c r="AC17" s="69">
        <f>(L17/$Q17)</f>
        <v/>
      </c>
      <c r="AD17" s="69">
        <f>(M17/$Q17)</f>
        <v/>
      </c>
      <c r="AE17" s="69">
        <f>(N17/$Q17)</f>
        <v/>
      </c>
      <c r="AF17" s="69">
        <f>(O17/$Q17)</f>
        <v/>
      </c>
      <c r="AG17" s="69">
        <f>(P17/$Q17)</f>
        <v/>
      </c>
      <c r="AH17" s="69">
        <f>SUM(V17:X17)</f>
        <v/>
      </c>
      <c r="AI17" s="79">
        <f>SUM(Z17:AF17)</f>
        <v/>
      </c>
      <c r="AJ17" s="80">
        <f>SUM(AG17+AI17)</f>
        <v/>
      </c>
      <c r="AK17" s="81">
        <f>AJ17+AH17</f>
        <v/>
      </c>
      <c r="AL17" s="63">
        <f>SUM(V17,Y17:AG17)</f>
        <v/>
      </c>
      <c r="AM17" s="88">
        <f>SUM(W17:X17)</f>
        <v/>
      </c>
      <c r="AN17" s="88" t="n"/>
    </row>
    <row r="18" hidden="1" ht="15.75" customFormat="1" customHeight="1" s="2">
      <c r="A18" s="9" t="n">
        <v>44634</v>
      </c>
      <c r="B18" s="2" t="n">
        <v>27.28</v>
      </c>
      <c r="C18" s="2" t="n">
        <v>0.28</v>
      </c>
      <c r="D18" s="2" t="n">
        <v>0.04</v>
      </c>
      <c r="E18" s="2" t="n">
        <v>0.92</v>
      </c>
      <c r="F18" s="2" t="n">
        <v>2.98</v>
      </c>
      <c r="G18" s="2" t="n">
        <v>0.54</v>
      </c>
      <c r="J18" s="2" t="n">
        <v>0.1</v>
      </c>
      <c r="L18" s="2" t="n">
        <v>0.06</v>
      </c>
      <c r="M18" s="2" t="n">
        <v>0.08</v>
      </c>
      <c r="O18" s="2" t="n">
        <v>0.02</v>
      </c>
      <c r="P18" s="2" t="n">
        <v>0.34</v>
      </c>
      <c r="Q18" s="2">
        <f>SUM(B18:P18)</f>
        <v/>
      </c>
      <c r="R18" s="25" t="n"/>
      <c r="S18" s="69">
        <f>(B18/$Q18)</f>
        <v/>
      </c>
      <c r="T18" s="69">
        <f>(C18/$Q18)</f>
        <v/>
      </c>
      <c r="U18" s="69">
        <f>(D18/$Q18)</f>
        <v/>
      </c>
      <c r="V18" s="69">
        <f>(E18/$Q18)</f>
        <v/>
      </c>
      <c r="W18" s="69">
        <f>(F18/$Q18)</f>
        <v/>
      </c>
      <c r="X18" s="69">
        <f>(G18/$Q18)</f>
        <v/>
      </c>
      <c r="Y18" s="69">
        <f>(H18/$Q18)</f>
        <v/>
      </c>
      <c r="Z18" s="69">
        <f>(I18/$Q18)</f>
        <v/>
      </c>
      <c r="AA18" s="69">
        <f>(J18/$Q18)</f>
        <v/>
      </c>
      <c r="AB18" s="69">
        <f>(K18/$Q18)</f>
        <v/>
      </c>
      <c r="AC18" s="69">
        <f>(L18/$Q18)</f>
        <v/>
      </c>
      <c r="AD18" s="69">
        <f>(M18/$Q18)</f>
        <v/>
      </c>
      <c r="AE18" s="69">
        <f>(N18/$Q18)</f>
        <v/>
      </c>
      <c r="AF18" s="69">
        <f>(O18/$Q18)</f>
        <v/>
      </c>
      <c r="AG18" s="69">
        <f>(P18/$Q18)</f>
        <v/>
      </c>
      <c r="AH18" s="69">
        <f>SUM(V18:X18)</f>
        <v/>
      </c>
      <c r="AI18" s="79">
        <f>SUM(Z18:AF18)</f>
        <v/>
      </c>
      <c r="AJ18" s="80">
        <f>SUM(AG18+AI18)</f>
        <v/>
      </c>
      <c r="AK18" s="81">
        <f>AJ18+AH18</f>
        <v/>
      </c>
      <c r="AL18" s="63">
        <f>SUM(V18,Y18:AG18)</f>
        <v/>
      </c>
      <c r="AM18" s="88">
        <f>SUM(W18:X18)</f>
        <v/>
      </c>
      <c r="AN18" s="88" t="n"/>
    </row>
    <row r="19" hidden="1" ht="15.75" customFormat="1" customHeight="1" s="2">
      <c r="A19" s="9" t="n">
        <v>44641</v>
      </c>
      <c r="B19" s="2" t="n">
        <v>20.62</v>
      </c>
      <c r="C19" s="2" t="n">
        <v>0.2</v>
      </c>
      <c r="D19" s="2" t="n">
        <v>0.1</v>
      </c>
      <c r="E19" s="2" t="n">
        <v>0.66</v>
      </c>
      <c r="F19" s="2" t="n">
        <v>1.72</v>
      </c>
      <c r="G19" s="2" t="n">
        <v>0.4</v>
      </c>
      <c r="L19" s="2" t="n">
        <v>0.06</v>
      </c>
      <c r="P19" s="2" t="n">
        <v>0.38</v>
      </c>
      <c r="Q19" s="2">
        <f>SUM(B19:P19)</f>
        <v/>
      </c>
      <c r="R19" s="25" t="n"/>
      <c r="S19" s="69">
        <f>(B19/$Q19)</f>
        <v/>
      </c>
      <c r="T19" s="69">
        <f>(C19/$Q19)</f>
        <v/>
      </c>
      <c r="U19" s="69">
        <f>(D19/$Q19)</f>
        <v/>
      </c>
      <c r="V19" s="69">
        <f>(E19/$Q19)</f>
        <v/>
      </c>
      <c r="W19" s="69">
        <f>(F19/$Q19)</f>
        <v/>
      </c>
      <c r="X19" s="69">
        <f>(G19/$Q19)</f>
        <v/>
      </c>
      <c r="Y19" s="69">
        <f>(H19/$Q19)</f>
        <v/>
      </c>
      <c r="Z19" s="69">
        <f>(I19/$Q19)</f>
        <v/>
      </c>
      <c r="AA19" s="69">
        <f>(J19/$Q19)</f>
        <v/>
      </c>
      <c r="AB19" s="69">
        <f>(K19/$Q19)</f>
        <v/>
      </c>
      <c r="AC19" s="69">
        <f>(L19/$Q19)</f>
        <v/>
      </c>
      <c r="AD19" s="69">
        <f>(M19/$Q19)</f>
        <v/>
      </c>
      <c r="AE19" s="69">
        <f>(N19/$Q19)</f>
        <v/>
      </c>
      <c r="AF19" s="69">
        <f>(O19/$Q19)</f>
        <v/>
      </c>
      <c r="AG19" s="69">
        <f>(P19/$Q19)</f>
        <v/>
      </c>
      <c r="AH19" s="69">
        <f>SUM(V19:X19)</f>
        <v/>
      </c>
      <c r="AI19" s="79">
        <f>SUM(Z19:AF19)</f>
        <v/>
      </c>
      <c r="AJ19" s="80">
        <f>SUM(AG19+AI19)</f>
        <v/>
      </c>
      <c r="AK19" s="81">
        <f>AJ19+AH19</f>
        <v/>
      </c>
      <c r="AL19" s="63">
        <f>SUM(V19,Y19:AG19)</f>
        <v/>
      </c>
      <c r="AM19" s="88">
        <f>SUM(W19:X19)</f>
        <v/>
      </c>
      <c r="AN19" s="88" t="n"/>
    </row>
    <row r="20" hidden="1" ht="15.75" customFormat="1" customHeight="1" s="2">
      <c r="A20" s="9" t="n">
        <v>44642</v>
      </c>
      <c r="B20" s="2" t="n">
        <v>25.43</v>
      </c>
      <c r="E20" s="2" t="n">
        <v>0.96</v>
      </c>
      <c r="F20" s="2" t="n">
        <v>2.36</v>
      </c>
      <c r="P20" s="2" t="n">
        <v>0.82</v>
      </c>
      <c r="Q20" s="2">
        <f>SUM(B20:P20)</f>
        <v/>
      </c>
      <c r="R20" s="25" t="n"/>
      <c r="S20" s="69">
        <f>(B20/$Q20)</f>
        <v/>
      </c>
      <c r="T20" s="69">
        <f>(C20/$Q20)</f>
        <v/>
      </c>
      <c r="U20" s="69">
        <f>(D20/$Q20)</f>
        <v/>
      </c>
      <c r="V20" s="69">
        <f>(E20/$Q20)</f>
        <v/>
      </c>
      <c r="W20" s="69">
        <f>(F20/$Q20)</f>
        <v/>
      </c>
      <c r="X20" s="69">
        <f>(G20/$Q20)</f>
        <v/>
      </c>
      <c r="Y20" s="69">
        <f>(H20/$Q20)</f>
        <v/>
      </c>
      <c r="Z20" s="69">
        <f>(I20/$Q20)</f>
        <v/>
      </c>
      <c r="AA20" s="69">
        <f>(J20/$Q20)</f>
        <v/>
      </c>
      <c r="AB20" s="69">
        <f>(K20/$Q20)</f>
        <v/>
      </c>
      <c r="AC20" s="69">
        <f>(L20/$Q20)</f>
        <v/>
      </c>
      <c r="AD20" s="69">
        <f>(M20/$Q20)</f>
        <v/>
      </c>
      <c r="AE20" s="69">
        <f>(N20/$Q20)</f>
        <v/>
      </c>
      <c r="AF20" s="69">
        <f>(O20/$Q20)</f>
        <v/>
      </c>
      <c r="AG20" s="69">
        <f>(P20/$Q20)</f>
        <v/>
      </c>
      <c r="AH20" s="69">
        <f>SUM(V20:X20)</f>
        <v/>
      </c>
      <c r="AI20" s="79">
        <f>SUM(Z20:AF20)</f>
        <v/>
      </c>
      <c r="AJ20" s="80">
        <f>SUM(AG20+AI20)</f>
        <v/>
      </c>
      <c r="AK20" s="81">
        <f>AJ20+AH20</f>
        <v/>
      </c>
      <c r="AL20" s="63">
        <f>SUM(V20,Y20:AG20)</f>
        <v/>
      </c>
      <c r="AM20" s="88">
        <f>SUM(W20:X20)</f>
        <v/>
      </c>
      <c r="AN20" s="88" t="n"/>
    </row>
    <row r="21" hidden="1" ht="15.75" customFormat="1" customHeight="1" s="2">
      <c r="A21" s="9" t="n">
        <v>44646</v>
      </c>
      <c r="B21" s="2" t="n">
        <v>23.64</v>
      </c>
      <c r="E21" s="2" t="n">
        <v>0.22</v>
      </c>
      <c r="F21" s="2" t="n">
        <v>1.38</v>
      </c>
      <c r="G21" s="2" t="n">
        <v>0.6</v>
      </c>
      <c r="L21" s="2" t="n">
        <v>0.06</v>
      </c>
      <c r="N21" s="2" t="n">
        <v>0.02</v>
      </c>
      <c r="P21" s="2" t="n">
        <v>0.06</v>
      </c>
      <c r="Q21" s="2">
        <f>SUM(B21:P21)</f>
        <v/>
      </c>
      <c r="R21" s="25" t="n"/>
      <c r="S21" s="69">
        <f>(B21/$Q21)</f>
        <v/>
      </c>
      <c r="T21" s="69">
        <f>(C21/$Q21)</f>
        <v/>
      </c>
      <c r="U21" s="69">
        <f>(D21/$Q21)</f>
        <v/>
      </c>
      <c r="V21" s="69">
        <f>(E21/$Q21)</f>
        <v/>
      </c>
      <c r="W21" s="69">
        <f>(F21/$Q21)</f>
        <v/>
      </c>
      <c r="X21" s="69">
        <f>(G21/$Q21)</f>
        <v/>
      </c>
      <c r="Y21" s="69">
        <f>(H21/$Q21)</f>
        <v/>
      </c>
      <c r="Z21" s="69">
        <f>(I21/$Q21)</f>
        <v/>
      </c>
      <c r="AA21" s="69">
        <f>(J21/$Q21)</f>
        <v/>
      </c>
      <c r="AB21" s="69">
        <f>(K21/$Q21)</f>
        <v/>
      </c>
      <c r="AC21" s="69">
        <f>(L21/$Q21)</f>
        <v/>
      </c>
      <c r="AD21" s="69">
        <f>(M21/$Q21)</f>
        <v/>
      </c>
      <c r="AE21" s="69">
        <f>(N21/$Q21)</f>
        <v/>
      </c>
      <c r="AF21" s="69">
        <f>(O21/$Q21)</f>
        <v/>
      </c>
      <c r="AG21" s="69">
        <f>(P21/$Q21)</f>
        <v/>
      </c>
      <c r="AH21" s="69">
        <f>SUM(V21:X21)</f>
        <v/>
      </c>
      <c r="AI21" s="79">
        <f>SUM(Z21:AF21)</f>
        <v/>
      </c>
      <c r="AJ21" s="80">
        <f>SUM(AG21+AI21)</f>
        <v/>
      </c>
      <c r="AK21" s="81">
        <f>AJ21+AH21</f>
        <v/>
      </c>
      <c r="AL21" s="63">
        <f>SUM(V21,Y21:AG21)</f>
        <v/>
      </c>
      <c r="AM21" s="88">
        <f>SUM(W21:X21)</f>
        <v/>
      </c>
      <c r="AN21" s="88" t="n"/>
    </row>
    <row r="22" hidden="1" ht="15.75" customFormat="1" customHeight="1" s="2">
      <c r="A22" s="9" t="n">
        <v>44656</v>
      </c>
      <c r="B22" s="2" t="n">
        <v>25.88</v>
      </c>
      <c r="C22" s="2" t="n">
        <v>0.24</v>
      </c>
      <c r="E22" s="2" t="n">
        <v>0.36</v>
      </c>
      <c r="F22" s="2" t="n">
        <v>1.84</v>
      </c>
      <c r="G22" s="2" t="n">
        <v>0.5600000000000001</v>
      </c>
      <c r="I22" s="2" t="n">
        <v>0.04</v>
      </c>
      <c r="J22" s="2" t="n">
        <v>0.02</v>
      </c>
      <c r="L22" s="2" t="n">
        <v>0.06</v>
      </c>
      <c r="P22" s="2" t="n">
        <v>0.34</v>
      </c>
      <c r="Q22" s="2">
        <f>SUM(B22:P22)</f>
        <v/>
      </c>
      <c r="R22" s="25" t="n"/>
      <c r="S22" s="69">
        <f>(B22/$Q22)</f>
        <v/>
      </c>
      <c r="T22" s="69">
        <f>(C22/$Q22)</f>
        <v/>
      </c>
      <c r="U22" s="69">
        <f>(D22/$Q22)</f>
        <v/>
      </c>
      <c r="V22" s="69">
        <f>(E22/$Q22)</f>
        <v/>
      </c>
      <c r="W22" s="69">
        <f>(F22/$Q22)</f>
        <v/>
      </c>
      <c r="X22" s="69">
        <f>(G22/$Q22)</f>
        <v/>
      </c>
      <c r="Y22" s="69">
        <f>(H22/$Q22)</f>
        <v/>
      </c>
      <c r="Z22" s="69">
        <f>(I22/$Q22)</f>
        <v/>
      </c>
      <c r="AA22" s="69">
        <f>(J22/$Q22)</f>
        <v/>
      </c>
      <c r="AB22" s="69">
        <f>(K22/$Q22)</f>
        <v/>
      </c>
      <c r="AC22" s="69">
        <f>(L22/$Q22)</f>
        <v/>
      </c>
      <c r="AD22" s="69">
        <f>(M22/$Q22)</f>
        <v/>
      </c>
      <c r="AE22" s="69">
        <f>(N22/$Q22)</f>
        <v/>
      </c>
      <c r="AF22" s="69">
        <f>(O22/$Q22)</f>
        <v/>
      </c>
      <c r="AG22" s="69">
        <f>(P22/$Q22)</f>
        <v/>
      </c>
      <c r="AH22" s="69">
        <f>SUM(V22:X22)</f>
        <v/>
      </c>
      <c r="AI22" s="79">
        <f>SUM(Z22:AF22)</f>
        <v/>
      </c>
      <c r="AJ22" s="80">
        <f>SUM(AG22+AI22)</f>
        <v/>
      </c>
      <c r="AK22" s="81">
        <f>AJ22+AH22</f>
        <v/>
      </c>
      <c r="AL22" s="63">
        <f>SUM(V22,Y22:AG22)</f>
        <v/>
      </c>
      <c r="AM22" s="88">
        <f>SUM(W22:X22)</f>
        <v/>
      </c>
      <c r="AN22" s="88" t="n"/>
    </row>
    <row r="23" hidden="1" ht="15.75" customFormat="1" customHeight="1" s="2">
      <c r="A23" s="9" t="n">
        <v>44662</v>
      </c>
      <c r="B23" s="2" t="n">
        <v>23.84</v>
      </c>
      <c r="C23" s="2" t="n">
        <v>0.6</v>
      </c>
      <c r="D23" s="2" t="n">
        <v>0.14</v>
      </c>
      <c r="E23" s="2" t="n">
        <v>0.84</v>
      </c>
      <c r="F23" s="2" t="n">
        <v>2.3</v>
      </c>
      <c r="G23" s="2" t="n">
        <v>0.82</v>
      </c>
      <c r="I23" s="2" t="n">
        <v>0.02</v>
      </c>
      <c r="J23" s="2" t="n">
        <v>0.04</v>
      </c>
      <c r="L23" s="2" t="n">
        <v>0.04</v>
      </c>
      <c r="N23" s="2" t="n">
        <v>0.04</v>
      </c>
      <c r="P23" s="2" t="n">
        <v>0.6</v>
      </c>
      <c r="Q23" s="2">
        <f>SUM(B23:P23)</f>
        <v/>
      </c>
      <c r="R23" s="25" t="n"/>
      <c r="S23" s="69">
        <f>(B23/$Q23)</f>
        <v/>
      </c>
      <c r="T23" s="69">
        <f>(C23/$Q23)</f>
        <v/>
      </c>
      <c r="U23" s="69">
        <f>(D23/$Q23)</f>
        <v/>
      </c>
      <c r="V23" s="69">
        <f>(E23/$Q23)</f>
        <v/>
      </c>
      <c r="W23" s="69">
        <f>(F23/$Q23)</f>
        <v/>
      </c>
      <c r="X23" s="69">
        <f>(G23/$Q23)</f>
        <v/>
      </c>
      <c r="Y23" s="69">
        <f>(H23/$Q23)</f>
        <v/>
      </c>
      <c r="Z23" s="69">
        <f>(I23/$Q23)</f>
        <v/>
      </c>
      <c r="AA23" s="69">
        <f>(J23/$Q23)</f>
        <v/>
      </c>
      <c r="AB23" s="69">
        <f>(K23/$Q23)</f>
        <v/>
      </c>
      <c r="AC23" s="69">
        <f>(L23/$Q23)</f>
        <v/>
      </c>
      <c r="AD23" s="69">
        <f>(M23/$Q23)</f>
        <v/>
      </c>
      <c r="AE23" s="69">
        <f>(N23/$Q23)</f>
        <v/>
      </c>
      <c r="AF23" s="69">
        <f>(O23/$Q23)</f>
        <v/>
      </c>
      <c r="AG23" s="69">
        <f>(P23/$Q23)</f>
        <v/>
      </c>
      <c r="AH23" s="69">
        <f>SUM(V23:X23)</f>
        <v/>
      </c>
      <c r="AI23" s="79">
        <f>SUM(Z23:AF23)</f>
        <v/>
      </c>
      <c r="AJ23" s="80">
        <f>SUM(AG23+AI23)</f>
        <v/>
      </c>
      <c r="AK23" s="81">
        <f>AJ23+AH23</f>
        <v/>
      </c>
      <c r="AL23" s="63">
        <f>SUM(V23,Y23:AG23)</f>
        <v/>
      </c>
      <c r="AM23" s="88">
        <f>SUM(W23:X23)</f>
        <v/>
      </c>
      <c r="AN23" s="88" t="n"/>
    </row>
    <row r="24" hidden="1" ht="15.75" customFormat="1" customHeight="1" s="2">
      <c r="A24" s="9" t="n">
        <v>44674</v>
      </c>
      <c r="B24" s="2" t="n">
        <v>24.7</v>
      </c>
      <c r="C24" s="2" t="n">
        <v>0.22</v>
      </c>
      <c r="E24" s="2" t="n">
        <v>0.21</v>
      </c>
      <c r="F24" s="2" t="n">
        <v>1.06</v>
      </c>
      <c r="G24" s="2" t="n">
        <v>0.21</v>
      </c>
      <c r="I24" s="2" t="n">
        <v>0.04</v>
      </c>
      <c r="J24" s="2" t="n">
        <v>0.02</v>
      </c>
      <c r="N24" s="2" t="n">
        <v>0.04</v>
      </c>
      <c r="P24" s="2" t="n">
        <v>0.26</v>
      </c>
      <c r="Q24" s="2">
        <f>SUM(B24:P24)</f>
        <v/>
      </c>
      <c r="R24" s="25" t="n"/>
      <c r="S24" s="69">
        <f>(B24/$Q24)</f>
        <v/>
      </c>
      <c r="T24" s="69">
        <f>(C24/$Q24)</f>
        <v/>
      </c>
      <c r="U24" s="69">
        <f>(D24/$Q24)</f>
        <v/>
      </c>
      <c r="V24" s="69">
        <f>(E24/$Q24)</f>
        <v/>
      </c>
      <c r="W24" s="69">
        <f>(F24/$Q24)</f>
        <v/>
      </c>
      <c r="X24" s="69">
        <f>(G24/$Q24)</f>
        <v/>
      </c>
      <c r="Y24" s="69">
        <f>(H24/$Q24)</f>
        <v/>
      </c>
      <c r="Z24" s="69">
        <f>(I24/$Q24)</f>
        <v/>
      </c>
      <c r="AA24" s="69">
        <f>(J24/$Q24)</f>
        <v/>
      </c>
      <c r="AB24" s="69">
        <f>(K24/$Q24)</f>
        <v/>
      </c>
      <c r="AC24" s="69">
        <f>(L24/$Q24)</f>
        <v/>
      </c>
      <c r="AD24" s="69">
        <f>(M24/$Q24)</f>
        <v/>
      </c>
      <c r="AE24" s="69">
        <f>(N24/$Q24)</f>
        <v/>
      </c>
      <c r="AF24" s="69">
        <f>(O24/$Q24)</f>
        <v/>
      </c>
      <c r="AG24" s="69">
        <f>(P24/$Q24)</f>
        <v/>
      </c>
      <c r="AH24" s="69">
        <f>SUM(V24:X24)</f>
        <v/>
      </c>
      <c r="AI24" s="79">
        <f>SUM(Z24:AF24)</f>
        <v/>
      </c>
      <c r="AJ24" s="80">
        <f>SUM(AG24+AI24)</f>
        <v/>
      </c>
      <c r="AK24" s="81">
        <f>AJ24+AH24</f>
        <v/>
      </c>
      <c r="AL24" s="63">
        <f>SUM(V24,Y24:AG24)</f>
        <v/>
      </c>
      <c r="AM24" s="88">
        <f>SUM(W24:X24)</f>
        <v/>
      </c>
      <c r="AN24" s="88" t="n"/>
    </row>
    <row r="25" hidden="1" ht="15.75" customFormat="1" customHeight="1" s="2">
      <c r="A25" s="14" t="n">
        <v>44676</v>
      </c>
      <c r="B25" s="2" t="n">
        <v>26.44</v>
      </c>
      <c r="C25" s="2" t="n">
        <v>0.32</v>
      </c>
      <c r="D25" s="2" t="n">
        <v>0.1</v>
      </c>
      <c r="E25" s="2" t="n">
        <v>0.84</v>
      </c>
      <c r="F25" s="2" t="n">
        <v>2.16</v>
      </c>
      <c r="G25" s="2" t="n">
        <v>0.58</v>
      </c>
      <c r="J25" s="2" t="n">
        <v>0.04</v>
      </c>
      <c r="K25" s="2" t="n">
        <v>0.06</v>
      </c>
      <c r="L25" s="2" t="n">
        <v>0.08</v>
      </c>
      <c r="M25" s="2" t="n">
        <v>0.08</v>
      </c>
      <c r="N25" s="2" t="n">
        <v>0.04</v>
      </c>
      <c r="O25" s="2" t="n">
        <v>0.06</v>
      </c>
      <c r="P25" s="2" t="n">
        <v>0.42</v>
      </c>
      <c r="Q25" s="2">
        <f>SUM(B25:P25)</f>
        <v/>
      </c>
      <c r="R25" s="25" t="n"/>
      <c r="S25" s="69">
        <f>(B25/$Q25)</f>
        <v/>
      </c>
      <c r="T25" s="69">
        <f>(C25/$Q25)</f>
        <v/>
      </c>
      <c r="U25" s="69">
        <f>(D25/$Q25)</f>
        <v/>
      </c>
      <c r="V25" s="69">
        <f>(E25/$Q25)</f>
        <v/>
      </c>
      <c r="W25" s="69">
        <f>(F25/$Q25)</f>
        <v/>
      </c>
      <c r="X25" s="69">
        <f>(G25/$Q25)</f>
        <v/>
      </c>
      <c r="Y25" s="69">
        <f>(H25/$Q25)</f>
        <v/>
      </c>
      <c r="Z25" s="69">
        <f>(I25/$Q25)</f>
        <v/>
      </c>
      <c r="AA25" s="69">
        <f>(J25/$Q25)</f>
        <v/>
      </c>
      <c r="AB25" s="69">
        <f>(K25/$Q25)</f>
        <v/>
      </c>
      <c r="AC25" s="69">
        <f>(L25/$Q25)</f>
        <v/>
      </c>
      <c r="AD25" s="69">
        <f>(M25/$Q25)</f>
        <v/>
      </c>
      <c r="AE25" s="69">
        <f>(N25/$Q25)</f>
        <v/>
      </c>
      <c r="AF25" s="69">
        <f>(O25/$Q25)</f>
        <v/>
      </c>
      <c r="AG25" s="69">
        <f>(P25/$Q25)</f>
        <v/>
      </c>
      <c r="AH25" s="69">
        <f>SUM(V25:X25)</f>
        <v/>
      </c>
      <c r="AI25" s="79">
        <f>SUM(Z25:AF25)</f>
        <v/>
      </c>
      <c r="AJ25" s="80">
        <f>SUM(AG25+AI25)</f>
        <v/>
      </c>
      <c r="AK25" s="81">
        <f>AJ25+AH25</f>
        <v/>
      </c>
      <c r="AL25" s="63">
        <f>SUM(V25,Y25:AG25)</f>
        <v/>
      </c>
      <c r="AM25" s="88">
        <f>SUM(W25:X25)</f>
        <v/>
      </c>
      <c r="AN25" s="88" t="n"/>
    </row>
    <row r="26" hidden="1" ht="15.75" customFormat="1" customHeight="1" s="2">
      <c r="A26" s="14" t="n">
        <v>44677</v>
      </c>
      <c r="B26" s="2" t="n">
        <v>24.5</v>
      </c>
      <c r="C26" s="2" t="n">
        <v>0.32</v>
      </c>
      <c r="E26" s="2" t="n">
        <v>0.28</v>
      </c>
      <c r="F26" s="2" t="n">
        <v>1.62</v>
      </c>
      <c r="G26" s="2" t="n">
        <v>0.4</v>
      </c>
      <c r="L26" s="2" t="n">
        <v>0.06</v>
      </c>
      <c r="O26" s="2" t="n">
        <v>0.02</v>
      </c>
      <c r="P26" s="2" t="n">
        <v>0.16</v>
      </c>
      <c r="Q26" s="2">
        <f>SUM(B26:P26)</f>
        <v/>
      </c>
      <c r="R26" s="25" t="n"/>
      <c r="S26" s="69">
        <f>(B26/$Q26)</f>
        <v/>
      </c>
      <c r="T26" s="69">
        <f>(C26/$Q26)</f>
        <v/>
      </c>
      <c r="U26" s="69">
        <f>(D26/$Q26)</f>
        <v/>
      </c>
      <c r="V26" s="69">
        <f>(E26/$Q26)</f>
        <v/>
      </c>
      <c r="W26" s="69">
        <f>(F26/$Q26)</f>
        <v/>
      </c>
      <c r="X26" s="69">
        <f>(G26/$Q26)</f>
        <v/>
      </c>
      <c r="Y26" s="69">
        <f>(H26/$Q26)</f>
        <v/>
      </c>
      <c r="Z26" s="69">
        <f>(I26/$Q26)</f>
        <v/>
      </c>
      <c r="AA26" s="69">
        <f>(J26/$Q26)</f>
        <v/>
      </c>
      <c r="AB26" s="69">
        <f>(K26/$Q26)</f>
        <v/>
      </c>
      <c r="AC26" s="69">
        <f>(L26/$Q26)</f>
        <v/>
      </c>
      <c r="AD26" s="69">
        <f>(M26/$Q26)</f>
        <v/>
      </c>
      <c r="AE26" s="69">
        <f>(N26/$Q26)</f>
        <v/>
      </c>
      <c r="AF26" s="69">
        <f>(O26/$Q26)</f>
        <v/>
      </c>
      <c r="AG26" s="69">
        <f>(P26/$Q26)</f>
        <v/>
      </c>
      <c r="AH26" s="69">
        <f>SUM(V26:X26)</f>
        <v/>
      </c>
      <c r="AI26" s="79">
        <f>SUM(Z26:AF26)</f>
        <v/>
      </c>
      <c r="AJ26" s="80">
        <f>SUM(AG26+AI26)</f>
        <v/>
      </c>
      <c r="AK26" s="81">
        <f>AJ26+AH26</f>
        <v/>
      </c>
      <c r="AL26" s="63">
        <f>SUM(V26,Y26:AG26)</f>
        <v/>
      </c>
      <c r="AM26" s="88">
        <f>SUM(W26:X26)</f>
        <v/>
      </c>
      <c r="AN26" s="88" t="n"/>
    </row>
    <row r="27" hidden="1" ht="15.75" customFormat="1" customHeight="1" s="2">
      <c r="A27" s="9" t="n">
        <v>44679</v>
      </c>
      <c r="B27" s="2" t="n">
        <v>24.8</v>
      </c>
      <c r="C27" s="2" t="n">
        <v>0.26</v>
      </c>
      <c r="D27" s="2" t="n">
        <v>0.16</v>
      </c>
      <c r="E27" s="2" t="n">
        <v>0.36</v>
      </c>
      <c r="F27" s="2" t="n">
        <v>2.3</v>
      </c>
      <c r="G27" s="2" t="n">
        <v>0.86</v>
      </c>
      <c r="I27" s="2" t="n">
        <v>0.12</v>
      </c>
      <c r="J27" s="2" t="n">
        <v>0.04</v>
      </c>
      <c r="L27" s="2" t="n">
        <v>0.04</v>
      </c>
      <c r="N27" s="2" t="n">
        <v>0.02</v>
      </c>
      <c r="P27" s="2" t="n">
        <v>0.4</v>
      </c>
      <c r="Q27" s="2">
        <f>SUM(B27:P27)</f>
        <v/>
      </c>
      <c r="R27" s="25" t="n"/>
      <c r="S27" s="69">
        <f>(B27/$Q27)</f>
        <v/>
      </c>
      <c r="T27" s="69">
        <f>(C27/$Q27)</f>
        <v/>
      </c>
      <c r="U27" s="69">
        <f>(D27/$Q27)</f>
        <v/>
      </c>
      <c r="V27" s="69">
        <f>(E27/$Q27)</f>
        <v/>
      </c>
      <c r="W27" s="69">
        <f>(F27/$Q27)</f>
        <v/>
      </c>
      <c r="X27" s="69">
        <f>(G27/$Q27)</f>
        <v/>
      </c>
      <c r="Y27" s="69">
        <f>(H27/$Q27)</f>
        <v/>
      </c>
      <c r="Z27" s="69">
        <f>(I27/$Q27)</f>
        <v/>
      </c>
      <c r="AA27" s="69">
        <f>(J27/$Q27)</f>
        <v/>
      </c>
      <c r="AB27" s="69">
        <f>(K27/$Q27)</f>
        <v/>
      </c>
      <c r="AC27" s="69">
        <f>(L27/$Q27)</f>
        <v/>
      </c>
      <c r="AD27" s="69">
        <f>(M27/$Q27)</f>
        <v/>
      </c>
      <c r="AE27" s="69">
        <f>(N27/$Q27)</f>
        <v/>
      </c>
      <c r="AF27" s="69">
        <f>(O27/$Q27)</f>
        <v/>
      </c>
      <c r="AG27" s="69">
        <f>(P27/$Q27)</f>
        <v/>
      </c>
      <c r="AH27" s="69">
        <f>SUM(V27:X27)</f>
        <v/>
      </c>
      <c r="AI27" s="79">
        <f>SUM(Z27:AF27)</f>
        <v/>
      </c>
      <c r="AJ27" s="80">
        <f>SUM(AG27+AI27)</f>
        <v/>
      </c>
      <c r="AK27" s="81">
        <f>AJ27+AH27</f>
        <v/>
      </c>
      <c r="AL27" s="63">
        <f>SUM(V27,Y27:AG27)</f>
        <v/>
      </c>
      <c r="AM27" s="88">
        <f>SUM(W27:X27)</f>
        <v/>
      </c>
      <c r="AN27" s="88" t="n"/>
    </row>
    <row r="28" hidden="1" ht="15.75" customFormat="1" customHeight="1" s="2">
      <c r="A28" s="9" t="n">
        <v>44683</v>
      </c>
      <c r="B28" s="2" t="n">
        <v>18.9</v>
      </c>
      <c r="C28" s="2" t="n">
        <v>0.48</v>
      </c>
      <c r="D28" s="2" t="n">
        <v>0.18</v>
      </c>
      <c r="E28" s="2" t="n">
        <v>0.7</v>
      </c>
      <c r="F28" s="2" t="n">
        <v>1.28</v>
      </c>
      <c r="G28" s="2" t="n">
        <v>0.36</v>
      </c>
      <c r="J28" s="2" t="n">
        <v>0.04</v>
      </c>
      <c r="K28" s="2" t="n">
        <v>0.02</v>
      </c>
      <c r="M28" s="2" t="n">
        <v>0.06</v>
      </c>
      <c r="N28" s="2" t="n">
        <v>0.02</v>
      </c>
      <c r="P28" s="2" t="n">
        <v>0.18</v>
      </c>
      <c r="Q28" s="2">
        <f>SUM(B28:P28)</f>
        <v/>
      </c>
      <c r="R28" s="25" t="n"/>
      <c r="S28" s="69">
        <f>(B28/$Q28)</f>
        <v/>
      </c>
      <c r="T28" s="69">
        <f>(C28/$Q28)</f>
        <v/>
      </c>
      <c r="U28" s="69">
        <f>(D28/$Q28)</f>
        <v/>
      </c>
      <c r="V28" s="69">
        <f>(E28/$Q28)</f>
        <v/>
      </c>
      <c r="W28" s="69">
        <f>(F28/$Q28)</f>
        <v/>
      </c>
      <c r="X28" s="69">
        <f>(G28/$Q28)</f>
        <v/>
      </c>
      <c r="Y28" s="69">
        <f>(H28/$Q28)</f>
        <v/>
      </c>
      <c r="Z28" s="69">
        <f>(I28/$Q28)</f>
        <v/>
      </c>
      <c r="AA28" s="69">
        <f>(J28/$Q28)</f>
        <v/>
      </c>
      <c r="AB28" s="69">
        <f>(K28/$Q28)</f>
        <v/>
      </c>
      <c r="AC28" s="69">
        <f>(L28/$Q28)</f>
        <v/>
      </c>
      <c r="AD28" s="69">
        <f>(M28/$Q28)</f>
        <v/>
      </c>
      <c r="AE28" s="69">
        <f>(N28/$Q28)</f>
        <v/>
      </c>
      <c r="AF28" s="69">
        <f>(O28/$Q28)</f>
        <v/>
      </c>
      <c r="AG28" s="69">
        <f>(P28/$Q28)</f>
        <v/>
      </c>
      <c r="AH28" s="69">
        <f>SUM(V28:X28)</f>
        <v/>
      </c>
      <c r="AI28" s="79">
        <f>SUM(Z28:AF28)</f>
        <v/>
      </c>
      <c r="AJ28" s="80">
        <f>SUM(AG28+AI28)</f>
        <v/>
      </c>
      <c r="AK28" s="81">
        <f>AJ28+AH28</f>
        <v/>
      </c>
      <c r="AL28" s="63">
        <f>SUM(V28,Y28:AG28)</f>
        <v/>
      </c>
      <c r="AM28" s="88">
        <f>SUM(W28:X28)</f>
        <v/>
      </c>
      <c r="AN28" s="88" t="n"/>
    </row>
    <row r="29" hidden="1" ht="15.75" customFormat="1" customHeight="1" s="2">
      <c r="A29" s="9" t="n">
        <v>44687</v>
      </c>
      <c r="B29" s="2" t="n">
        <v>20.36</v>
      </c>
      <c r="C29" s="2" t="n">
        <v>0.28</v>
      </c>
      <c r="D29" s="2" t="n">
        <v>0.22</v>
      </c>
      <c r="E29" s="2" t="n">
        <v>0.42</v>
      </c>
      <c r="F29" s="2" t="n">
        <v>1.3</v>
      </c>
      <c r="G29" s="2" t="n">
        <v>0.36</v>
      </c>
      <c r="J29" s="2" t="n">
        <v>0.04</v>
      </c>
      <c r="L29" s="2" t="n">
        <v>0.06</v>
      </c>
      <c r="N29" s="2" t="n">
        <v>0.1</v>
      </c>
      <c r="P29" s="2" t="n">
        <v>0.32</v>
      </c>
      <c r="Q29" s="2">
        <f>SUM(B29:P29)</f>
        <v/>
      </c>
      <c r="R29" s="25" t="n"/>
      <c r="S29" s="69">
        <f>(B29/$Q29)</f>
        <v/>
      </c>
      <c r="T29" s="69">
        <f>(C29/$Q29)</f>
        <v/>
      </c>
      <c r="U29" s="69">
        <f>(D29/$Q29)</f>
        <v/>
      </c>
      <c r="V29" s="69">
        <f>(E29/$Q29)</f>
        <v/>
      </c>
      <c r="W29" s="69">
        <f>(F29/$Q29)</f>
        <v/>
      </c>
      <c r="X29" s="69">
        <f>(G29/$Q29)</f>
        <v/>
      </c>
      <c r="Y29" s="69">
        <f>(H29/$Q29)</f>
        <v/>
      </c>
      <c r="Z29" s="69">
        <f>(I29/$Q29)</f>
        <v/>
      </c>
      <c r="AA29" s="69">
        <f>(J29/$Q29)</f>
        <v/>
      </c>
      <c r="AB29" s="69">
        <f>(K29/$Q29)</f>
        <v/>
      </c>
      <c r="AC29" s="69">
        <f>(L29/$Q29)</f>
        <v/>
      </c>
      <c r="AD29" s="69">
        <f>(M29/$Q29)</f>
        <v/>
      </c>
      <c r="AE29" s="69">
        <f>(N29/$Q29)</f>
        <v/>
      </c>
      <c r="AF29" s="69">
        <f>(O29/$Q29)</f>
        <v/>
      </c>
      <c r="AG29" s="69">
        <f>(P29/$Q29)</f>
        <v/>
      </c>
      <c r="AH29" s="69">
        <f>SUM(V29:X29)</f>
        <v/>
      </c>
      <c r="AI29" s="79">
        <f>SUM(Z29:AF29)</f>
        <v/>
      </c>
      <c r="AJ29" s="80">
        <f>SUM(AG29+AI29)</f>
        <v/>
      </c>
      <c r="AK29" s="81">
        <f>AJ29+AH29</f>
        <v/>
      </c>
      <c r="AL29" s="63">
        <f>SUM(V29,Y29:AG29)</f>
        <v/>
      </c>
      <c r="AM29" s="88">
        <f>SUM(W29:X29)</f>
        <v/>
      </c>
      <c r="AN29" s="88" t="n"/>
    </row>
    <row r="30" hidden="1" ht="15.75" customFormat="1" customHeight="1" s="2">
      <c r="A30" s="9" t="n">
        <v>44690</v>
      </c>
      <c r="B30" s="2" t="n">
        <v>24.32</v>
      </c>
      <c r="C30" s="2" t="n">
        <v>0.26</v>
      </c>
      <c r="D30" s="2" t="n">
        <v>0.04</v>
      </c>
      <c r="E30" s="2" t="n">
        <v>0.08</v>
      </c>
      <c r="F30" s="2" t="n">
        <v>1.44</v>
      </c>
      <c r="G30" s="2" t="n">
        <v>0.42</v>
      </c>
      <c r="L30" s="2" t="n">
        <v>0.06</v>
      </c>
      <c r="P30" s="2" t="n">
        <v>0.1</v>
      </c>
      <c r="Q30" s="2">
        <f>SUM(B30:P30)</f>
        <v/>
      </c>
      <c r="R30" s="25" t="n"/>
      <c r="S30" s="69">
        <f>(B30/$Q30)</f>
        <v/>
      </c>
      <c r="T30" s="69">
        <f>(C30/$Q30)</f>
        <v/>
      </c>
      <c r="U30" s="69">
        <f>(D30/$Q30)</f>
        <v/>
      </c>
      <c r="V30" s="69">
        <f>(E30/$Q30)</f>
        <v/>
      </c>
      <c r="W30" s="69">
        <f>(F30/$Q30)</f>
        <v/>
      </c>
      <c r="X30" s="69">
        <f>(G30/$Q30)</f>
        <v/>
      </c>
      <c r="Y30" s="69">
        <f>(H30/$Q30)</f>
        <v/>
      </c>
      <c r="Z30" s="69">
        <f>(I30/$Q30)</f>
        <v/>
      </c>
      <c r="AA30" s="69">
        <f>(J30/$Q30)</f>
        <v/>
      </c>
      <c r="AB30" s="69">
        <f>(K30/$Q30)</f>
        <v/>
      </c>
      <c r="AC30" s="69">
        <f>(L30/$Q30)</f>
        <v/>
      </c>
      <c r="AD30" s="69">
        <f>(M30/$Q30)</f>
        <v/>
      </c>
      <c r="AE30" s="69">
        <f>(N30/$Q30)</f>
        <v/>
      </c>
      <c r="AF30" s="69">
        <f>(O30/$Q30)</f>
        <v/>
      </c>
      <c r="AG30" s="69">
        <f>(P30/$Q30)</f>
        <v/>
      </c>
      <c r="AH30" s="69">
        <f>SUM(V30:X30)</f>
        <v/>
      </c>
      <c r="AI30" s="79">
        <f>SUM(Z30:AF30)</f>
        <v/>
      </c>
      <c r="AJ30" s="80">
        <f>SUM(AG30+AI30)</f>
        <v/>
      </c>
      <c r="AK30" s="81">
        <f>AJ30+AH30</f>
        <v/>
      </c>
      <c r="AL30" s="63">
        <f>SUM(V30,Y30:AG30)</f>
        <v/>
      </c>
      <c r="AM30" s="88">
        <f>SUM(W30:X30)</f>
        <v/>
      </c>
      <c r="AN30" s="88" t="n"/>
    </row>
    <row r="31" hidden="1" ht="15.75" customFormat="1" customHeight="1" s="2">
      <c r="A31" s="9" t="n">
        <v>44693</v>
      </c>
      <c r="B31" s="2" t="n">
        <v>23.54</v>
      </c>
      <c r="C31" s="2" t="n">
        <v>0.28</v>
      </c>
      <c r="E31" s="2" t="n">
        <v>0.44</v>
      </c>
      <c r="F31" s="2" t="n">
        <v>0.9399999999999999</v>
      </c>
      <c r="G31" s="2" t="n">
        <v>0.24</v>
      </c>
      <c r="I31" s="2" t="n">
        <v>0.02</v>
      </c>
      <c r="P31" s="2" t="n">
        <v>0.18</v>
      </c>
      <c r="Q31" s="2">
        <f>SUM(B31:P31)</f>
        <v/>
      </c>
      <c r="R31" s="25" t="n"/>
      <c r="S31" s="69">
        <f>(B31/$Q31)</f>
        <v/>
      </c>
      <c r="T31" s="69">
        <f>(C31/$Q31)</f>
        <v/>
      </c>
      <c r="U31" s="69">
        <f>(D31/$Q31)</f>
        <v/>
      </c>
      <c r="V31" s="69">
        <f>(E31/$Q31)</f>
        <v/>
      </c>
      <c r="W31" s="69">
        <f>(F31/$Q31)</f>
        <v/>
      </c>
      <c r="X31" s="69">
        <f>(G31/$Q31)</f>
        <v/>
      </c>
      <c r="Y31" s="69">
        <f>(H31/$Q31)</f>
        <v/>
      </c>
      <c r="Z31" s="69">
        <f>(I31/$Q31)</f>
        <v/>
      </c>
      <c r="AA31" s="69">
        <f>(J31/$Q31)</f>
        <v/>
      </c>
      <c r="AB31" s="69">
        <f>(K31/$Q31)</f>
        <v/>
      </c>
      <c r="AC31" s="69">
        <f>(L31/$Q31)</f>
        <v/>
      </c>
      <c r="AD31" s="69">
        <f>(M31/$Q31)</f>
        <v/>
      </c>
      <c r="AE31" s="69">
        <f>(N31/$Q31)</f>
        <v/>
      </c>
      <c r="AF31" s="69">
        <f>(O31/$Q31)</f>
        <v/>
      </c>
      <c r="AG31" s="69">
        <f>(P31/$Q31)</f>
        <v/>
      </c>
      <c r="AH31" s="69">
        <f>SUM(V31:X31)</f>
        <v/>
      </c>
      <c r="AI31" s="79">
        <f>SUM(Z31:AF31)</f>
        <v/>
      </c>
      <c r="AJ31" s="80">
        <f>SUM(AG31+AI31)</f>
        <v/>
      </c>
      <c r="AK31" s="81">
        <f>AJ31+AH31</f>
        <v/>
      </c>
      <c r="AL31" s="63">
        <f>SUM(V31,Y31:AG31)</f>
        <v/>
      </c>
      <c r="AM31" s="88">
        <f>SUM(W31:X31)</f>
        <v/>
      </c>
      <c r="AN31" s="88" t="n"/>
    </row>
    <row r="32" hidden="1" ht="15.75" customFormat="1" customHeight="1" s="2">
      <c r="A32" s="9" t="n">
        <v>44695</v>
      </c>
      <c r="B32" s="2" t="n">
        <v>24.64</v>
      </c>
      <c r="C32" s="2" t="n">
        <v>0.46</v>
      </c>
      <c r="E32" s="2" t="n">
        <v>0.72</v>
      </c>
      <c r="F32" s="2" t="n">
        <v>1.36</v>
      </c>
      <c r="G32" s="2" t="n">
        <v>0.6</v>
      </c>
      <c r="I32" s="2" t="n">
        <v>0.02</v>
      </c>
      <c r="K32" s="2" t="n">
        <v>0.02</v>
      </c>
      <c r="L32" s="2" t="n">
        <v>0.1</v>
      </c>
      <c r="M32" s="2" t="n">
        <v>0.04</v>
      </c>
      <c r="N32" s="2" t="n">
        <v>0.02</v>
      </c>
      <c r="P32" s="2" t="n">
        <v>0.3</v>
      </c>
      <c r="Q32" s="2">
        <f>SUM(B32:P32)</f>
        <v/>
      </c>
      <c r="R32" s="25" t="n"/>
      <c r="S32" s="69">
        <f>(B32/$Q32)</f>
        <v/>
      </c>
      <c r="T32" s="69">
        <f>(C32/$Q32)</f>
        <v/>
      </c>
      <c r="U32" s="69">
        <f>(D32/$Q32)</f>
        <v/>
      </c>
      <c r="V32" s="69">
        <f>(E32/$Q32)</f>
        <v/>
      </c>
      <c r="W32" s="69">
        <f>(F32/$Q32)</f>
        <v/>
      </c>
      <c r="X32" s="69">
        <f>(G32/$Q32)</f>
        <v/>
      </c>
      <c r="Y32" s="69">
        <f>(H32/$Q32)</f>
        <v/>
      </c>
      <c r="Z32" s="69">
        <f>(I32/$Q32)</f>
        <v/>
      </c>
      <c r="AA32" s="69">
        <f>(J32/$Q32)</f>
        <v/>
      </c>
      <c r="AB32" s="69">
        <f>(K32/$Q32)</f>
        <v/>
      </c>
      <c r="AC32" s="69">
        <f>(L32/$Q32)</f>
        <v/>
      </c>
      <c r="AD32" s="69">
        <f>(M32/$Q32)</f>
        <v/>
      </c>
      <c r="AE32" s="69">
        <f>(N32/$Q32)</f>
        <v/>
      </c>
      <c r="AF32" s="69">
        <f>(O32/$Q32)</f>
        <v/>
      </c>
      <c r="AG32" s="69">
        <f>(P32/$Q32)</f>
        <v/>
      </c>
      <c r="AH32" s="69">
        <f>SUM(V32:X32)</f>
        <v/>
      </c>
      <c r="AI32" s="79">
        <f>SUM(Z32:AF32)</f>
        <v/>
      </c>
      <c r="AJ32" s="80">
        <f>SUM(AG32+AI32)</f>
        <v/>
      </c>
      <c r="AK32" s="81">
        <f>AJ32+AH32</f>
        <v/>
      </c>
      <c r="AL32" s="63">
        <f>SUM(V32,Y32:AG32)</f>
        <v/>
      </c>
      <c r="AM32" s="88">
        <f>SUM(W32:X32)</f>
        <v/>
      </c>
      <c r="AN32" s="88" t="n"/>
    </row>
    <row r="33" hidden="1" ht="15.75" customFormat="1" customHeight="1" s="2">
      <c r="A33" s="9" t="n">
        <v>44704</v>
      </c>
      <c r="B33" s="2" t="n">
        <v>20.16</v>
      </c>
      <c r="C33" s="2" t="n">
        <v>0.28</v>
      </c>
      <c r="D33" s="2" t="n">
        <v>0.08</v>
      </c>
      <c r="E33" s="2" t="n">
        <v>0.12</v>
      </c>
      <c r="F33" s="2" t="n">
        <v>1.6</v>
      </c>
      <c r="G33" s="2" t="n">
        <v>0.2</v>
      </c>
      <c r="J33" s="2" t="n">
        <v>0.04</v>
      </c>
      <c r="L33" s="2" t="n">
        <v>0.1</v>
      </c>
      <c r="P33" s="2" t="n">
        <v>0.38</v>
      </c>
      <c r="Q33" s="2">
        <f>SUM(B33:P33)</f>
        <v/>
      </c>
      <c r="R33" s="25" t="n"/>
      <c r="S33" s="69">
        <f>(B33/$Q33)</f>
        <v/>
      </c>
      <c r="T33" s="69">
        <f>(C33/$Q33)</f>
        <v/>
      </c>
      <c r="U33" s="69">
        <f>(D33/$Q33)</f>
        <v/>
      </c>
      <c r="V33" s="69">
        <f>(E33/$Q33)</f>
        <v/>
      </c>
      <c r="W33" s="69">
        <f>(F33/$Q33)</f>
        <v/>
      </c>
      <c r="X33" s="69">
        <f>(G33/$Q33)</f>
        <v/>
      </c>
      <c r="Y33" s="69">
        <f>(H33/$Q33)</f>
        <v/>
      </c>
      <c r="Z33" s="69">
        <f>(I33/$Q33)</f>
        <v/>
      </c>
      <c r="AA33" s="69">
        <f>(J33/$Q33)</f>
        <v/>
      </c>
      <c r="AB33" s="69">
        <f>(K33/$Q33)</f>
        <v/>
      </c>
      <c r="AC33" s="69">
        <f>(L33/$Q33)</f>
        <v/>
      </c>
      <c r="AD33" s="69">
        <f>(M33/$Q33)</f>
        <v/>
      </c>
      <c r="AE33" s="69">
        <f>(N33/$Q33)</f>
        <v/>
      </c>
      <c r="AF33" s="69">
        <f>(O33/$Q33)</f>
        <v/>
      </c>
      <c r="AG33" s="69">
        <f>(P33/$Q33)</f>
        <v/>
      </c>
      <c r="AH33" s="69">
        <f>SUM(V33:X33)</f>
        <v/>
      </c>
      <c r="AI33" s="79">
        <f>SUM(Z33:AF33)</f>
        <v/>
      </c>
      <c r="AJ33" s="80">
        <f>SUM(AG33+AI33)</f>
        <v/>
      </c>
      <c r="AK33" s="81">
        <f>AJ33+AH33</f>
        <v/>
      </c>
      <c r="AL33" s="63">
        <f>SUM(V33,Y33:AG33)</f>
        <v/>
      </c>
      <c r="AM33" s="88">
        <f>SUM(W33:X33)</f>
        <v/>
      </c>
      <c r="AN33" s="88" t="n"/>
    </row>
    <row r="34" hidden="1" ht="15.75" customFormat="1" customHeight="1" s="2">
      <c r="A34" s="9" t="n">
        <v>44709</v>
      </c>
      <c r="B34" s="2" t="n">
        <v>26.56</v>
      </c>
      <c r="C34" s="2" t="n">
        <v>0.2</v>
      </c>
      <c r="E34" s="2" t="n">
        <v>0.26</v>
      </c>
      <c r="F34" s="2" t="n">
        <v>1.08</v>
      </c>
      <c r="G34" s="2" t="n">
        <v>0.4</v>
      </c>
      <c r="I34" s="2" t="n">
        <v>0.02</v>
      </c>
      <c r="M34" s="2" t="n">
        <v>0.02</v>
      </c>
      <c r="N34" s="2" t="n">
        <v>0.02</v>
      </c>
      <c r="P34" s="2" t="n">
        <v>0.24</v>
      </c>
      <c r="Q34" s="2">
        <f>SUM(B34:P34)</f>
        <v/>
      </c>
      <c r="R34" s="25" t="n"/>
      <c r="S34" s="69">
        <f>(B34/$Q34)</f>
        <v/>
      </c>
      <c r="T34" s="69">
        <f>(C34/$Q34)</f>
        <v/>
      </c>
      <c r="U34" s="69">
        <f>(D34/$Q34)</f>
        <v/>
      </c>
      <c r="V34" s="69">
        <f>(E34/$Q34)</f>
        <v/>
      </c>
      <c r="W34" s="69">
        <f>(F34/$Q34)</f>
        <v/>
      </c>
      <c r="X34" s="69">
        <f>(G34/$Q34)</f>
        <v/>
      </c>
      <c r="Y34" s="69">
        <f>(H34/$Q34)</f>
        <v/>
      </c>
      <c r="Z34" s="69">
        <f>(I34/$Q34)</f>
        <v/>
      </c>
      <c r="AA34" s="69">
        <f>(J34/$Q34)</f>
        <v/>
      </c>
      <c r="AB34" s="69">
        <f>(K34/$Q34)</f>
        <v/>
      </c>
      <c r="AC34" s="69">
        <f>(L34/$Q34)</f>
        <v/>
      </c>
      <c r="AD34" s="69">
        <f>(M34/$Q34)</f>
        <v/>
      </c>
      <c r="AE34" s="69">
        <f>(N34/$Q34)</f>
        <v/>
      </c>
      <c r="AF34" s="69">
        <f>(O34/$Q34)</f>
        <v/>
      </c>
      <c r="AG34" s="69">
        <f>(P34/$Q34)</f>
        <v/>
      </c>
      <c r="AH34" s="69">
        <f>SUM(V34:X34)</f>
        <v/>
      </c>
      <c r="AI34" s="79">
        <f>SUM(Z34:AF34)</f>
        <v/>
      </c>
      <c r="AJ34" s="80">
        <f>SUM(AG34+AI34)</f>
        <v/>
      </c>
      <c r="AK34" s="81">
        <f>AJ34+AH34</f>
        <v/>
      </c>
      <c r="AL34" s="63">
        <f>SUM(V34,Y34:AG34)</f>
        <v/>
      </c>
      <c r="AM34" s="88">
        <f>SUM(W34:X34)</f>
        <v/>
      </c>
      <c r="AN34" s="88" t="n"/>
    </row>
    <row r="35" hidden="1" ht="15.75" customFormat="1" customHeight="1" s="2">
      <c r="A35" s="9" t="n">
        <v>44713</v>
      </c>
      <c r="B35" s="2" t="n">
        <v>20.56</v>
      </c>
      <c r="C35" s="2" t="n">
        <v>0.12</v>
      </c>
      <c r="E35" s="2" t="n">
        <v>0.24</v>
      </c>
      <c r="F35" s="2" t="n">
        <v>1.44</v>
      </c>
      <c r="G35" s="2" t="n">
        <v>0.08</v>
      </c>
      <c r="K35" s="2" t="n">
        <v>0.04</v>
      </c>
      <c r="L35" s="2" t="n">
        <v>0.04</v>
      </c>
      <c r="P35" s="2" t="n">
        <v>0.2</v>
      </c>
      <c r="Q35" s="2">
        <f>SUM(B35:P35)</f>
        <v/>
      </c>
      <c r="R35" s="25" t="n"/>
      <c r="S35" s="69">
        <f>(B35/$Q35)</f>
        <v/>
      </c>
      <c r="T35" s="69">
        <f>(C35/$Q35)</f>
        <v/>
      </c>
      <c r="U35" s="69">
        <f>(D35/$Q35)</f>
        <v/>
      </c>
      <c r="V35" s="69">
        <f>(E35/$Q35)</f>
        <v/>
      </c>
      <c r="W35" s="69">
        <f>(F35/$Q35)</f>
        <v/>
      </c>
      <c r="X35" s="69">
        <f>(G35/$Q35)</f>
        <v/>
      </c>
      <c r="Y35" s="69">
        <f>(H35/$Q35)</f>
        <v/>
      </c>
      <c r="Z35" s="69">
        <f>(I35/$Q35)</f>
        <v/>
      </c>
      <c r="AA35" s="69">
        <f>(J35/$Q35)</f>
        <v/>
      </c>
      <c r="AB35" s="69">
        <f>(K35/$Q35)</f>
        <v/>
      </c>
      <c r="AC35" s="69">
        <f>(L35/$Q35)</f>
        <v/>
      </c>
      <c r="AD35" s="69">
        <f>(M35/$Q35)</f>
        <v/>
      </c>
      <c r="AE35" s="69">
        <f>(N35/$Q35)</f>
        <v/>
      </c>
      <c r="AF35" s="69">
        <f>(O35/$Q35)</f>
        <v/>
      </c>
      <c r="AG35" s="69">
        <f>(P35/$Q35)</f>
        <v/>
      </c>
      <c r="AH35" s="69">
        <f>SUM(V35:X35)</f>
        <v/>
      </c>
      <c r="AI35" s="79">
        <f>SUM(Z35:AF35)</f>
        <v/>
      </c>
      <c r="AJ35" s="80">
        <f>SUM(AG35+AI35)</f>
        <v/>
      </c>
      <c r="AK35" s="81">
        <f>AJ35+AH35</f>
        <v/>
      </c>
      <c r="AL35" s="63">
        <f>SUM(V35,Y35:AG35)</f>
        <v/>
      </c>
      <c r="AM35" s="88">
        <f>SUM(W35:X35)</f>
        <v/>
      </c>
      <c r="AN35" s="88" t="n"/>
    </row>
    <row r="36" hidden="1" ht="15.75" customFormat="1" customHeight="1" s="2">
      <c r="A36" s="9" t="n">
        <v>44718</v>
      </c>
      <c r="B36" s="2" t="n">
        <v>22.56</v>
      </c>
      <c r="C36" s="2" t="n">
        <v>0.28</v>
      </c>
      <c r="E36" s="2" t="n">
        <v>1.54</v>
      </c>
      <c r="F36" s="2" t="n">
        <v>0.16</v>
      </c>
      <c r="G36" s="2" t="n">
        <v>0.4</v>
      </c>
      <c r="K36" s="2" t="n">
        <v>0.1</v>
      </c>
      <c r="L36" s="2" t="n">
        <v>0.08</v>
      </c>
      <c r="P36" s="2" t="n">
        <v>0.3</v>
      </c>
      <c r="Q36" s="2">
        <f>SUM(B36:P36)</f>
        <v/>
      </c>
      <c r="R36" s="25" t="n"/>
      <c r="S36" s="69">
        <f>(B36/$Q36)</f>
        <v/>
      </c>
      <c r="T36" s="69">
        <f>(C36/$Q36)</f>
        <v/>
      </c>
      <c r="U36" s="69">
        <f>(D36/$Q36)</f>
        <v/>
      </c>
      <c r="V36" s="69">
        <f>(E36/$Q36)</f>
        <v/>
      </c>
      <c r="W36" s="69">
        <f>(F36/$Q36)</f>
        <v/>
      </c>
      <c r="X36" s="69">
        <f>(G36/$Q36)</f>
        <v/>
      </c>
      <c r="Y36" s="69">
        <f>(H36/$Q36)</f>
        <v/>
      </c>
      <c r="Z36" s="69">
        <f>(I36/$Q36)</f>
        <v/>
      </c>
      <c r="AA36" s="69">
        <f>(J36/$Q36)</f>
        <v/>
      </c>
      <c r="AB36" s="69">
        <f>(K36/$Q36)</f>
        <v/>
      </c>
      <c r="AC36" s="69">
        <f>(L36/$Q36)</f>
        <v/>
      </c>
      <c r="AD36" s="69">
        <f>(M36/$Q36)</f>
        <v/>
      </c>
      <c r="AE36" s="69">
        <f>(N36/$Q36)</f>
        <v/>
      </c>
      <c r="AF36" s="69">
        <f>(O36/$Q36)</f>
        <v/>
      </c>
      <c r="AG36" s="69">
        <f>(P36/$Q36)</f>
        <v/>
      </c>
      <c r="AH36" s="69">
        <f>SUM(V36:X36)</f>
        <v/>
      </c>
      <c r="AI36" s="79">
        <f>SUM(Z36:AF36)</f>
        <v/>
      </c>
      <c r="AJ36" s="80">
        <f>SUM(AG36+AI36)</f>
        <v/>
      </c>
      <c r="AK36" s="81">
        <f>AJ36+AH36</f>
        <v/>
      </c>
      <c r="AL36" s="63">
        <f>SUM(V36,Y36:AG36)</f>
        <v/>
      </c>
      <c r="AM36" s="88">
        <f>SUM(W36:X36)</f>
        <v/>
      </c>
      <c r="AN36" s="88" t="n"/>
    </row>
    <row r="37" hidden="1" ht="15.75" customFormat="1" customHeight="1" s="2">
      <c r="A37" s="9" t="n">
        <v>44726</v>
      </c>
      <c r="B37" s="2" t="n">
        <v>24.6</v>
      </c>
      <c r="C37" s="2" t="n">
        <v>0.2</v>
      </c>
      <c r="E37" s="2" t="n">
        <v>1.48</v>
      </c>
      <c r="F37" s="2" t="n">
        <v>0.34</v>
      </c>
      <c r="G37" s="2" t="n">
        <v>0.5600000000000001</v>
      </c>
      <c r="H37" s="2" t="n">
        <v>0.04</v>
      </c>
      <c r="I37" s="2" t="n">
        <v>0.02</v>
      </c>
      <c r="L37" s="2" t="n">
        <v>0.06</v>
      </c>
      <c r="N37" s="2" t="n">
        <v>0.02</v>
      </c>
      <c r="P37" s="2" t="n">
        <v>0.22</v>
      </c>
      <c r="Q37" s="2">
        <f>SUM(B37:P37)</f>
        <v/>
      </c>
      <c r="R37" s="25" t="n"/>
      <c r="S37" s="69">
        <f>(B37/$Q37)</f>
        <v/>
      </c>
      <c r="T37" s="69">
        <f>(C37/$Q37)</f>
        <v/>
      </c>
      <c r="U37" s="69">
        <f>(D37/$Q37)</f>
        <v/>
      </c>
      <c r="V37" s="69">
        <f>(E37/$Q37)</f>
        <v/>
      </c>
      <c r="W37" s="69">
        <f>(F37/$Q37)</f>
        <v/>
      </c>
      <c r="X37" s="69">
        <f>(G37/$Q37)</f>
        <v/>
      </c>
      <c r="Y37" s="69">
        <f>(H37/$Q37)</f>
        <v/>
      </c>
      <c r="Z37" s="69">
        <f>(I37/$Q37)</f>
        <v/>
      </c>
      <c r="AA37" s="69">
        <f>(J37/$Q37)</f>
        <v/>
      </c>
      <c r="AB37" s="69">
        <f>(K37/$Q37)</f>
        <v/>
      </c>
      <c r="AC37" s="69">
        <f>(L37/$Q37)</f>
        <v/>
      </c>
      <c r="AD37" s="69">
        <f>(M37/$Q37)</f>
        <v/>
      </c>
      <c r="AE37" s="69">
        <f>(N37/$Q37)</f>
        <v/>
      </c>
      <c r="AF37" s="69">
        <f>(O37/$Q37)</f>
        <v/>
      </c>
      <c r="AG37" s="69">
        <f>(P37/$Q37)</f>
        <v/>
      </c>
      <c r="AH37" s="69">
        <f>SUM(V37:X37)</f>
        <v/>
      </c>
      <c r="AI37" s="79">
        <f>SUM(Z37:AF37)</f>
        <v/>
      </c>
      <c r="AJ37" s="80">
        <f>SUM(AG37+AI37)</f>
        <v/>
      </c>
      <c r="AK37" s="81">
        <f>AJ37+AH37</f>
        <v/>
      </c>
      <c r="AL37" s="63">
        <f>SUM(V37,Y37:AG37)</f>
        <v/>
      </c>
      <c r="AM37" s="88">
        <f>SUM(W37:X37)</f>
        <v/>
      </c>
      <c r="AN37" s="88" t="n"/>
    </row>
    <row r="38" hidden="1" ht="15.75" customFormat="1" customHeight="1" s="2">
      <c r="A38" s="9" t="n">
        <v>44824</v>
      </c>
      <c r="B38" s="2" t="n">
        <v>16.1</v>
      </c>
      <c r="C38" s="2" t="n">
        <v>0.36</v>
      </c>
      <c r="D38" s="2" t="n">
        <v>0.06</v>
      </c>
      <c r="E38" s="2" t="n">
        <v>0.54</v>
      </c>
      <c r="F38" s="2" t="n">
        <v>1.08</v>
      </c>
      <c r="G38" s="2" t="n">
        <v>0.58</v>
      </c>
      <c r="N38" s="2" t="n">
        <v>0.02</v>
      </c>
      <c r="P38" s="2" t="n">
        <v>0.4</v>
      </c>
      <c r="Q38" s="2">
        <f>SUM(B38:P38)</f>
        <v/>
      </c>
      <c r="R38" s="25" t="n"/>
      <c r="S38" s="69">
        <f>(B38/$Q38)</f>
        <v/>
      </c>
      <c r="T38" s="69">
        <f>(C38/$Q38)</f>
        <v/>
      </c>
      <c r="U38" s="69">
        <f>(D38/$Q38)</f>
        <v/>
      </c>
      <c r="V38" s="69">
        <f>(E38/$Q38)</f>
        <v/>
      </c>
      <c r="W38" s="69">
        <f>(F38/$Q38)</f>
        <v/>
      </c>
      <c r="X38" s="69">
        <f>(G38/$Q38)</f>
        <v/>
      </c>
      <c r="Y38" s="69">
        <f>(H38/$Q38)</f>
        <v/>
      </c>
      <c r="Z38" s="69">
        <f>(I38/$Q38)</f>
        <v/>
      </c>
      <c r="AA38" s="69">
        <f>(J38/$Q38)</f>
        <v/>
      </c>
      <c r="AB38" s="69">
        <f>(K38/$Q38)</f>
        <v/>
      </c>
      <c r="AC38" s="69">
        <f>(L38/$Q38)</f>
        <v/>
      </c>
      <c r="AD38" s="69">
        <f>(M38/$Q38)</f>
        <v/>
      </c>
      <c r="AE38" s="69">
        <f>(N38/$Q38)</f>
        <v/>
      </c>
      <c r="AF38" s="69">
        <f>(O38/$Q38)</f>
        <v/>
      </c>
      <c r="AG38" s="69">
        <f>(P38/$Q38)</f>
        <v/>
      </c>
      <c r="AH38" s="69">
        <f>SUM(V38:X38)</f>
        <v/>
      </c>
      <c r="AI38" s="79">
        <f>SUM(Z38:AF38)</f>
        <v/>
      </c>
      <c r="AJ38" s="80">
        <f>SUM(AG38+AI38)</f>
        <v/>
      </c>
      <c r="AK38" s="81">
        <f>AJ38+AH38</f>
        <v/>
      </c>
      <c r="AL38" s="63">
        <f>SUM(V38,Y38:AG38)</f>
        <v/>
      </c>
      <c r="AM38" s="88">
        <f>SUM(W38:X38)</f>
        <v/>
      </c>
      <c r="AN38" s="88" t="n"/>
    </row>
    <row r="39" hidden="1" ht="15.75" customFormat="1" customHeight="1" s="2">
      <c r="A39" s="9" t="n">
        <v>44834</v>
      </c>
      <c r="B39" s="2" t="n">
        <v>18.54</v>
      </c>
      <c r="C39" s="2" t="n">
        <v>0.24</v>
      </c>
      <c r="E39" s="2" t="n">
        <v>1.46</v>
      </c>
      <c r="F39" s="2" t="n">
        <v>1.88</v>
      </c>
      <c r="G39" s="2" t="n">
        <v>1.12</v>
      </c>
      <c r="I39" s="2" t="n">
        <v>0.02</v>
      </c>
      <c r="K39" s="2" t="n">
        <v>0.06</v>
      </c>
      <c r="L39" s="2" t="n">
        <v>0.06</v>
      </c>
      <c r="M39" s="2" t="n">
        <v>0.06</v>
      </c>
      <c r="N39" s="2" t="n">
        <v>0.02</v>
      </c>
      <c r="P39" s="2" t="n">
        <v>0.44</v>
      </c>
      <c r="Q39" s="2">
        <f>SUM(B39:P39)</f>
        <v/>
      </c>
      <c r="R39" s="25" t="n"/>
      <c r="S39" s="69">
        <f>(B39/$Q39)</f>
        <v/>
      </c>
      <c r="T39" s="69">
        <f>(C39/$Q39)</f>
        <v/>
      </c>
      <c r="U39" s="69">
        <f>(D39/$Q39)</f>
        <v/>
      </c>
      <c r="V39" s="69">
        <f>(E39/$Q39)</f>
        <v/>
      </c>
      <c r="W39" s="69">
        <f>(F39/$Q39)</f>
        <v/>
      </c>
      <c r="X39" s="69">
        <f>(G39/$Q39)</f>
        <v/>
      </c>
      <c r="Y39" s="69">
        <f>(H39/$Q39)</f>
        <v/>
      </c>
      <c r="Z39" s="69">
        <f>(I39/$Q39)</f>
        <v/>
      </c>
      <c r="AA39" s="69">
        <f>(J39/$Q39)</f>
        <v/>
      </c>
      <c r="AB39" s="69">
        <f>(K39/$Q39)</f>
        <v/>
      </c>
      <c r="AC39" s="69">
        <f>(L39/$Q39)</f>
        <v/>
      </c>
      <c r="AD39" s="69">
        <f>(M39/$Q39)</f>
        <v/>
      </c>
      <c r="AE39" s="69">
        <f>(N39/$Q39)</f>
        <v/>
      </c>
      <c r="AF39" s="69">
        <f>(O39/$Q39)</f>
        <v/>
      </c>
      <c r="AG39" s="69">
        <f>(P39/$Q39)</f>
        <v/>
      </c>
      <c r="AH39" s="69">
        <f>SUM(V39:X39)</f>
        <v/>
      </c>
      <c r="AI39" s="79">
        <f>SUM(Z39:AF39)</f>
        <v/>
      </c>
      <c r="AJ39" s="80">
        <f>SUM(AG39+AI39)</f>
        <v/>
      </c>
      <c r="AK39" s="81">
        <f>AJ39+AH39</f>
        <v/>
      </c>
      <c r="AL39" s="63">
        <f>SUM(V39,Y39:AG39)</f>
        <v/>
      </c>
      <c r="AM39" s="88">
        <f>SUM(W39:X39)</f>
        <v/>
      </c>
      <c r="AN39" s="88" t="n"/>
    </row>
    <row r="40" hidden="1" ht="15.75" customFormat="1" customHeight="1" s="2">
      <c r="A40" s="9" t="n">
        <v>44837</v>
      </c>
      <c r="B40" s="2" t="n">
        <v>26.8</v>
      </c>
      <c r="C40" s="2" t="n">
        <v>0.44</v>
      </c>
      <c r="E40" s="2" t="n">
        <v>0.48</v>
      </c>
      <c r="F40" s="2" t="n">
        <v>1.42</v>
      </c>
      <c r="G40" s="2" t="n">
        <v>0.88</v>
      </c>
      <c r="I40" s="2" t="n">
        <v>0.02</v>
      </c>
      <c r="K40" s="2" t="n">
        <v>0.02</v>
      </c>
      <c r="L40" s="2" t="n">
        <v>0.06</v>
      </c>
      <c r="M40" s="2" t="n">
        <v>0.02</v>
      </c>
      <c r="P40" s="2" t="n">
        <v>0.26</v>
      </c>
      <c r="Q40" s="2">
        <f>SUM(B40:P40)</f>
        <v/>
      </c>
      <c r="R40" s="25" t="n"/>
      <c r="S40" s="69">
        <f>(B40/$Q40)</f>
        <v/>
      </c>
      <c r="T40" s="69">
        <f>(C40/$Q40)</f>
        <v/>
      </c>
      <c r="U40" s="69">
        <f>(D40/$Q40)</f>
        <v/>
      </c>
      <c r="V40" s="69">
        <f>(E40/$Q40)</f>
        <v/>
      </c>
      <c r="W40" s="69">
        <f>(F40/$Q40)</f>
        <v/>
      </c>
      <c r="X40" s="69">
        <f>(G40/$Q40)</f>
        <v/>
      </c>
      <c r="Y40" s="69">
        <f>(H40/$Q40)</f>
        <v/>
      </c>
      <c r="Z40" s="69">
        <f>(I40/$Q40)</f>
        <v/>
      </c>
      <c r="AA40" s="69">
        <f>(J40/$Q40)</f>
        <v/>
      </c>
      <c r="AB40" s="69">
        <f>(K40/$Q40)</f>
        <v/>
      </c>
      <c r="AC40" s="69">
        <f>(L40/$Q40)</f>
        <v/>
      </c>
      <c r="AD40" s="69">
        <f>(M40/$Q40)</f>
        <v/>
      </c>
      <c r="AE40" s="69">
        <f>(N40/$Q40)</f>
        <v/>
      </c>
      <c r="AF40" s="69">
        <f>(O40/$Q40)</f>
        <v/>
      </c>
      <c r="AG40" s="69">
        <f>(P40/$Q40)</f>
        <v/>
      </c>
      <c r="AH40" s="69">
        <f>SUM(V40:X40)</f>
        <v/>
      </c>
      <c r="AI40" s="79">
        <f>SUM(Z40:AF40)</f>
        <v/>
      </c>
      <c r="AJ40" s="80">
        <f>SUM(AG40+AI40)</f>
        <v/>
      </c>
      <c r="AK40" s="81">
        <f>AJ40+AH40</f>
        <v/>
      </c>
      <c r="AL40" s="63">
        <f>SUM(V40,Y40:AG40)</f>
        <v/>
      </c>
      <c r="AM40" s="88">
        <f>SUM(W40:X40)</f>
        <v/>
      </c>
      <c r="AN40" s="88" t="n"/>
    </row>
    <row r="41" hidden="1" ht="15.75" customFormat="1" customHeight="1" s="2">
      <c r="A41" s="9" t="n">
        <v>44838</v>
      </c>
      <c r="B41" s="2" t="n">
        <v>28.96</v>
      </c>
      <c r="C41" s="2" t="n">
        <v>0.16</v>
      </c>
      <c r="E41" s="2" t="n">
        <v>0.38</v>
      </c>
      <c r="F41" s="2" t="n">
        <v>1.22</v>
      </c>
      <c r="G41" s="2" t="n">
        <v>0.46</v>
      </c>
      <c r="I41" s="2" t="n">
        <v>0.08</v>
      </c>
      <c r="L41" s="2" t="n">
        <v>0.06</v>
      </c>
      <c r="O41" s="2" t="n">
        <v>0.02</v>
      </c>
      <c r="P41" s="2" t="n">
        <v>0.82</v>
      </c>
      <c r="Q41" s="2">
        <f>SUM(B41:P41)</f>
        <v/>
      </c>
      <c r="R41" s="25" t="n"/>
      <c r="S41" s="69">
        <f>(B41/$Q41)</f>
        <v/>
      </c>
      <c r="T41" s="69">
        <f>(C41/$Q41)</f>
        <v/>
      </c>
      <c r="U41" s="69">
        <f>(D41/$Q41)</f>
        <v/>
      </c>
      <c r="V41" s="69">
        <f>(E41/$Q41)</f>
        <v/>
      </c>
      <c r="W41" s="69">
        <f>(F41/$Q41)</f>
        <v/>
      </c>
      <c r="X41" s="69">
        <f>(G41/$Q41)</f>
        <v/>
      </c>
      <c r="Y41" s="69">
        <f>(H41/$Q41)</f>
        <v/>
      </c>
      <c r="Z41" s="69">
        <f>(I41/$Q41)</f>
        <v/>
      </c>
      <c r="AA41" s="69">
        <f>(J41/$Q41)</f>
        <v/>
      </c>
      <c r="AB41" s="69">
        <f>(K41/$Q41)</f>
        <v/>
      </c>
      <c r="AC41" s="69">
        <f>(L41/$Q41)</f>
        <v/>
      </c>
      <c r="AD41" s="69">
        <f>(M41/$Q41)</f>
        <v/>
      </c>
      <c r="AE41" s="69">
        <f>(N41/$Q41)</f>
        <v/>
      </c>
      <c r="AF41" s="69">
        <f>(O41/$Q41)</f>
        <v/>
      </c>
      <c r="AG41" s="69">
        <f>(P41/$Q41)</f>
        <v/>
      </c>
      <c r="AH41" s="69">
        <f>SUM(V41:X41)</f>
        <v/>
      </c>
      <c r="AI41" s="79">
        <f>SUM(Z41:AF41)</f>
        <v/>
      </c>
      <c r="AJ41" s="80">
        <f>SUM(AG41+AI41)</f>
        <v/>
      </c>
      <c r="AK41" s="81">
        <f>AJ41+AH41</f>
        <v/>
      </c>
      <c r="AL41" s="63">
        <f>SUM(V41,Y41:AG41)</f>
        <v/>
      </c>
      <c r="AM41" s="88">
        <f>SUM(W41:X41)</f>
        <v/>
      </c>
      <c r="AN41" s="88" t="n"/>
    </row>
    <row r="42" hidden="1" ht="15.75" customFormat="1" customHeight="1" s="2">
      <c r="A42" s="9" t="n">
        <v>44845</v>
      </c>
      <c r="B42" s="2" t="n">
        <v>25.4</v>
      </c>
      <c r="G42" s="2" t="n">
        <v>1.28</v>
      </c>
      <c r="P42" s="2" t="n">
        <v>0.28</v>
      </c>
      <c r="Q42" s="2">
        <f>SUM(B42:P42)</f>
        <v/>
      </c>
      <c r="R42" s="25" t="n"/>
      <c r="S42" s="69">
        <f>(B42/$Q42)</f>
        <v/>
      </c>
      <c r="T42" s="69">
        <f>(C42/$Q42)</f>
        <v/>
      </c>
      <c r="U42" s="69">
        <f>(D42/$Q42)</f>
        <v/>
      </c>
      <c r="V42" s="69">
        <f>(E42/$Q42)</f>
        <v/>
      </c>
      <c r="W42" s="69">
        <f>(F42/$Q42)</f>
        <v/>
      </c>
      <c r="X42" s="69">
        <f>(G42/$Q42)</f>
        <v/>
      </c>
      <c r="Y42" s="69">
        <f>(H42/$Q42)</f>
        <v/>
      </c>
      <c r="Z42" s="69">
        <f>(I42/$Q42)</f>
        <v/>
      </c>
      <c r="AA42" s="69">
        <f>(J42/$Q42)</f>
        <v/>
      </c>
      <c r="AB42" s="69">
        <f>(K42/$Q42)</f>
        <v/>
      </c>
      <c r="AC42" s="69">
        <f>(L42/$Q42)</f>
        <v/>
      </c>
      <c r="AD42" s="69">
        <f>(M42/$Q42)</f>
        <v/>
      </c>
      <c r="AE42" s="69">
        <f>(N42/$Q42)</f>
        <v/>
      </c>
      <c r="AF42" s="69">
        <f>(O42/$Q42)</f>
        <v/>
      </c>
      <c r="AG42" s="69">
        <f>(P42/$Q42)</f>
        <v/>
      </c>
      <c r="AH42" s="69">
        <f>SUM(V42:X42)</f>
        <v/>
      </c>
      <c r="AI42" s="79">
        <f>SUM(Z42:AF42)</f>
        <v/>
      </c>
      <c r="AJ42" s="80">
        <f>SUM(AG42+AI42)</f>
        <v/>
      </c>
      <c r="AK42" s="81">
        <f>AJ42+AH42</f>
        <v/>
      </c>
      <c r="AL42" s="63">
        <f>SUM(V42,Y42:AG42)</f>
        <v/>
      </c>
      <c r="AM42" s="88">
        <f>SUM(W42:X42)</f>
        <v/>
      </c>
      <c r="AN42" s="88" t="n"/>
    </row>
    <row r="43" hidden="1" ht="15.75" customFormat="1" customHeight="1" s="2">
      <c r="A43" s="9" t="n">
        <v>44846</v>
      </c>
      <c r="B43" s="2" t="n">
        <v>12.94</v>
      </c>
      <c r="D43" s="2" t="n">
        <v>0.48</v>
      </c>
      <c r="E43" s="2" t="n">
        <v>0.38</v>
      </c>
      <c r="F43" s="2" t="n">
        <v>1.44</v>
      </c>
      <c r="G43" s="2" t="n">
        <v>0.38</v>
      </c>
      <c r="H43" s="2" t="n">
        <v>0.2</v>
      </c>
      <c r="P43" s="2" t="n">
        <v>0.46</v>
      </c>
      <c r="Q43" s="2">
        <f>SUM(B43:P43)</f>
        <v/>
      </c>
      <c r="R43" s="25" t="n"/>
      <c r="S43" s="69">
        <f>(B43/$Q43)</f>
        <v/>
      </c>
      <c r="T43" s="69">
        <f>(C43/$Q43)</f>
        <v/>
      </c>
      <c r="U43" s="69">
        <f>(D43/$Q43)</f>
        <v/>
      </c>
      <c r="V43" s="69">
        <f>(E43/$Q43)</f>
        <v/>
      </c>
      <c r="W43" s="69">
        <f>(F43/$Q43)</f>
        <v/>
      </c>
      <c r="X43" s="69">
        <f>(G43/$Q43)</f>
        <v/>
      </c>
      <c r="Y43" s="69">
        <f>(H43/$Q43)</f>
        <v/>
      </c>
      <c r="Z43" s="69">
        <f>(I43/$Q43)</f>
        <v/>
      </c>
      <c r="AA43" s="69">
        <f>(J43/$Q43)</f>
        <v/>
      </c>
      <c r="AB43" s="69">
        <f>(K43/$Q43)</f>
        <v/>
      </c>
      <c r="AC43" s="69">
        <f>(L43/$Q43)</f>
        <v/>
      </c>
      <c r="AD43" s="69">
        <f>(M43/$Q43)</f>
        <v/>
      </c>
      <c r="AE43" s="69">
        <f>(N43/$Q43)</f>
        <v/>
      </c>
      <c r="AF43" s="69">
        <f>(O43/$Q43)</f>
        <v/>
      </c>
      <c r="AG43" s="69">
        <f>(P43/$Q43)</f>
        <v/>
      </c>
      <c r="AH43" s="69">
        <f>SUM(V43:X43)</f>
        <v/>
      </c>
      <c r="AI43" s="79">
        <f>SUM(Z43:AF43)</f>
        <v/>
      </c>
      <c r="AJ43" s="80">
        <f>SUM(AG43+AI43)</f>
        <v/>
      </c>
      <c r="AK43" s="81">
        <f>AJ43+AH43</f>
        <v/>
      </c>
      <c r="AL43" s="63">
        <f>SUM(V43,Y43:AG43)</f>
        <v/>
      </c>
      <c r="AM43" s="88">
        <f>SUM(W43:X43)</f>
        <v/>
      </c>
      <c r="AN43" s="88" t="n"/>
    </row>
    <row r="44" hidden="1" ht="15.75" customFormat="1" customHeight="1" s="2">
      <c r="A44" s="9" t="n">
        <v>44847</v>
      </c>
      <c r="B44" s="2" t="n">
        <v>18.1</v>
      </c>
      <c r="C44" s="2" t="n">
        <v>0.58</v>
      </c>
      <c r="D44" s="2" t="n">
        <v>0.46</v>
      </c>
      <c r="F44" s="2" t="n">
        <v>2.88</v>
      </c>
      <c r="G44" s="2" t="n">
        <v>0.64</v>
      </c>
      <c r="L44" s="2" t="n">
        <v>0.8</v>
      </c>
      <c r="P44" s="2" t="n">
        <v>1.08</v>
      </c>
      <c r="Q44" s="2">
        <f>SUM(B44:P44)</f>
        <v/>
      </c>
      <c r="R44" s="26" t="n"/>
      <c r="S44" s="69">
        <f>(B44/$Q44)</f>
        <v/>
      </c>
      <c r="T44" s="69">
        <f>(C44/$Q44)</f>
        <v/>
      </c>
      <c r="U44" s="69">
        <f>(D44/$Q44)</f>
        <v/>
      </c>
      <c r="V44" s="69">
        <f>(E44/$Q44)</f>
        <v/>
      </c>
      <c r="W44" s="69">
        <f>(F44/$Q44)</f>
        <v/>
      </c>
      <c r="X44" s="69">
        <f>(G44/$Q44)</f>
        <v/>
      </c>
      <c r="Y44" s="69">
        <f>(H44/$Q44)</f>
        <v/>
      </c>
      <c r="Z44" s="69">
        <f>(I44/$Q44)</f>
        <v/>
      </c>
      <c r="AA44" s="69">
        <f>(J44/$Q44)</f>
        <v/>
      </c>
      <c r="AB44" s="69">
        <f>(K44/$Q44)</f>
        <v/>
      </c>
      <c r="AC44" s="69">
        <f>(L44/$Q44)</f>
        <v/>
      </c>
      <c r="AD44" s="69">
        <f>(M44/$Q44)</f>
        <v/>
      </c>
      <c r="AE44" s="69">
        <f>(N44/$Q44)</f>
        <v/>
      </c>
      <c r="AF44" s="69">
        <f>(O44/$Q44)</f>
        <v/>
      </c>
      <c r="AG44" s="69">
        <f>(P44/$Q44)</f>
        <v/>
      </c>
      <c r="AH44" s="69">
        <f>SUM(V44:X44)</f>
        <v/>
      </c>
      <c r="AI44" s="79">
        <f>SUM(Z44:AF44)</f>
        <v/>
      </c>
      <c r="AJ44" s="80">
        <f>SUM(AG44+AI44)</f>
        <v/>
      </c>
      <c r="AK44" s="81">
        <f>AJ44+AH44</f>
        <v/>
      </c>
      <c r="AL44" s="63">
        <f>SUM(V44,Y44:AG44)</f>
        <v/>
      </c>
      <c r="AM44" s="88">
        <f>SUM(W44:X44)</f>
        <v/>
      </c>
      <c r="AN44" s="88" t="n"/>
    </row>
    <row r="45" hidden="1" ht="15.75" customFormat="1" customHeight="1" s="2">
      <c r="A45" s="9" t="n">
        <v>44849</v>
      </c>
      <c r="B45" s="2" t="n">
        <v>17.48</v>
      </c>
      <c r="C45" s="2" t="n">
        <v>0.18</v>
      </c>
      <c r="F45" s="2" t="n">
        <v>2.68</v>
      </c>
      <c r="G45" s="2" t="n">
        <v>1.02</v>
      </c>
      <c r="I45" s="2" t="n">
        <v>0.18</v>
      </c>
      <c r="K45" s="2" t="n">
        <v>0.2</v>
      </c>
      <c r="N45" s="2" t="n">
        <v>0.2</v>
      </c>
      <c r="P45" s="2" t="n">
        <v>1.02</v>
      </c>
      <c r="Q45" s="2">
        <f>SUM(B45:P45)</f>
        <v/>
      </c>
      <c r="R45" s="26" t="n"/>
      <c r="S45" s="69">
        <f>(B45/$Q45)</f>
        <v/>
      </c>
      <c r="T45" s="69">
        <f>(C45/$Q45)</f>
        <v/>
      </c>
      <c r="U45" s="69">
        <f>(D45/$Q45)</f>
        <v/>
      </c>
      <c r="V45" s="69">
        <f>(E45/$Q45)</f>
        <v/>
      </c>
      <c r="W45" s="69">
        <f>(F45/$Q45)</f>
        <v/>
      </c>
      <c r="X45" s="69">
        <f>(G45/$Q45)</f>
        <v/>
      </c>
      <c r="Y45" s="69">
        <f>(H45/$Q45)</f>
        <v/>
      </c>
      <c r="Z45" s="69">
        <f>(I45/$Q45)</f>
        <v/>
      </c>
      <c r="AA45" s="69">
        <f>(J45/$Q45)</f>
        <v/>
      </c>
      <c r="AB45" s="69">
        <f>(K45/$Q45)</f>
        <v/>
      </c>
      <c r="AC45" s="69">
        <f>(L45/$Q45)</f>
        <v/>
      </c>
      <c r="AD45" s="69">
        <f>(M45/$Q45)</f>
        <v/>
      </c>
      <c r="AE45" s="69">
        <f>(N45/$Q45)</f>
        <v/>
      </c>
      <c r="AF45" s="69">
        <f>(O45/$Q45)</f>
        <v/>
      </c>
      <c r="AG45" s="69">
        <f>(P45/$Q45)</f>
        <v/>
      </c>
      <c r="AH45" s="69">
        <f>SUM(V45:X45)</f>
        <v/>
      </c>
      <c r="AI45" s="79">
        <f>SUM(Z45:AF45)</f>
        <v/>
      </c>
      <c r="AJ45" s="80">
        <f>SUM(AG45+AI45)</f>
        <v/>
      </c>
      <c r="AK45" s="81">
        <f>AJ45+AH45</f>
        <v/>
      </c>
      <c r="AL45" s="63">
        <f>SUM(V45,Y45:AG45)</f>
        <v/>
      </c>
      <c r="AM45" s="88">
        <f>SUM(W45:X45)</f>
        <v/>
      </c>
      <c r="AN45" s="88" t="n"/>
    </row>
    <row r="46" hidden="1" ht="15.75" customFormat="1" customHeight="1" s="2">
      <c r="A46" s="9" t="n">
        <v>44851</v>
      </c>
      <c r="B46" s="2" t="n">
        <v>24.22</v>
      </c>
      <c r="C46" s="2" t="n">
        <v>0.54</v>
      </c>
      <c r="D46" s="2" t="n">
        <v>0.46</v>
      </c>
      <c r="E46" s="2" t="n">
        <v>0.66</v>
      </c>
      <c r="F46" s="2" t="n">
        <v>4.64</v>
      </c>
      <c r="G46" s="2" t="n">
        <v>0.66</v>
      </c>
      <c r="H46" s="2" t="n">
        <v>0.2</v>
      </c>
      <c r="I46" s="2" t="n">
        <v>0.2</v>
      </c>
      <c r="N46" s="2" t="n">
        <v>0.04</v>
      </c>
      <c r="P46" s="2" t="n">
        <v>0</v>
      </c>
      <c r="Q46" s="2">
        <f>SUM(B46:P46)</f>
        <v/>
      </c>
      <c r="R46" s="27" t="n"/>
      <c r="S46" s="69">
        <f>(B46/$Q46)</f>
        <v/>
      </c>
      <c r="T46" s="69">
        <f>(C46/$Q46)</f>
        <v/>
      </c>
      <c r="U46" s="69">
        <f>(D46/$Q46)</f>
        <v/>
      </c>
      <c r="V46" s="69">
        <f>(E46/$Q46)</f>
        <v/>
      </c>
      <c r="W46" s="69">
        <f>(F46/$Q46)</f>
        <v/>
      </c>
      <c r="X46" s="69">
        <f>(G46/$Q46)</f>
        <v/>
      </c>
      <c r="Y46" s="69">
        <f>(H46/$Q46)</f>
        <v/>
      </c>
      <c r="Z46" s="69">
        <f>(I46/$Q46)</f>
        <v/>
      </c>
      <c r="AA46" s="69">
        <f>(J46/$Q46)</f>
        <v/>
      </c>
      <c r="AB46" s="69">
        <f>(K46/$Q46)</f>
        <v/>
      </c>
      <c r="AC46" s="69">
        <f>(L46/$Q46)</f>
        <v/>
      </c>
      <c r="AD46" s="69">
        <f>(M46/$Q46)</f>
        <v/>
      </c>
      <c r="AE46" s="69">
        <f>(N46/$Q46)</f>
        <v/>
      </c>
      <c r="AF46" s="69">
        <f>(O46/$Q46)</f>
        <v/>
      </c>
      <c r="AG46" s="69">
        <f>(P46/$Q46)</f>
        <v/>
      </c>
      <c r="AH46" s="69">
        <f>SUM(V46:X46)</f>
        <v/>
      </c>
      <c r="AI46" s="79">
        <f>SUM(Z46:AF46)</f>
        <v/>
      </c>
      <c r="AJ46" s="80">
        <f>SUM(AG46+AI46)</f>
        <v/>
      </c>
      <c r="AK46" s="81">
        <f>AJ46+AH46</f>
        <v/>
      </c>
      <c r="AL46" s="63">
        <f>SUM(V46,Y46:AG46)</f>
        <v/>
      </c>
      <c r="AM46" s="88">
        <f>SUM(W46:X46)</f>
        <v/>
      </c>
      <c r="AN46" s="88" t="n"/>
    </row>
    <row r="47" hidden="1" ht="15.75" customFormat="1" customHeight="1" s="2">
      <c r="A47" s="9" t="n">
        <v>44852</v>
      </c>
      <c r="B47" s="2" t="n">
        <v>19.98</v>
      </c>
      <c r="C47" s="2" t="n">
        <v>0.9</v>
      </c>
      <c r="D47" s="2" t="n">
        <v>0.66</v>
      </c>
      <c r="F47" s="2" t="n">
        <v>3.7</v>
      </c>
      <c r="G47" s="2" t="n">
        <v>1.34</v>
      </c>
      <c r="I47" s="2" t="n">
        <v>0.2</v>
      </c>
      <c r="N47" s="2" t="n">
        <v>0.2</v>
      </c>
      <c r="P47" s="2" t="n">
        <v>1.24</v>
      </c>
      <c r="Q47" s="2">
        <f>SUM(B47:P47)</f>
        <v/>
      </c>
      <c r="R47" s="25" t="n"/>
      <c r="S47" s="69">
        <f>(B47/$Q47)</f>
        <v/>
      </c>
      <c r="T47" s="69">
        <f>(C47/$Q47)</f>
        <v/>
      </c>
      <c r="U47" s="69">
        <f>(D47/$Q47)</f>
        <v/>
      </c>
      <c r="V47" s="69">
        <f>(E47/$Q47)</f>
        <v/>
      </c>
      <c r="W47" s="69">
        <f>(F47/$Q47)</f>
        <v/>
      </c>
      <c r="X47" s="69">
        <f>(G47/$Q47)</f>
        <v/>
      </c>
      <c r="Y47" s="69">
        <f>(H47/$Q47)</f>
        <v/>
      </c>
      <c r="Z47" s="69">
        <f>(I47/$Q47)</f>
        <v/>
      </c>
      <c r="AA47" s="69">
        <f>(J47/$Q47)</f>
        <v/>
      </c>
      <c r="AB47" s="69">
        <f>(K47/$Q47)</f>
        <v/>
      </c>
      <c r="AC47" s="69">
        <f>(L47/$Q47)</f>
        <v/>
      </c>
      <c r="AD47" s="69">
        <f>(M47/$Q47)</f>
        <v/>
      </c>
      <c r="AE47" s="69">
        <f>(N47/$Q47)</f>
        <v/>
      </c>
      <c r="AF47" s="69">
        <f>(O47/$Q47)</f>
        <v/>
      </c>
      <c r="AG47" s="69">
        <f>(P47/$Q47)</f>
        <v/>
      </c>
      <c r="AH47" s="69">
        <f>SUM(V47:X47)</f>
        <v/>
      </c>
      <c r="AI47" s="79">
        <f>SUM(Z47:AF47)</f>
        <v/>
      </c>
      <c r="AJ47" s="80">
        <f>SUM(AG47+AI47)</f>
        <v/>
      </c>
      <c r="AK47" s="81">
        <f>AJ47+AH47</f>
        <v/>
      </c>
      <c r="AL47" s="63">
        <f>SUM(V47,Y47:AG47)</f>
        <v/>
      </c>
      <c r="AM47" s="88">
        <f>SUM(W47:X47)</f>
        <v/>
      </c>
      <c r="AN47" s="88" t="n"/>
    </row>
    <row r="48" hidden="1" ht="15.75" customFormat="1" customHeight="1" s="2">
      <c r="A48" s="9" t="n">
        <v>44853</v>
      </c>
      <c r="B48" s="2" t="n">
        <v>18.48</v>
      </c>
      <c r="C48" s="2" t="n">
        <v>0.4</v>
      </c>
      <c r="F48" s="2" t="n">
        <v>2.42</v>
      </c>
      <c r="G48" s="2" t="n">
        <v>1.42</v>
      </c>
      <c r="N48" s="2" t="n">
        <v>0.04</v>
      </c>
      <c r="P48" s="2" t="n">
        <v>0.74</v>
      </c>
      <c r="Q48" s="2">
        <f>SUM(B48:P48)</f>
        <v/>
      </c>
      <c r="R48" s="25" t="n"/>
      <c r="S48" s="69">
        <f>(B48/$Q48)</f>
        <v/>
      </c>
      <c r="T48" s="69">
        <f>(C48/$Q48)</f>
        <v/>
      </c>
      <c r="U48" s="69">
        <f>(D48/$Q48)</f>
        <v/>
      </c>
      <c r="V48" s="69">
        <f>(E48/$Q48)</f>
        <v/>
      </c>
      <c r="W48" s="69">
        <f>(F48/$Q48)</f>
        <v/>
      </c>
      <c r="X48" s="69">
        <f>(G48/$Q48)</f>
        <v/>
      </c>
      <c r="Y48" s="69">
        <f>(H48/$Q48)</f>
        <v/>
      </c>
      <c r="Z48" s="69">
        <f>(I48/$Q48)</f>
        <v/>
      </c>
      <c r="AA48" s="69">
        <f>(J48/$Q48)</f>
        <v/>
      </c>
      <c r="AB48" s="69">
        <f>(K48/$Q48)</f>
        <v/>
      </c>
      <c r="AC48" s="69">
        <f>(L48/$Q48)</f>
        <v/>
      </c>
      <c r="AD48" s="69">
        <f>(M48/$Q48)</f>
        <v/>
      </c>
      <c r="AE48" s="69">
        <f>(N48/$Q48)</f>
        <v/>
      </c>
      <c r="AF48" s="69">
        <f>(O48/$Q48)</f>
        <v/>
      </c>
      <c r="AG48" s="69">
        <f>(P48/$Q48)</f>
        <v/>
      </c>
      <c r="AH48" s="69">
        <f>SUM(V48:X48)</f>
        <v/>
      </c>
      <c r="AI48" s="79">
        <f>SUM(Z48:AF48)</f>
        <v/>
      </c>
      <c r="AJ48" s="80">
        <f>SUM(AG48+AI48)</f>
        <v/>
      </c>
      <c r="AK48" s="81">
        <f>AJ48+AH48</f>
        <v/>
      </c>
      <c r="AL48" s="63">
        <f>SUM(V48,Y48:AG48)</f>
        <v/>
      </c>
      <c r="AM48" s="88">
        <f>SUM(W48:X48)</f>
        <v/>
      </c>
      <c r="AN48" s="88" t="n"/>
    </row>
    <row r="49" hidden="1" ht="15.75" customFormat="1" customHeight="1" s="2">
      <c r="A49" s="9" t="n">
        <v>44854</v>
      </c>
      <c r="B49" s="2" t="n">
        <v>16.86</v>
      </c>
      <c r="C49" s="2" t="n">
        <v>0.68</v>
      </c>
      <c r="D49" s="2" t="n">
        <v>0.08</v>
      </c>
      <c r="F49" s="2" t="n">
        <v>2.86</v>
      </c>
      <c r="G49" s="2" t="n">
        <v>0.86</v>
      </c>
      <c r="N49" s="2" t="n">
        <v>0.06</v>
      </c>
      <c r="P49" s="2" t="n">
        <v>0.76</v>
      </c>
      <c r="Q49" s="2">
        <f>SUM(B49:P49)</f>
        <v/>
      </c>
      <c r="R49" s="25" t="n"/>
      <c r="S49" s="69">
        <f>(B49/$Q49)</f>
        <v/>
      </c>
      <c r="T49" s="69">
        <f>(C49/$Q49)</f>
        <v/>
      </c>
      <c r="U49" s="69">
        <f>(D49/$Q49)</f>
        <v/>
      </c>
      <c r="V49" s="69">
        <f>(E49/$Q49)</f>
        <v/>
      </c>
      <c r="W49" s="69">
        <f>(F49/$Q49)</f>
        <v/>
      </c>
      <c r="X49" s="69">
        <f>(G49/$Q49)</f>
        <v/>
      </c>
      <c r="Y49" s="69">
        <f>(H49/$Q49)</f>
        <v/>
      </c>
      <c r="Z49" s="69">
        <f>(I49/$Q49)</f>
        <v/>
      </c>
      <c r="AA49" s="69">
        <f>(J49/$Q49)</f>
        <v/>
      </c>
      <c r="AB49" s="69">
        <f>(K49/$Q49)</f>
        <v/>
      </c>
      <c r="AC49" s="69">
        <f>(L49/$Q49)</f>
        <v/>
      </c>
      <c r="AD49" s="69">
        <f>(M49/$Q49)</f>
        <v/>
      </c>
      <c r="AE49" s="69">
        <f>(N49/$Q49)</f>
        <v/>
      </c>
      <c r="AF49" s="69">
        <f>(O49/$Q49)</f>
        <v/>
      </c>
      <c r="AG49" s="69">
        <f>(P49/$Q49)</f>
        <v/>
      </c>
      <c r="AH49" s="69">
        <f>SUM(V49:X49)</f>
        <v/>
      </c>
      <c r="AI49" s="79">
        <f>SUM(Z49:AF49)</f>
        <v/>
      </c>
      <c r="AJ49" s="80">
        <f>SUM(AG49+AI49)</f>
        <v/>
      </c>
      <c r="AK49" s="81">
        <f>AJ49+AH49</f>
        <v/>
      </c>
      <c r="AL49" s="63">
        <f>SUM(V49,Y49:AG49)</f>
        <v/>
      </c>
      <c r="AM49" s="88">
        <f>SUM(W49:X49)</f>
        <v/>
      </c>
      <c r="AN49" s="88" t="n"/>
    </row>
    <row r="50" hidden="1" ht="15.75" customFormat="1" customHeight="1" s="2">
      <c r="A50" s="9" t="n">
        <v>44855</v>
      </c>
      <c r="B50" s="2" t="n">
        <v>14.86</v>
      </c>
      <c r="C50" s="2" t="n">
        <v>0.26</v>
      </c>
      <c r="F50" s="2" t="n">
        <v>1.02</v>
      </c>
      <c r="G50" s="2" t="n">
        <v>1.38</v>
      </c>
      <c r="N50" s="2" t="n">
        <v>0.02</v>
      </c>
      <c r="P50" s="2" t="n">
        <v>0.26</v>
      </c>
      <c r="Q50" s="2">
        <f>SUM(B50:P50)</f>
        <v/>
      </c>
      <c r="R50" s="25" t="n"/>
      <c r="S50" s="69">
        <f>(B50/$Q50)</f>
        <v/>
      </c>
      <c r="T50" s="69">
        <f>(C50/$Q50)</f>
        <v/>
      </c>
      <c r="U50" s="69">
        <f>(D50/$Q50)</f>
        <v/>
      </c>
      <c r="V50" s="69">
        <f>(E50/$Q50)</f>
        <v/>
      </c>
      <c r="W50" s="69">
        <f>(F50/$Q50)</f>
        <v/>
      </c>
      <c r="X50" s="69">
        <f>(G50/$Q50)</f>
        <v/>
      </c>
      <c r="Y50" s="69">
        <f>(H50/$Q50)</f>
        <v/>
      </c>
      <c r="Z50" s="69">
        <f>(I50/$Q50)</f>
        <v/>
      </c>
      <c r="AA50" s="69">
        <f>(J50/$Q50)</f>
        <v/>
      </c>
      <c r="AB50" s="69">
        <f>(K50/$Q50)</f>
        <v/>
      </c>
      <c r="AC50" s="69">
        <f>(L50/$Q50)</f>
        <v/>
      </c>
      <c r="AD50" s="69">
        <f>(M50/$Q50)</f>
        <v/>
      </c>
      <c r="AE50" s="69">
        <f>(N50/$Q50)</f>
        <v/>
      </c>
      <c r="AF50" s="69">
        <f>(O50/$Q50)</f>
        <v/>
      </c>
      <c r="AG50" s="69">
        <f>(P50/$Q50)</f>
        <v/>
      </c>
      <c r="AH50" s="69">
        <f>SUM(V50:X50)</f>
        <v/>
      </c>
      <c r="AI50" s="79">
        <f>SUM(Z50:AF50)</f>
        <v/>
      </c>
      <c r="AJ50" s="80">
        <f>SUM(AG50+AI50)</f>
        <v/>
      </c>
      <c r="AK50" s="81">
        <f>AJ50+AH50</f>
        <v/>
      </c>
      <c r="AL50" s="63">
        <f>SUM(V50,Y50:AG50)</f>
        <v/>
      </c>
      <c r="AM50" s="88">
        <f>SUM(W50:X50)</f>
        <v/>
      </c>
      <c r="AN50" s="88" t="n"/>
    </row>
    <row r="51" hidden="1" ht="20.25" customHeight="1" s="259">
      <c r="A51" s="9" t="n">
        <v>44858</v>
      </c>
      <c r="B51" s="2" t="n">
        <v>17.84</v>
      </c>
      <c r="C51" s="2" t="n">
        <v>0.14</v>
      </c>
      <c r="E51" s="2" t="n">
        <v>0.54</v>
      </c>
      <c r="F51" s="2" t="n">
        <v>1.2</v>
      </c>
      <c r="G51" s="2" t="n">
        <v>1.54</v>
      </c>
      <c r="N51" s="2" t="n">
        <v>0.1</v>
      </c>
      <c r="P51" s="2" t="n">
        <v>0.38</v>
      </c>
      <c r="Q51" s="2">
        <f>SUM(B51:P51)</f>
        <v/>
      </c>
      <c r="S51" s="69">
        <f>(B51/$Q51)</f>
        <v/>
      </c>
      <c r="T51" s="69">
        <f>(C51/$Q51)</f>
        <v/>
      </c>
      <c r="U51" s="69">
        <f>(D51/$Q51)</f>
        <v/>
      </c>
      <c r="V51" s="69">
        <f>(E51/$Q51)</f>
        <v/>
      </c>
      <c r="W51" s="69">
        <f>(F51/$Q51)</f>
        <v/>
      </c>
      <c r="X51" s="69">
        <f>(G51/$Q51)</f>
        <v/>
      </c>
      <c r="Y51" s="69">
        <f>(H51/$Q51)</f>
        <v/>
      </c>
      <c r="Z51" s="69">
        <f>(I51/$Q51)</f>
        <v/>
      </c>
      <c r="AA51" s="69">
        <f>(J51/$Q51)</f>
        <v/>
      </c>
      <c r="AB51" s="69">
        <f>(K51/$Q51)</f>
        <v/>
      </c>
      <c r="AC51" s="69">
        <f>(L51/$Q51)</f>
        <v/>
      </c>
      <c r="AD51" s="69">
        <f>(M51/$Q51)</f>
        <v/>
      </c>
      <c r="AE51" s="69">
        <f>(N51/$Q51)</f>
        <v/>
      </c>
      <c r="AF51" s="69">
        <f>(O51/$Q51)</f>
        <v/>
      </c>
      <c r="AG51" s="69">
        <f>(P51/$Q51)</f>
        <v/>
      </c>
      <c r="AH51" s="69">
        <f>SUM(V51:X51)</f>
        <v/>
      </c>
      <c r="AI51" s="79">
        <f>SUM(Z51:AF51)</f>
        <v/>
      </c>
      <c r="AJ51" s="80">
        <f>SUM(AG51+AI51)</f>
        <v/>
      </c>
      <c r="AK51" s="81">
        <f>AJ51+AH51</f>
        <v/>
      </c>
      <c r="AL51" s="63">
        <f>SUM(V51,Y51:AG51)</f>
        <v/>
      </c>
      <c r="AM51" s="88">
        <f>SUM(W51:X51)</f>
        <v/>
      </c>
      <c r="AN51" s="88" t="n"/>
      <c r="AO51" s="2" t="n"/>
      <c r="AP51" s="2" t="n"/>
    </row>
    <row r="52" hidden="1" ht="20.25" customHeight="1" s="259">
      <c r="A52" s="9" t="n">
        <v>44859</v>
      </c>
      <c r="B52" s="2" t="n">
        <v>19.3</v>
      </c>
      <c r="C52" s="2" t="n">
        <v>0.44</v>
      </c>
      <c r="G52" s="2" t="n">
        <v>2.12</v>
      </c>
      <c r="H52" s="2" t="n">
        <v>0.04</v>
      </c>
      <c r="I52" s="2" t="n">
        <v>0.04</v>
      </c>
      <c r="K52" s="2" t="n">
        <v>0.02</v>
      </c>
      <c r="N52" s="2" t="n">
        <v>0.02</v>
      </c>
      <c r="P52" s="2" t="n">
        <v>0.54</v>
      </c>
      <c r="Q52" s="2">
        <f>SUM(B52:P52)</f>
        <v/>
      </c>
      <c r="S52" s="69">
        <f>(B52/$Q52)</f>
        <v/>
      </c>
      <c r="T52" s="69">
        <f>(C52/$Q52)</f>
        <v/>
      </c>
      <c r="U52" s="69">
        <f>(D52/$Q52)</f>
        <v/>
      </c>
      <c r="V52" s="69">
        <f>(E52/$Q52)</f>
        <v/>
      </c>
      <c r="W52" s="69">
        <f>(F52/$Q52)</f>
        <v/>
      </c>
      <c r="X52" s="69">
        <f>(G52/$Q52)</f>
        <v/>
      </c>
      <c r="Y52" s="69">
        <f>(H52/$Q52)</f>
        <v/>
      </c>
      <c r="Z52" s="69">
        <f>(I52/$Q52)</f>
        <v/>
      </c>
      <c r="AA52" s="69">
        <f>(J52/$Q52)</f>
        <v/>
      </c>
      <c r="AB52" s="69">
        <f>(K52/$Q52)</f>
        <v/>
      </c>
      <c r="AC52" s="69">
        <f>(L52/$Q52)</f>
        <v/>
      </c>
      <c r="AD52" s="69">
        <f>(M52/$Q52)</f>
        <v/>
      </c>
      <c r="AE52" s="69">
        <f>(N52/$Q52)</f>
        <v/>
      </c>
      <c r="AF52" s="69">
        <f>(O52/$Q52)</f>
        <v/>
      </c>
      <c r="AG52" s="69">
        <f>(P52/$Q52)</f>
        <v/>
      </c>
      <c r="AH52" s="69">
        <f>SUM(V52:X52)</f>
        <v/>
      </c>
      <c r="AI52" s="79">
        <f>SUM(Z52:AF52)</f>
        <v/>
      </c>
      <c r="AJ52" s="80">
        <f>SUM(AG52+AI52)</f>
        <v/>
      </c>
      <c r="AK52" s="81">
        <f>AJ52+AH52</f>
        <v/>
      </c>
      <c r="AL52" s="63">
        <f>SUM(V52,Y52:AG52)</f>
        <v/>
      </c>
      <c r="AM52" s="88">
        <f>SUM(W52:X52)</f>
        <v/>
      </c>
      <c r="AN52" s="88" t="n"/>
      <c r="AO52" s="2" t="n"/>
      <c r="AP52" s="2" t="n"/>
    </row>
    <row r="53" hidden="1" ht="20.25" customHeight="1" s="259">
      <c r="A53" s="9" t="n">
        <v>44860</v>
      </c>
      <c r="B53" s="2" t="n">
        <v>16.22</v>
      </c>
      <c r="C53" s="2" t="n">
        <v>0.3</v>
      </c>
      <c r="E53" s="2" t="n">
        <v>0.36</v>
      </c>
      <c r="F53" s="2" t="n">
        <v>2.14</v>
      </c>
      <c r="G53" s="2" t="n">
        <v>0.66</v>
      </c>
      <c r="I53" s="2" t="n">
        <v>0.02</v>
      </c>
      <c r="K53" s="2" t="n">
        <v>0.02</v>
      </c>
      <c r="P53" s="2" t="n">
        <v>0.6</v>
      </c>
      <c r="Q53" s="2">
        <f>SUM(B53:P53)</f>
        <v/>
      </c>
      <c r="S53" s="69">
        <f>(B53/$Q53)</f>
        <v/>
      </c>
      <c r="T53" s="69">
        <f>(C53/$Q53)</f>
        <v/>
      </c>
      <c r="U53" s="69">
        <f>(D53/$Q53)</f>
        <v/>
      </c>
      <c r="V53" s="69">
        <f>(E53/$Q53)</f>
        <v/>
      </c>
      <c r="W53" s="69">
        <f>(F53/$Q53)</f>
        <v/>
      </c>
      <c r="X53" s="69">
        <f>(G53/$Q53)</f>
        <v/>
      </c>
      <c r="Y53" s="69">
        <f>(H53/$Q53)</f>
        <v/>
      </c>
      <c r="Z53" s="69">
        <f>(I53/$Q53)</f>
        <v/>
      </c>
      <c r="AA53" s="69">
        <f>(J53/$Q53)</f>
        <v/>
      </c>
      <c r="AB53" s="69">
        <f>(K53/$Q53)</f>
        <v/>
      </c>
      <c r="AC53" s="69">
        <f>(L53/$Q53)</f>
        <v/>
      </c>
      <c r="AD53" s="69">
        <f>(M53/$Q53)</f>
        <v/>
      </c>
      <c r="AE53" s="69">
        <f>(N53/$Q53)</f>
        <v/>
      </c>
      <c r="AF53" s="69">
        <f>(O53/$Q53)</f>
        <v/>
      </c>
      <c r="AG53" s="69">
        <f>(P53/$Q53)</f>
        <v/>
      </c>
      <c r="AH53" s="69">
        <f>SUM(V53:X53)</f>
        <v/>
      </c>
      <c r="AI53" s="79">
        <f>SUM(Z53:AF53)</f>
        <v/>
      </c>
      <c r="AJ53" s="80">
        <f>SUM(AG53+AI53)</f>
        <v/>
      </c>
      <c r="AK53" s="81">
        <f>AJ53+AH53</f>
        <v/>
      </c>
      <c r="AL53" s="63">
        <f>SUM(V53,Y53:AG53)</f>
        <v/>
      </c>
      <c r="AM53" s="88">
        <f>SUM(W53:X53)</f>
        <v/>
      </c>
      <c r="AN53" s="88" t="n"/>
      <c r="AO53" s="2" t="n"/>
      <c r="AP53" s="2" t="n"/>
    </row>
    <row r="54" hidden="1" ht="20.25" customHeight="1" s="259">
      <c r="A54" s="9" t="n">
        <v>44861</v>
      </c>
      <c r="B54" s="2" t="n">
        <v>16.3</v>
      </c>
      <c r="C54" s="2" t="n">
        <v>0.14</v>
      </c>
      <c r="F54" s="2" t="n">
        <v>1.84</v>
      </c>
      <c r="G54" s="2" t="n">
        <v>1.18</v>
      </c>
      <c r="I54" s="2" t="n">
        <v>0.02</v>
      </c>
      <c r="J54" s="2" t="n">
        <v>0.02</v>
      </c>
      <c r="P54" s="2" t="n">
        <v>1.24</v>
      </c>
      <c r="Q54" s="2">
        <f>SUM(B54:P54)</f>
        <v/>
      </c>
      <c r="S54" s="69">
        <f>(B54/$Q54)</f>
        <v/>
      </c>
      <c r="T54" s="69">
        <f>(C54/$Q54)</f>
        <v/>
      </c>
      <c r="U54" s="69">
        <f>(D54/$Q54)</f>
        <v/>
      </c>
      <c r="V54" s="69">
        <f>(E54/$Q54)</f>
        <v/>
      </c>
      <c r="W54" s="69">
        <f>(F54/$Q54)</f>
        <v/>
      </c>
      <c r="X54" s="69">
        <f>(G54/$Q54)</f>
        <v/>
      </c>
      <c r="Y54" s="69">
        <f>(H54/$Q54)</f>
        <v/>
      </c>
      <c r="Z54" s="69">
        <f>(I54/$Q54)</f>
        <v/>
      </c>
      <c r="AA54" s="69">
        <f>(J54/$Q54)</f>
        <v/>
      </c>
      <c r="AB54" s="69">
        <f>(K54/$Q54)</f>
        <v/>
      </c>
      <c r="AC54" s="69">
        <f>(L54/$Q54)</f>
        <v/>
      </c>
      <c r="AD54" s="69">
        <f>(M54/$Q54)</f>
        <v/>
      </c>
      <c r="AE54" s="69">
        <f>(N54/$Q54)</f>
        <v/>
      </c>
      <c r="AF54" s="69">
        <f>(O54/$Q54)</f>
        <v/>
      </c>
      <c r="AG54" s="69">
        <f>(P54/$Q54)</f>
        <v/>
      </c>
      <c r="AH54" s="69">
        <f>SUM(V54:X54)</f>
        <v/>
      </c>
      <c r="AI54" s="79">
        <f>SUM(Z54:AF54)</f>
        <v/>
      </c>
      <c r="AJ54" s="80">
        <f>SUM(AG54+AI54)</f>
        <v/>
      </c>
      <c r="AK54" s="81">
        <f>AJ54+AH54</f>
        <v/>
      </c>
      <c r="AL54" s="63">
        <f>SUM(V54,Y54:AG54)</f>
        <v/>
      </c>
      <c r="AM54" s="88">
        <f>SUM(W54:X54)</f>
        <v/>
      </c>
      <c r="AN54" s="88" t="n"/>
      <c r="AO54" s="2" t="n"/>
      <c r="AP54" s="2" t="n"/>
    </row>
    <row r="55" hidden="1" ht="20.25" customHeight="1" s="259">
      <c r="A55" s="9" t="n">
        <v>44861</v>
      </c>
      <c r="B55" s="2" t="n">
        <v>18.68</v>
      </c>
      <c r="C55" s="2" t="n">
        <v>0.54</v>
      </c>
      <c r="E55" s="2" t="n">
        <v>0.52</v>
      </c>
      <c r="F55" s="2" t="n">
        <v>2.46</v>
      </c>
      <c r="G55" s="2" t="n">
        <v>1.08</v>
      </c>
      <c r="I55" s="2" t="n">
        <v>0.04</v>
      </c>
      <c r="K55" s="2" t="n">
        <v>0.02</v>
      </c>
      <c r="N55" s="2" t="n">
        <v>0.02</v>
      </c>
      <c r="P55" s="2" t="n">
        <v>0.5600000000000001</v>
      </c>
      <c r="Q55" s="2">
        <f>SUM(B55:P55)</f>
        <v/>
      </c>
      <c r="S55" s="69">
        <f>(B55/$Q55)</f>
        <v/>
      </c>
      <c r="T55" s="69">
        <f>(C55/$Q55)</f>
        <v/>
      </c>
      <c r="U55" s="69">
        <f>(D55/$Q55)</f>
        <v/>
      </c>
      <c r="V55" s="69">
        <f>(E55/$Q55)</f>
        <v/>
      </c>
      <c r="W55" s="69">
        <f>(F55/$Q55)</f>
        <v/>
      </c>
      <c r="X55" s="69">
        <f>(G55/$Q55)</f>
        <v/>
      </c>
      <c r="Y55" s="69">
        <f>(H55/$Q55)</f>
        <v/>
      </c>
      <c r="Z55" s="69">
        <f>(I55/$Q55)</f>
        <v/>
      </c>
      <c r="AA55" s="69">
        <f>(J55/$Q55)</f>
        <v/>
      </c>
      <c r="AB55" s="69">
        <f>(K55/$Q55)</f>
        <v/>
      </c>
      <c r="AC55" s="69">
        <f>(L55/$Q55)</f>
        <v/>
      </c>
      <c r="AD55" s="69">
        <f>(M55/$Q55)</f>
        <v/>
      </c>
      <c r="AE55" s="69">
        <f>(N55/$Q55)</f>
        <v/>
      </c>
      <c r="AF55" s="69">
        <f>(O55/$Q55)</f>
        <v/>
      </c>
      <c r="AG55" s="69">
        <f>(P55/$Q55)</f>
        <v/>
      </c>
      <c r="AH55" s="69">
        <f>SUM(V55:X55)</f>
        <v/>
      </c>
      <c r="AI55" s="79">
        <f>SUM(Z55:AF55)</f>
        <v/>
      </c>
      <c r="AJ55" s="80">
        <f>SUM(AG55+AI55)</f>
        <v/>
      </c>
      <c r="AK55" s="81">
        <f>AJ55+AH55</f>
        <v/>
      </c>
      <c r="AL55" s="63">
        <f>SUM(V55,Y55:AG55)</f>
        <v/>
      </c>
      <c r="AM55" s="88">
        <f>SUM(W55:X55)</f>
        <v/>
      </c>
      <c r="AN55" s="88" t="n"/>
      <c r="AO55" s="2" t="n"/>
      <c r="AP55" s="2" t="n"/>
    </row>
    <row r="56" hidden="1" ht="15.75" customFormat="1" customHeight="1" s="2">
      <c r="A56" s="9" t="n">
        <v>44865</v>
      </c>
      <c r="B56" s="2" t="n">
        <v>21.78</v>
      </c>
      <c r="C56" s="2" t="n">
        <v>0.58</v>
      </c>
      <c r="E56" s="2" t="n">
        <v>1.42</v>
      </c>
      <c r="F56" s="2" t="n">
        <v>3.26</v>
      </c>
      <c r="G56" s="2" t="n">
        <v>1.4</v>
      </c>
      <c r="I56" s="2" t="n">
        <v>0.06</v>
      </c>
      <c r="K56" s="2" t="n">
        <v>0.02</v>
      </c>
      <c r="N56" s="2" t="n">
        <v>0.06</v>
      </c>
      <c r="P56" s="2" t="n">
        <v>0.88</v>
      </c>
      <c r="Q56" s="2">
        <f>SUM(B56:P56)</f>
        <v/>
      </c>
      <c r="R56" s="25" t="n"/>
      <c r="S56" s="69">
        <f>(B56/$Q56)</f>
        <v/>
      </c>
      <c r="T56" s="69">
        <f>(C56/$Q56)</f>
        <v/>
      </c>
      <c r="U56" s="69">
        <f>(D56/$Q56)</f>
        <v/>
      </c>
      <c r="V56" s="69">
        <f>(E56/$Q56)</f>
        <v/>
      </c>
      <c r="W56" s="69">
        <f>(F56/$Q56)</f>
        <v/>
      </c>
      <c r="X56" s="69">
        <f>(G56/$Q56)</f>
        <v/>
      </c>
      <c r="Y56" s="69">
        <f>(H56/$Q56)</f>
        <v/>
      </c>
      <c r="Z56" s="69">
        <f>(I56/$Q56)</f>
        <v/>
      </c>
      <c r="AA56" s="69">
        <f>(J56/$Q56)</f>
        <v/>
      </c>
      <c r="AB56" s="69">
        <f>(K56/$Q56)</f>
        <v/>
      </c>
      <c r="AC56" s="69">
        <f>(L56/$Q56)</f>
        <v/>
      </c>
      <c r="AD56" s="69">
        <f>(M56/$Q56)</f>
        <v/>
      </c>
      <c r="AE56" s="69">
        <f>(N56/$Q56)</f>
        <v/>
      </c>
      <c r="AF56" s="69">
        <f>(O56/$Q56)</f>
        <v/>
      </c>
      <c r="AG56" s="69">
        <f>(P56/$Q56)</f>
        <v/>
      </c>
      <c r="AH56" s="69">
        <f>SUM(V56:X56)</f>
        <v/>
      </c>
      <c r="AI56" s="79">
        <f>SUM(Z56:AF56)</f>
        <v/>
      </c>
      <c r="AJ56" s="80">
        <f>SUM(AG56+AI56)</f>
        <v/>
      </c>
      <c r="AK56" s="81">
        <f>AJ56+AH56</f>
        <v/>
      </c>
      <c r="AL56" s="63">
        <f>SUM(V56,Y56:AG56)</f>
        <v/>
      </c>
      <c r="AM56" s="88">
        <f>SUM(W56:X56)</f>
        <v/>
      </c>
      <c r="AN56" s="88" t="n"/>
    </row>
    <row r="57" hidden="1" ht="15.75" customFormat="1" customHeight="1" s="2">
      <c r="A57" s="9" t="n">
        <v>44866</v>
      </c>
      <c r="B57" s="2" t="n">
        <v>19.58</v>
      </c>
      <c r="C57" s="2" t="n">
        <v>0.96</v>
      </c>
      <c r="E57" s="2" t="n">
        <v>0.9399999999999999</v>
      </c>
      <c r="F57" s="2" t="n">
        <v>2.8</v>
      </c>
      <c r="G57" s="2" t="n">
        <v>1.1</v>
      </c>
      <c r="I57" s="2" t="n">
        <v>0.06</v>
      </c>
      <c r="P57" s="2" t="n">
        <v>0.68</v>
      </c>
      <c r="Q57" s="2">
        <f>SUM(B57:P57)</f>
        <v/>
      </c>
      <c r="R57" s="25" t="n"/>
      <c r="S57" s="69">
        <f>(B57/$Q57)</f>
        <v/>
      </c>
      <c r="T57" s="69">
        <f>(C57/$Q57)</f>
        <v/>
      </c>
      <c r="U57" s="69">
        <f>(D57/$Q57)</f>
        <v/>
      </c>
      <c r="V57" s="69">
        <f>(E57/$Q57)</f>
        <v/>
      </c>
      <c r="W57" s="69">
        <f>(F57/$Q57)</f>
        <v/>
      </c>
      <c r="X57" s="69">
        <f>(G57/$Q57)</f>
        <v/>
      </c>
      <c r="Y57" s="69">
        <f>(H57/$Q57)</f>
        <v/>
      </c>
      <c r="Z57" s="69">
        <f>(I57/$Q57)</f>
        <v/>
      </c>
      <c r="AA57" s="69">
        <f>(J57/$Q57)</f>
        <v/>
      </c>
      <c r="AB57" s="69">
        <f>(K57/$Q57)</f>
        <v/>
      </c>
      <c r="AC57" s="69">
        <f>(L57/$Q57)</f>
        <v/>
      </c>
      <c r="AD57" s="69">
        <f>(M57/$Q57)</f>
        <v/>
      </c>
      <c r="AE57" s="69">
        <f>(N57/$Q57)</f>
        <v/>
      </c>
      <c r="AF57" s="69">
        <f>(O57/$Q57)</f>
        <v/>
      </c>
      <c r="AG57" s="69">
        <f>(P57/$Q57)</f>
        <v/>
      </c>
      <c r="AH57" s="69">
        <f>SUM(V57:X57)</f>
        <v/>
      </c>
      <c r="AI57" s="79">
        <f>SUM(Z57:AF57)</f>
        <v/>
      </c>
      <c r="AJ57" s="80">
        <f>SUM(AG57+AI57)</f>
        <v/>
      </c>
      <c r="AK57" s="81">
        <f>AJ57+AH57</f>
        <v/>
      </c>
      <c r="AL57" s="63">
        <f>SUM(V57,Y57:AG57)</f>
        <v/>
      </c>
      <c r="AM57" s="88">
        <f>SUM(W57:X57)</f>
        <v/>
      </c>
      <c r="AN57" s="88" t="n"/>
    </row>
    <row r="58" hidden="1" ht="15.75" customFormat="1" customHeight="1" s="2">
      <c r="A58" s="9" t="n">
        <v>44867</v>
      </c>
      <c r="B58" s="2" t="n">
        <v>16.98</v>
      </c>
      <c r="C58" s="2" t="n">
        <v>0.48</v>
      </c>
      <c r="E58" s="2" t="n">
        <v>0.28</v>
      </c>
      <c r="F58" s="2" t="n">
        <v>1.86</v>
      </c>
      <c r="G58" s="2" t="n">
        <v>2.04</v>
      </c>
      <c r="I58" s="2" t="n">
        <v>0.06</v>
      </c>
      <c r="P58" s="2" t="n">
        <v>0.62</v>
      </c>
      <c r="Q58" s="2">
        <f>SUM(B58:P58)</f>
        <v/>
      </c>
      <c r="R58" s="25" t="n"/>
      <c r="S58" s="69">
        <f>(B58/$Q58)</f>
        <v/>
      </c>
      <c r="T58" s="69">
        <f>(C58/$Q58)</f>
        <v/>
      </c>
      <c r="U58" s="69">
        <f>(D58/$Q58)</f>
        <v/>
      </c>
      <c r="V58" s="69">
        <f>(E58/$Q58)</f>
        <v/>
      </c>
      <c r="W58" s="69">
        <f>(F58/$Q58)</f>
        <v/>
      </c>
      <c r="X58" s="69">
        <f>(G58/$Q58)</f>
        <v/>
      </c>
      <c r="Y58" s="69">
        <f>(H58/$Q58)</f>
        <v/>
      </c>
      <c r="Z58" s="69">
        <f>(I58/$Q58)</f>
        <v/>
      </c>
      <c r="AA58" s="69">
        <f>(J58/$Q58)</f>
        <v/>
      </c>
      <c r="AB58" s="69">
        <f>(K58/$Q58)</f>
        <v/>
      </c>
      <c r="AC58" s="69">
        <f>(L58/$Q58)</f>
        <v/>
      </c>
      <c r="AD58" s="69">
        <f>(M58/$Q58)</f>
        <v/>
      </c>
      <c r="AE58" s="69">
        <f>(N58/$Q58)</f>
        <v/>
      </c>
      <c r="AF58" s="69">
        <f>(O58/$Q58)</f>
        <v/>
      </c>
      <c r="AG58" s="69">
        <f>(P58/$Q58)</f>
        <v/>
      </c>
      <c r="AH58" s="69">
        <f>SUM(V58:X58)</f>
        <v/>
      </c>
      <c r="AI58" s="79">
        <f>SUM(Z58:AF58)</f>
        <v/>
      </c>
      <c r="AJ58" s="80">
        <f>SUM(AG58+AI58)</f>
        <v/>
      </c>
      <c r="AK58" s="81">
        <f>AJ58+AH58</f>
        <v/>
      </c>
      <c r="AL58" s="63">
        <f>SUM(V58,Y58:AG58)</f>
        <v/>
      </c>
      <c r="AM58" s="88">
        <f>SUM(W58:X58)</f>
        <v/>
      </c>
      <c r="AN58" s="88" t="n"/>
    </row>
    <row r="59" hidden="1" ht="15.75" customFormat="1" customHeight="1" s="2">
      <c r="A59" s="9" t="n">
        <v>44868</v>
      </c>
      <c r="B59" s="2" t="n">
        <v>21.12</v>
      </c>
      <c r="C59" s="2" t="n">
        <v>0.28</v>
      </c>
      <c r="E59" s="2" t="n">
        <v>0.44</v>
      </c>
      <c r="F59" s="2" t="n">
        <v>1.52</v>
      </c>
      <c r="G59" s="2" t="n">
        <v>1</v>
      </c>
      <c r="N59" s="2" t="n">
        <v>0.02</v>
      </c>
      <c r="P59" s="2" t="n">
        <v>1.32</v>
      </c>
      <c r="Q59" s="2">
        <f>SUM(B59:P59)</f>
        <v/>
      </c>
      <c r="R59" s="25" t="n"/>
      <c r="S59" s="69">
        <f>(B59/$Q59)</f>
        <v/>
      </c>
      <c r="T59" s="69">
        <f>(C59/$Q59)</f>
        <v/>
      </c>
      <c r="U59" s="69">
        <f>(D59/$Q59)</f>
        <v/>
      </c>
      <c r="V59" s="69">
        <f>(E59/$Q59)</f>
        <v/>
      </c>
      <c r="W59" s="69">
        <f>(F59/$Q59)</f>
        <v/>
      </c>
      <c r="X59" s="69">
        <f>(G59/$Q59)</f>
        <v/>
      </c>
      <c r="Y59" s="69">
        <f>(H59/$Q59)</f>
        <v/>
      </c>
      <c r="Z59" s="69">
        <f>(I59/$Q59)</f>
        <v/>
      </c>
      <c r="AA59" s="69">
        <f>(J59/$Q59)</f>
        <v/>
      </c>
      <c r="AB59" s="69">
        <f>(K59/$Q59)</f>
        <v/>
      </c>
      <c r="AC59" s="69">
        <f>(L59/$Q59)</f>
        <v/>
      </c>
      <c r="AD59" s="69">
        <f>(M59/$Q59)</f>
        <v/>
      </c>
      <c r="AE59" s="69">
        <f>(N59/$Q59)</f>
        <v/>
      </c>
      <c r="AF59" s="69">
        <f>(O59/$Q59)</f>
        <v/>
      </c>
      <c r="AG59" s="69">
        <f>(P59/$Q59)</f>
        <v/>
      </c>
      <c r="AH59" s="69">
        <f>SUM(V59:X59)</f>
        <v/>
      </c>
      <c r="AI59" s="79">
        <f>SUM(Z59:AF59)</f>
        <v/>
      </c>
      <c r="AJ59" s="80">
        <f>SUM(AG59+AI59)</f>
        <v/>
      </c>
      <c r="AK59" s="81">
        <f>AJ59+AH59</f>
        <v/>
      </c>
      <c r="AL59" s="63">
        <f>SUM(V59,Y59:AG59)</f>
        <v/>
      </c>
      <c r="AM59" s="88">
        <f>SUM(W59:X59)</f>
        <v/>
      </c>
      <c r="AN59" s="88" t="n"/>
    </row>
    <row r="60" hidden="1" ht="23.85" customFormat="1" customHeight="1" s="2">
      <c r="A60" s="9" t="n">
        <v>44869</v>
      </c>
      <c r="B60" s="2" t="n">
        <v>20.88</v>
      </c>
      <c r="C60" s="2" t="n">
        <v>0.54</v>
      </c>
      <c r="E60" s="2" t="n">
        <v>1.1</v>
      </c>
      <c r="F60" s="2" t="n">
        <v>2.68</v>
      </c>
      <c r="G60" s="2" t="n">
        <v>1.06</v>
      </c>
      <c r="I60" s="2" t="n">
        <v>0.08</v>
      </c>
      <c r="K60" s="2" t="n">
        <v>0.04</v>
      </c>
      <c r="N60" s="2" t="n">
        <v>0.02</v>
      </c>
      <c r="P60" s="2" t="n">
        <v>1.1</v>
      </c>
      <c r="Q60" s="2">
        <f>SUM(B60:P60)</f>
        <v/>
      </c>
      <c r="R60" s="25" t="n"/>
      <c r="S60" s="69">
        <f>(B60/$Q60)</f>
        <v/>
      </c>
      <c r="T60" s="69">
        <f>(C60/$Q60)</f>
        <v/>
      </c>
      <c r="U60" s="69">
        <f>(D60/$Q60)</f>
        <v/>
      </c>
      <c r="V60" s="69">
        <f>(E60/$Q60)</f>
        <v/>
      </c>
      <c r="W60" s="69">
        <f>(F60/$Q60)</f>
        <v/>
      </c>
      <c r="X60" s="69">
        <f>(G60/$Q60)</f>
        <v/>
      </c>
      <c r="Y60" s="69">
        <f>(H60/$Q60)</f>
        <v/>
      </c>
      <c r="Z60" s="69">
        <f>(I60/$Q60)</f>
        <v/>
      </c>
      <c r="AA60" s="69">
        <f>(J60/$Q60)</f>
        <v/>
      </c>
      <c r="AB60" s="69">
        <f>(K60/$Q60)</f>
        <v/>
      </c>
      <c r="AC60" s="69">
        <f>(L60/$Q60)</f>
        <v/>
      </c>
      <c r="AD60" s="69">
        <f>(M60/$Q60)</f>
        <v/>
      </c>
      <c r="AE60" s="69">
        <f>(N60/$Q60)</f>
        <v/>
      </c>
      <c r="AF60" s="69">
        <f>(O60/$Q60)</f>
        <v/>
      </c>
      <c r="AG60" s="69">
        <f>(P60/$Q60)</f>
        <v/>
      </c>
      <c r="AH60" s="69">
        <f>SUM(V60:X60)</f>
        <v/>
      </c>
      <c r="AI60" s="79">
        <f>SUM(Z60:AF60)</f>
        <v/>
      </c>
      <c r="AJ60" s="80">
        <f>SUM(AG60+AI60)</f>
        <v/>
      </c>
      <c r="AK60" s="81">
        <f>AJ60+AH60</f>
        <v/>
      </c>
      <c r="AL60" s="63">
        <f>SUM(V60,Y60:AG60)</f>
        <v/>
      </c>
      <c r="AM60" s="88">
        <f>SUM(W60:X60)</f>
        <v/>
      </c>
      <c r="AN60" s="88" t="n"/>
    </row>
    <row r="61" hidden="1" ht="15.75" customFormat="1" customHeight="1" s="2">
      <c r="A61" s="9" t="n">
        <v>44872</v>
      </c>
      <c r="B61" s="2" t="n">
        <v>18.16</v>
      </c>
      <c r="C61" s="2" t="n">
        <v>0.54</v>
      </c>
      <c r="E61" s="2" t="n">
        <v>0.86</v>
      </c>
      <c r="F61" s="2" t="n">
        <v>1.28</v>
      </c>
      <c r="G61" s="2" t="n">
        <v>0.9</v>
      </c>
      <c r="I61" s="2" t="n">
        <v>0.04</v>
      </c>
      <c r="P61" s="2" t="n">
        <v>0.4</v>
      </c>
      <c r="Q61" s="2">
        <f>SUM(B61:P61)</f>
        <v/>
      </c>
      <c r="R61" s="25" t="n"/>
      <c r="S61" s="69">
        <f>(B61/$Q61)</f>
        <v/>
      </c>
      <c r="T61" s="69">
        <f>(C61/$Q61)</f>
        <v/>
      </c>
      <c r="U61" s="69">
        <f>(D61/$Q61)</f>
        <v/>
      </c>
      <c r="V61" s="69">
        <f>(E61/$Q61)</f>
        <v/>
      </c>
      <c r="W61" s="69">
        <f>(F61/$Q61)</f>
        <v/>
      </c>
      <c r="X61" s="69">
        <f>(G61/$Q61)</f>
        <v/>
      </c>
      <c r="Y61" s="69">
        <f>(H61/$Q61)</f>
        <v/>
      </c>
      <c r="Z61" s="69">
        <f>(I61/$Q61)</f>
        <v/>
      </c>
      <c r="AA61" s="69">
        <f>(J61/$Q61)</f>
        <v/>
      </c>
      <c r="AB61" s="69">
        <f>(K61/$Q61)</f>
        <v/>
      </c>
      <c r="AC61" s="69">
        <f>(L61/$Q61)</f>
        <v/>
      </c>
      <c r="AD61" s="69">
        <f>(M61/$Q61)</f>
        <v/>
      </c>
      <c r="AE61" s="69">
        <f>(N61/$Q61)</f>
        <v/>
      </c>
      <c r="AF61" s="69">
        <f>(O61/$Q61)</f>
        <v/>
      </c>
      <c r="AG61" s="69">
        <f>(P61/$Q61)</f>
        <v/>
      </c>
      <c r="AH61" s="69">
        <f>SUM(V61:X61)</f>
        <v/>
      </c>
      <c r="AI61" s="79">
        <f>SUM(Z61:AF61)</f>
        <v/>
      </c>
      <c r="AJ61" s="80">
        <f>SUM(AG61+AI61)</f>
        <v/>
      </c>
      <c r="AK61" s="81">
        <f>AJ61+AH61</f>
        <v/>
      </c>
      <c r="AL61" s="63">
        <f>SUM(V61,Y61:AG61)</f>
        <v/>
      </c>
      <c r="AM61" s="88">
        <f>SUM(W61:X61)</f>
        <v/>
      </c>
      <c r="AN61" s="88" t="n"/>
    </row>
    <row r="62" hidden="1" ht="15.75" customFormat="1" customHeight="1" s="2">
      <c r="A62" s="9" t="n">
        <v>44874</v>
      </c>
      <c r="B62" s="2" t="n">
        <v>20.86</v>
      </c>
      <c r="C62" s="2" t="n">
        <v>0.38</v>
      </c>
      <c r="E62" s="2" t="n">
        <v>0.7</v>
      </c>
      <c r="F62" s="2" t="n">
        <v>2.64</v>
      </c>
      <c r="G62" s="2" t="n">
        <v>1.4</v>
      </c>
      <c r="H62" s="2" t="n">
        <v>0.04</v>
      </c>
      <c r="I62" s="2" t="n">
        <v>0.04</v>
      </c>
      <c r="N62" s="2" t="n">
        <v>0.04</v>
      </c>
      <c r="P62" s="2" t="n">
        <v>0.58</v>
      </c>
      <c r="Q62" s="2">
        <f>SUM(B62:P62)</f>
        <v/>
      </c>
      <c r="R62" s="25" t="n"/>
      <c r="S62" s="69">
        <f>(B62/$Q62)</f>
        <v/>
      </c>
      <c r="T62" s="69">
        <f>(C62/$Q62)</f>
        <v/>
      </c>
      <c r="U62" s="69">
        <f>(D62/$Q62)</f>
        <v/>
      </c>
      <c r="V62" s="69">
        <f>(E62/$Q62)</f>
        <v/>
      </c>
      <c r="W62" s="69">
        <f>(F62/$Q62)</f>
        <v/>
      </c>
      <c r="X62" s="69">
        <f>(G62/$Q62)</f>
        <v/>
      </c>
      <c r="Y62" s="69">
        <f>(H62/$Q62)</f>
        <v/>
      </c>
      <c r="Z62" s="69">
        <f>(I62/$Q62)</f>
        <v/>
      </c>
      <c r="AA62" s="69">
        <f>(J62/$Q62)</f>
        <v/>
      </c>
      <c r="AB62" s="69">
        <f>(K62/$Q62)</f>
        <v/>
      </c>
      <c r="AC62" s="69">
        <f>(L62/$Q62)</f>
        <v/>
      </c>
      <c r="AD62" s="69">
        <f>(M62/$Q62)</f>
        <v/>
      </c>
      <c r="AE62" s="69">
        <f>(N62/$Q62)</f>
        <v/>
      </c>
      <c r="AF62" s="69">
        <f>(O62/$Q62)</f>
        <v/>
      </c>
      <c r="AG62" s="69">
        <f>(P62/$Q62)</f>
        <v/>
      </c>
      <c r="AH62" s="69">
        <f>SUM(V62:X62)</f>
        <v/>
      </c>
      <c r="AI62" s="79">
        <f>SUM(Z62:AF62)</f>
        <v/>
      </c>
      <c r="AJ62" s="80">
        <f>SUM(AG62+AI62)</f>
        <v/>
      </c>
      <c r="AK62" s="81">
        <f>AJ62+AH62</f>
        <v/>
      </c>
      <c r="AL62" s="63">
        <f>SUM(V62,Y62:AG62)</f>
        <v/>
      </c>
      <c r="AM62" s="88">
        <f>SUM(W62:X62)</f>
        <v/>
      </c>
      <c r="AN62" s="88" t="n"/>
    </row>
    <row r="63" hidden="1" ht="15.75" customFormat="1" customHeight="1" s="2">
      <c r="A63" s="9" t="n">
        <v>44875</v>
      </c>
      <c r="B63" s="2" t="n">
        <v>13.58</v>
      </c>
      <c r="C63" s="2" t="n">
        <v>0.4</v>
      </c>
      <c r="E63" s="2" t="n">
        <v>0.54</v>
      </c>
      <c r="F63" s="2" t="n">
        <v>2.32</v>
      </c>
      <c r="G63" s="2" t="n">
        <v>1.02</v>
      </c>
      <c r="N63" s="2" t="n">
        <v>0.04</v>
      </c>
      <c r="P63" s="2" t="n">
        <v>0.76</v>
      </c>
      <c r="Q63" s="2">
        <f>SUM(B63:P63)</f>
        <v/>
      </c>
      <c r="R63" s="25" t="n"/>
      <c r="S63" s="69">
        <f>(B63/$Q63)</f>
        <v/>
      </c>
      <c r="T63" s="69">
        <f>(C63/$Q63)</f>
        <v/>
      </c>
      <c r="U63" s="69">
        <f>(D63/$Q63)</f>
        <v/>
      </c>
      <c r="V63" s="69">
        <f>(E63/$Q63)</f>
        <v/>
      </c>
      <c r="W63" s="69">
        <f>(F63/$Q63)</f>
        <v/>
      </c>
      <c r="X63" s="69">
        <f>(G63/$Q63)</f>
        <v/>
      </c>
      <c r="Y63" s="69">
        <f>(H63/$Q63)</f>
        <v/>
      </c>
      <c r="Z63" s="69">
        <f>(I63/$Q63)</f>
        <v/>
      </c>
      <c r="AA63" s="69">
        <f>(J63/$Q63)</f>
        <v/>
      </c>
      <c r="AB63" s="69">
        <f>(K63/$Q63)</f>
        <v/>
      </c>
      <c r="AC63" s="69">
        <f>(L63/$Q63)</f>
        <v/>
      </c>
      <c r="AD63" s="69">
        <f>(M63/$Q63)</f>
        <v/>
      </c>
      <c r="AE63" s="69">
        <f>(N63/$Q63)</f>
        <v/>
      </c>
      <c r="AF63" s="69">
        <f>(O63/$Q63)</f>
        <v/>
      </c>
      <c r="AG63" s="69">
        <f>(P63/$Q63)</f>
        <v/>
      </c>
      <c r="AH63" s="69">
        <f>SUM(V63:X63)</f>
        <v/>
      </c>
      <c r="AI63" s="79">
        <f>SUM(Z63:AF63)</f>
        <v/>
      </c>
      <c r="AJ63" s="80">
        <f>SUM(AG63+AI63)</f>
        <v/>
      </c>
      <c r="AK63" s="81">
        <f>AJ63+AH63</f>
        <v/>
      </c>
      <c r="AL63" s="63">
        <f>SUM(V63,Y63:AG63)</f>
        <v/>
      </c>
      <c r="AM63" s="88">
        <f>SUM(W63:X63)</f>
        <v/>
      </c>
      <c r="AN63" s="88" t="n"/>
    </row>
    <row r="64" hidden="1" ht="15.75" customFormat="1" customHeight="1" s="2">
      <c r="A64" s="9" t="n">
        <v>44880</v>
      </c>
      <c r="B64" s="2" t="n">
        <v>17.54</v>
      </c>
      <c r="C64" s="2" t="n">
        <v>0.4</v>
      </c>
      <c r="E64" s="2" t="n">
        <v>0.78</v>
      </c>
      <c r="F64" s="2" t="n">
        <v>1.92</v>
      </c>
      <c r="G64" s="2" t="n">
        <v>0.74</v>
      </c>
      <c r="I64" s="2" t="n">
        <v>0.02</v>
      </c>
      <c r="P64" s="2" t="n">
        <v>0.6</v>
      </c>
      <c r="Q64" s="2">
        <f>SUM(B64:P64)</f>
        <v/>
      </c>
      <c r="R64" s="25" t="n"/>
      <c r="S64" s="69">
        <f>(B64/$Q64)</f>
        <v/>
      </c>
      <c r="T64" s="69">
        <f>(C64/$Q64)</f>
        <v/>
      </c>
      <c r="U64" s="69">
        <f>(D64/$Q64)</f>
        <v/>
      </c>
      <c r="V64" s="69">
        <f>(E64/$Q64)</f>
        <v/>
      </c>
      <c r="W64" s="69">
        <f>(F64/$Q64)</f>
        <v/>
      </c>
      <c r="X64" s="69">
        <f>(G64/$Q64)</f>
        <v/>
      </c>
      <c r="Y64" s="69">
        <f>(H64/$Q64)</f>
        <v/>
      </c>
      <c r="Z64" s="69">
        <f>(I64/$Q64)</f>
        <v/>
      </c>
      <c r="AA64" s="69">
        <f>(J64/$Q64)</f>
        <v/>
      </c>
      <c r="AB64" s="69">
        <f>(K64/$Q64)</f>
        <v/>
      </c>
      <c r="AC64" s="69">
        <f>(L64/$Q64)</f>
        <v/>
      </c>
      <c r="AD64" s="69">
        <f>(M64/$Q64)</f>
        <v/>
      </c>
      <c r="AE64" s="69">
        <f>(N64/$Q64)</f>
        <v/>
      </c>
      <c r="AF64" s="69">
        <f>(O64/$Q64)</f>
        <v/>
      </c>
      <c r="AG64" s="69">
        <f>(P64/$Q64)</f>
        <v/>
      </c>
      <c r="AH64" s="69">
        <f>SUM(V64:X64)</f>
        <v/>
      </c>
      <c r="AI64" s="79">
        <f>SUM(Z64:AF64)</f>
        <v/>
      </c>
      <c r="AJ64" s="80">
        <f>SUM(AG64+AI64)</f>
        <v/>
      </c>
      <c r="AK64" s="81">
        <f>AJ64+AH64</f>
        <v/>
      </c>
      <c r="AL64" s="63">
        <f>SUM(V64,Y64:AG64)</f>
        <v/>
      </c>
      <c r="AM64" s="88">
        <f>SUM(W64:X64)</f>
        <v/>
      </c>
      <c r="AN64" s="88" t="n"/>
    </row>
    <row r="65" hidden="1" ht="15.75" customFormat="1" customHeight="1" s="2">
      <c r="A65" s="9" t="n">
        <v>44882</v>
      </c>
      <c r="B65" s="2" t="n">
        <v>23.92</v>
      </c>
      <c r="C65" s="2" t="n">
        <v>0.62</v>
      </c>
      <c r="E65" s="2" t="n">
        <v>0.62</v>
      </c>
      <c r="F65" s="2" t="n">
        <v>1.96</v>
      </c>
      <c r="G65" s="2" t="n">
        <v>1.6</v>
      </c>
      <c r="P65" s="2" t="n">
        <v>0.4</v>
      </c>
      <c r="Q65" s="2">
        <f>SUM(B65:P65)</f>
        <v/>
      </c>
      <c r="R65" s="25" t="n"/>
      <c r="S65" s="69">
        <f>(B65/$Q65)</f>
        <v/>
      </c>
      <c r="T65" s="69">
        <f>(C65/$Q65)</f>
        <v/>
      </c>
      <c r="U65" s="69">
        <f>(D65/$Q65)</f>
        <v/>
      </c>
      <c r="V65" s="69">
        <f>(E65/$Q65)</f>
        <v/>
      </c>
      <c r="W65" s="69">
        <f>(F65/$Q65)</f>
        <v/>
      </c>
      <c r="X65" s="69">
        <f>(G65/$Q65)</f>
        <v/>
      </c>
      <c r="Y65" s="69">
        <f>(H65/$Q65)</f>
        <v/>
      </c>
      <c r="Z65" s="69">
        <f>(I65/$Q65)</f>
        <v/>
      </c>
      <c r="AA65" s="69">
        <f>(J65/$Q65)</f>
        <v/>
      </c>
      <c r="AB65" s="69">
        <f>(K65/$Q65)</f>
        <v/>
      </c>
      <c r="AC65" s="69">
        <f>(L65/$Q65)</f>
        <v/>
      </c>
      <c r="AD65" s="69">
        <f>(M65/$Q65)</f>
        <v/>
      </c>
      <c r="AE65" s="69">
        <f>(N65/$Q65)</f>
        <v/>
      </c>
      <c r="AF65" s="69">
        <f>(O65/$Q65)</f>
        <v/>
      </c>
      <c r="AG65" s="69">
        <f>(P65/$Q65)</f>
        <v/>
      </c>
      <c r="AH65" s="69">
        <f>SUM(V65:X65)</f>
        <v/>
      </c>
      <c r="AI65" s="79">
        <f>SUM(Z65:AF65)</f>
        <v/>
      </c>
      <c r="AJ65" s="80">
        <f>SUM(AG65+AI65)</f>
        <v/>
      </c>
      <c r="AK65" s="81">
        <f>AJ65+AH65</f>
        <v/>
      </c>
      <c r="AL65" s="63">
        <f>SUM(V65,Y65:AG65)</f>
        <v/>
      </c>
      <c r="AM65" s="88">
        <f>SUM(W65:X65)</f>
        <v/>
      </c>
      <c r="AN65" s="88" t="n"/>
    </row>
    <row r="66" hidden="1" ht="15.75" customFormat="1" customHeight="1" s="2">
      <c r="A66" s="9" t="n">
        <v>44883</v>
      </c>
      <c r="B66" s="2" t="n">
        <v>18.62</v>
      </c>
      <c r="C66" s="2" t="n">
        <v>0.36</v>
      </c>
      <c r="E66" s="2" t="n">
        <v>1.3</v>
      </c>
      <c r="F66" s="2" t="n">
        <v>1.7</v>
      </c>
      <c r="G66" s="2" t="n">
        <v>1.2</v>
      </c>
      <c r="M66" s="2" t="n">
        <v>0.06</v>
      </c>
      <c r="N66" s="2" t="n">
        <v>0.02</v>
      </c>
      <c r="P66" s="2" t="n">
        <v>0.2</v>
      </c>
      <c r="Q66" s="2">
        <f>SUM(B66:P66)</f>
        <v/>
      </c>
      <c r="R66" s="25" t="n"/>
      <c r="S66" s="69">
        <f>(B66/$Q66)</f>
        <v/>
      </c>
      <c r="T66" s="69">
        <f>(C66/$Q66)</f>
        <v/>
      </c>
      <c r="U66" s="69">
        <f>(D66/$Q66)</f>
        <v/>
      </c>
      <c r="V66" s="69">
        <f>(E66/$Q66)</f>
        <v/>
      </c>
      <c r="W66" s="69">
        <f>(F66/$Q66)</f>
        <v/>
      </c>
      <c r="X66" s="69">
        <f>(G66/$Q66)</f>
        <v/>
      </c>
      <c r="Y66" s="69">
        <f>(H66/$Q66)</f>
        <v/>
      </c>
      <c r="Z66" s="69">
        <f>(I66/$Q66)</f>
        <v/>
      </c>
      <c r="AA66" s="69">
        <f>(J66/$Q66)</f>
        <v/>
      </c>
      <c r="AB66" s="69">
        <f>(K66/$Q66)</f>
        <v/>
      </c>
      <c r="AC66" s="69">
        <f>(L66/$Q66)</f>
        <v/>
      </c>
      <c r="AD66" s="69">
        <f>(M66/$Q66)</f>
        <v/>
      </c>
      <c r="AE66" s="69">
        <f>(N66/$Q66)</f>
        <v/>
      </c>
      <c r="AF66" s="69">
        <f>(O66/$Q66)</f>
        <v/>
      </c>
      <c r="AG66" s="69">
        <f>(P66/$Q66)</f>
        <v/>
      </c>
      <c r="AH66" s="69">
        <f>SUM(V66:X66)</f>
        <v/>
      </c>
      <c r="AI66" s="79">
        <f>SUM(Z66:AF66)</f>
        <v/>
      </c>
      <c r="AJ66" s="80">
        <f>SUM(AG66+AI66)</f>
        <v/>
      </c>
      <c r="AK66" s="81">
        <f>AJ66+AH66</f>
        <v/>
      </c>
      <c r="AL66" s="63">
        <f>SUM(V66,Y66:AG66)</f>
        <v/>
      </c>
      <c r="AM66" s="88">
        <f>SUM(W66:X66)</f>
        <v/>
      </c>
      <c r="AN66" s="88" t="n"/>
    </row>
    <row r="67" hidden="1" ht="15.75" customFormat="1" customHeight="1" s="2">
      <c r="A67" s="9" t="n">
        <v>44887</v>
      </c>
      <c r="B67" s="2" t="n">
        <v>26.12</v>
      </c>
      <c r="D67" s="2" t="n">
        <v>0.92</v>
      </c>
      <c r="E67" s="2" t="n">
        <v>1.18</v>
      </c>
      <c r="F67" s="2" t="n">
        <v>2.64</v>
      </c>
      <c r="G67" s="2" t="n">
        <v>2.24</v>
      </c>
      <c r="J67" s="2" t="n">
        <v>0.02</v>
      </c>
      <c r="K67" s="2" t="n">
        <v>0.06</v>
      </c>
      <c r="M67" s="2" t="n">
        <v>0.06</v>
      </c>
      <c r="P67" s="2" t="n">
        <v>0.98</v>
      </c>
      <c r="Q67" s="2">
        <f>SUM(B67:P67)</f>
        <v/>
      </c>
      <c r="R67" s="25" t="n"/>
      <c r="S67" s="69">
        <f>(B67/$Q67)</f>
        <v/>
      </c>
      <c r="T67" s="69">
        <f>(C67/$Q67)</f>
        <v/>
      </c>
      <c r="U67" s="69">
        <f>(D67/$Q67)</f>
        <v/>
      </c>
      <c r="V67" s="69">
        <f>(E67/$Q67)</f>
        <v/>
      </c>
      <c r="W67" s="69">
        <f>(F67/$Q67)</f>
        <v/>
      </c>
      <c r="X67" s="69">
        <f>(G67/$Q67)</f>
        <v/>
      </c>
      <c r="Y67" s="69">
        <f>(H67/$Q67)</f>
        <v/>
      </c>
      <c r="Z67" s="69">
        <f>(I67/$Q67)</f>
        <v/>
      </c>
      <c r="AA67" s="69">
        <f>(J67/$Q67)</f>
        <v/>
      </c>
      <c r="AB67" s="69">
        <f>(K67/$Q67)</f>
        <v/>
      </c>
      <c r="AC67" s="69">
        <f>(L67/$Q67)</f>
        <v/>
      </c>
      <c r="AD67" s="69">
        <f>(M67/$Q67)</f>
        <v/>
      </c>
      <c r="AE67" s="69">
        <f>(N67/$Q67)</f>
        <v/>
      </c>
      <c r="AF67" s="69">
        <f>(O67/$Q67)</f>
        <v/>
      </c>
      <c r="AG67" s="69">
        <f>(P67/$Q67)</f>
        <v/>
      </c>
      <c r="AH67" s="69">
        <f>SUM(V67:X67)</f>
        <v/>
      </c>
      <c r="AI67" s="79">
        <f>SUM(Z67:AF67)</f>
        <v/>
      </c>
      <c r="AJ67" s="80">
        <f>SUM(AG67+AI67)</f>
        <v/>
      </c>
      <c r="AK67" s="81">
        <f>AJ67+AH67</f>
        <v/>
      </c>
      <c r="AL67" s="63">
        <f>SUM(V67,Y67:AG67)</f>
        <v/>
      </c>
      <c r="AM67" s="88">
        <f>SUM(W67:X67)</f>
        <v/>
      </c>
      <c r="AN67" s="88" t="n"/>
    </row>
    <row r="68" hidden="1" ht="15.75" customFormat="1" customHeight="1" s="2">
      <c r="A68" s="9" t="n">
        <v>44888</v>
      </c>
      <c r="B68" s="2" t="n">
        <v>21.16</v>
      </c>
      <c r="C68" s="2" t="n">
        <v>0.8</v>
      </c>
      <c r="E68" s="2" t="n">
        <v>1.32</v>
      </c>
      <c r="F68" s="2" t="n">
        <v>2.22</v>
      </c>
      <c r="G68" s="2" t="n">
        <v>0.5600000000000001</v>
      </c>
      <c r="I68" s="2" t="n">
        <v>0.02</v>
      </c>
      <c r="P68" s="2" t="n">
        <v>0.92</v>
      </c>
      <c r="Q68" s="2">
        <f>SUM(B68:P68)</f>
        <v/>
      </c>
      <c r="R68" s="25" t="n"/>
      <c r="S68" s="69">
        <f>(B68/$Q68)</f>
        <v/>
      </c>
      <c r="T68" s="69">
        <f>(C68/$Q68)</f>
        <v/>
      </c>
      <c r="U68" s="69">
        <f>(D68/$Q68)</f>
        <v/>
      </c>
      <c r="V68" s="69">
        <f>(E68/$Q68)</f>
        <v/>
      </c>
      <c r="W68" s="69">
        <f>(F68/$Q68)</f>
        <v/>
      </c>
      <c r="X68" s="69">
        <f>(G68/$Q68)</f>
        <v/>
      </c>
      <c r="Y68" s="69">
        <f>(H68/$Q68)</f>
        <v/>
      </c>
      <c r="Z68" s="69">
        <f>(I68/$Q68)</f>
        <v/>
      </c>
      <c r="AA68" s="69">
        <f>(J68/$Q68)</f>
        <v/>
      </c>
      <c r="AB68" s="69">
        <f>(K68/$Q68)</f>
        <v/>
      </c>
      <c r="AC68" s="69">
        <f>(L68/$Q68)</f>
        <v/>
      </c>
      <c r="AD68" s="69">
        <f>(M68/$Q68)</f>
        <v/>
      </c>
      <c r="AE68" s="69">
        <f>(N68/$Q68)</f>
        <v/>
      </c>
      <c r="AF68" s="69">
        <f>(O68/$Q68)</f>
        <v/>
      </c>
      <c r="AG68" s="69">
        <f>(P68/$Q68)</f>
        <v/>
      </c>
      <c r="AH68" s="69">
        <f>SUM(V68:X68)</f>
        <v/>
      </c>
      <c r="AI68" s="79">
        <f>SUM(Z68:AF68)</f>
        <v/>
      </c>
      <c r="AJ68" s="80">
        <f>SUM(AG68+AI68)</f>
        <v/>
      </c>
      <c r="AK68" s="81">
        <f>AJ68+AH68</f>
        <v/>
      </c>
      <c r="AL68" s="63">
        <f>SUM(V68,Y68:AG68)</f>
        <v/>
      </c>
      <c r="AM68" s="88">
        <f>SUM(W68:X68)</f>
        <v/>
      </c>
      <c r="AN68" s="88" t="n"/>
    </row>
    <row r="69" hidden="1" ht="15.75" customFormat="1" customHeight="1" s="2">
      <c r="A69" s="9" t="n">
        <v>44890</v>
      </c>
      <c r="B69" s="2" t="n">
        <v>17.4</v>
      </c>
      <c r="C69" s="2" t="n">
        <v>0.44</v>
      </c>
      <c r="E69" s="2" t="n">
        <v>2.08</v>
      </c>
      <c r="F69" s="2" t="n">
        <v>3.4</v>
      </c>
      <c r="G69" s="2" t="n">
        <v>0.58</v>
      </c>
      <c r="I69" s="2" t="n">
        <v>0.1</v>
      </c>
      <c r="N69" s="2" t="n">
        <v>0.06</v>
      </c>
      <c r="P69" s="2" t="n">
        <v>1.82</v>
      </c>
      <c r="Q69" s="2">
        <f>SUM(B69:P69)</f>
        <v/>
      </c>
      <c r="R69" s="25" t="n"/>
      <c r="S69" s="69">
        <f>(B69/$Q69)</f>
        <v/>
      </c>
      <c r="T69" s="69">
        <f>(C69/$Q69)</f>
        <v/>
      </c>
      <c r="U69" s="69">
        <f>(D69/$Q69)</f>
        <v/>
      </c>
      <c r="V69" s="69">
        <f>(E69/$Q69)</f>
        <v/>
      </c>
      <c r="W69" s="69">
        <f>(F69/$Q69)</f>
        <v/>
      </c>
      <c r="X69" s="69">
        <f>(G69/$Q69)</f>
        <v/>
      </c>
      <c r="Y69" s="69">
        <f>(H69/$Q69)</f>
        <v/>
      </c>
      <c r="Z69" s="69">
        <f>(I69/$Q69)</f>
        <v/>
      </c>
      <c r="AA69" s="69">
        <f>(J69/$Q69)</f>
        <v/>
      </c>
      <c r="AB69" s="69">
        <f>(K69/$Q69)</f>
        <v/>
      </c>
      <c r="AC69" s="69">
        <f>(L69/$Q69)</f>
        <v/>
      </c>
      <c r="AD69" s="69">
        <f>(M69/$Q69)</f>
        <v/>
      </c>
      <c r="AE69" s="69">
        <f>(N69/$Q69)</f>
        <v/>
      </c>
      <c r="AF69" s="69">
        <f>(O69/$Q69)</f>
        <v/>
      </c>
      <c r="AG69" s="69">
        <f>(P69/$Q69)</f>
        <v/>
      </c>
      <c r="AH69" s="69">
        <f>SUM(V69:X69)</f>
        <v/>
      </c>
      <c r="AI69" s="79">
        <f>SUM(Z69:AF69)</f>
        <v/>
      </c>
      <c r="AJ69" s="80">
        <f>SUM(AG69+AI69)</f>
        <v/>
      </c>
      <c r="AK69" s="81">
        <f>AJ69+AH69</f>
        <v/>
      </c>
      <c r="AL69" s="63">
        <f>SUM(V69,Y69:AG69)</f>
        <v/>
      </c>
      <c r="AM69" s="88">
        <f>SUM(W69:X69)</f>
        <v/>
      </c>
      <c r="AN69" s="88" t="n"/>
    </row>
    <row r="70" hidden="1" ht="15.75" customFormat="1" customHeight="1" s="2">
      <c r="A70" s="9" t="n">
        <v>44893</v>
      </c>
      <c r="B70" s="2" t="n">
        <v>21.36</v>
      </c>
      <c r="E70" s="2" t="n">
        <v>0.42</v>
      </c>
      <c r="F70" s="2" t="n">
        <v>1.4</v>
      </c>
      <c r="G70" s="2" t="n">
        <v>0.7</v>
      </c>
      <c r="P70" s="2" t="n">
        <v>0.28</v>
      </c>
      <c r="Q70" s="2">
        <f>SUM(B70:P70)</f>
        <v/>
      </c>
      <c r="R70" s="25" t="n"/>
      <c r="S70" s="69">
        <f>(B70/$Q70)</f>
        <v/>
      </c>
      <c r="T70" s="69">
        <f>(C70/$Q70)</f>
        <v/>
      </c>
      <c r="U70" s="69">
        <f>(D70/$Q70)</f>
        <v/>
      </c>
      <c r="V70" s="69">
        <f>(E70/$Q70)</f>
        <v/>
      </c>
      <c r="W70" s="69">
        <f>(F70/$Q70)</f>
        <v/>
      </c>
      <c r="X70" s="69">
        <f>(G70/$Q70)</f>
        <v/>
      </c>
      <c r="Y70" s="69">
        <f>(H70/$Q70)</f>
        <v/>
      </c>
      <c r="Z70" s="69">
        <f>(I70/$Q70)</f>
        <v/>
      </c>
      <c r="AA70" s="69">
        <f>(J70/$Q70)</f>
        <v/>
      </c>
      <c r="AB70" s="69">
        <f>(K70/$Q70)</f>
        <v/>
      </c>
      <c r="AC70" s="69">
        <f>(L70/$Q70)</f>
        <v/>
      </c>
      <c r="AD70" s="69">
        <f>(M70/$Q70)</f>
        <v/>
      </c>
      <c r="AE70" s="69">
        <f>(N70/$Q70)</f>
        <v/>
      </c>
      <c r="AF70" s="69">
        <f>(O70/$Q70)</f>
        <v/>
      </c>
      <c r="AG70" s="69">
        <f>(P70/$Q70)</f>
        <v/>
      </c>
      <c r="AH70" s="69">
        <f>SUM(V70:X70)</f>
        <v/>
      </c>
      <c r="AI70" s="79">
        <f>SUM(Z70:AF70)</f>
        <v/>
      </c>
      <c r="AJ70" s="80">
        <f>SUM(AG70+AI70)</f>
        <v/>
      </c>
      <c r="AK70" s="81">
        <f>AJ70+AH70</f>
        <v/>
      </c>
      <c r="AL70" s="63">
        <f>SUM(V70,Y70:AG70)</f>
        <v/>
      </c>
      <c r="AM70" s="88">
        <f>SUM(W70:X70)</f>
        <v/>
      </c>
      <c r="AN70" s="88" t="n"/>
    </row>
    <row r="71" hidden="1" ht="15.75" customFormat="1" customHeight="1" s="2">
      <c r="A71" s="9" t="n">
        <v>44898</v>
      </c>
      <c r="B71" s="2" t="n">
        <v>18.98</v>
      </c>
      <c r="C71" s="2" t="n">
        <v>1.12</v>
      </c>
      <c r="D71" s="2" t="n">
        <v>0.02</v>
      </c>
      <c r="E71" s="2" t="n">
        <v>0.74</v>
      </c>
      <c r="F71" s="2" t="n">
        <v>1.22</v>
      </c>
      <c r="G71" s="2" t="n">
        <v>0.44</v>
      </c>
      <c r="I71" s="2" t="n">
        <v>0.04</v>
      </c>
      <c r="P71" s="2" t="n">
        <v>0.24</v>
      </c>
      <c r="Q71" s="2">
        <f>SUM(B71:P71)</f>
        <v/>
      </c>
      <c r="R71" s="25" t="n"/>
      <c r="S71" s="69">
        <f>(B71/$Q71)</f>
        <v/>
      </c>
      <c r="T71" s="69">
        <f>(C71/$Q71)</f>
        <v/>
      </c>
      <c r="U71" s="69">
        <f>(D71/$Q71)</f>
        <v/>
      </c>
      <c r="V71" s="69">
        <f>(E71/$Q71)</f>
        <v/>
      </c>
      <c r="W71" s="69">
        <f>(F71/$Q71)</f>
        <v/>
      </c>
      <c r="X71" s="69">
        <f>(G71/$Q71)</f>
        <v/>
      </c>
      <c r="Y71" s="69">
        <f>(H71/$Q71)</f>
        <v/>
      </c>
      <c r="Z71" s="69">
        <f>(I71/$Q71)</f>
        <v/>
      </c>
      <c r="AA71" s="69">
        <f>(J71/$Q71)</f>
        <v/>
      </c>
      <c r="AB71" s="69">
        <f>(K71/$Q71)</f>
        <v/>
      </c>
      <c r="AC71" s="69">
        <f>(L71/$Q71)</f>
        <v/>
      </c>
      <c r="AD71" s="69">
        <f>(M71/$Q71)</f>
        <v/>
      </c>
      <c r="AE71" s="69">
        <f>(N71/$Q71)</f>
        <v/>
      </c>
      <c r="AF71" s="69">
        <f>(O71/$Q71)</f>
        <v/>
      </c>
      <c r="AG71" s="69">
        <f>(P71/$Q71)</f>
        <v/>
      </c>
      <c r="AH71" s="69">
        <f>SUM(V71:X71)</f>
        <v/>
      </c>
      <c r="AI71" s="79">
        <f>SUM(Z71:AF71)</f>
        <v/>
      </c>
      <c r="AJ71" s="80">
        <f>SUM(AG71+AI71)</f>
        <v/>
      </c>
      <c r="AK71" s="81">
        <f>AJ71+AH71</f>
        <v/>
      </c>
      <c r="AL71" s="63">
        <f>SUM(V71,Y71:AG71)</f>
        <v/>
      </c>
      <c r="AM71" s="88">
        <f>SUM(W71:X71)</f>
        <v/>
      </c>
      <c r="AN71" s="88" t="n"/>
    </row>
    <row r="72" hidden="1" ht="15.75" customFormat="1" customHeight="1" s="2">
      <c r="A72" s="9" t="n">
        <v>44900</v>
      </c>
      <c r="B72" s="2" t="n">
        <v>18.92</v>
      </c>
      <c r="C72" s="2" t="n">
        <v>0.58</v>
      </c>
      <c r="E72" s="2" t="n">
        <v>0.5600000000000001</v>
      </c>
      <c r="F72" s="2" t="n">
        <v>2.02</v>
      </c>
      <c r="G72" s="2" t="n">
        <v>0.64</v>
      </c>
      <c r="I72" s="2" t="n">
        <v>0.04</v>
      </c>
      <c r="K72" s="2" t="n">
        <v>0.02</v>
      </c>
      <c r="L72" s="2" t="n">
        <v>0.02</v>
      </c>
      <c r="P72" s="2" t="n">
        <v>0.26</v>
      </c>
      <c r="Q72" s="2">
        <f>SUM(B72:P72)</f>
        <v/>
      </c>
      <c r="R72" s="25" t="n"/>
      <c r="S72" s="69">
        <f>(B72/$Q72)</f>
        <v/>
      </c>
      <c r="T72" s="69">
        <f>(C72/$Q72)</f>
        <v/>
      </c>
      <c r="U72" s="69">
        <f>(D72/$Q72)</f>
        <v/>
      </c>
      <c r="V72" s="69">
        <f>(E72/$Q72)</f>
        <v/>
      </c>
      <c r="W72" s="69">
        <f>(F72/$Q72)</f>
        <v/>
      </c>
      <c r="X72" s="69">
        <f>(G72/$Q72)</f>
        <v/>
      </c>
      <c r="Y72" s="69">
        <f>(H72/$Q72)</f>
        <v/>
      </c>
      <c r="Z72" s="69">
        <f>(I72/$Q72)</f>
        <v/>
      </c>
      <c r="AA72" s="69">
        <f>(J72/$Q72)</f>
        <v/>
      </c>
      <c r="AB72" s="69">
        <f>(K72/$Q72)</f>
        <v/>
      </c>
      <c r="AC72" s="69">
        <f>(L72/$Q72)</f>
        <v/>
      </c>
      <c r="AD72" s="69">
        <f>(M72/$Q72)</f>
        <v/>
      </c>
      <c r="AE72" s="69">
        <f>(N72/$Q72)</f>
        <v/>
      </c>
      <c r="AF72" s="69">
        <f>(O72/$Q72)</f>
        <v/>
      </c>
      <c r="AG72" s="69">
        <f>(P72/$Q72)</f>
        <v/>
      </c>
      <c r="AH72" s="69">
        <f>SUM(V72:X72)</f>
        <v/>
      </c>
      <c r="AI72" s="79">
        <f>SUM(Z72:AF72)</f>
        <v/>
      </c>
      <c r="AJ72" s="80">
        <f>SUM(AG72+AI72)</f>
        <v/>
      </c>
      <c r="AK72" s="81">
        <f>AJ72+AH72</f>
        <v/>
      </c>
      <c r="AL72" s="63">
        <f>SUM(V72,Y72:AG72)</f>
        <v/>
      </c>
      <c r="AM72" s="88">
        <f>SUM(W72:X72)</f>
        <v/>
      </c>
      <c r="AN72" s="88" t="n"/>
    </row>
    <row r="73" hidden="1" ht="15.75" customFormat="1" customHeight="1" s="2">
      <c r="A73" s="9" t="n">
        <v>44901</v>
      </c>
      <c r="B73" s="2" t="n">
        <v>21.78</v>
      </c>
      <c r="C73" s="2" t="n">
        <v>1.34</v>
      </c>
      <c r="E73" s="2" t="n">
        <v>0.5</v>
      </c>
      <c r="F73" s="2" t="n">
        <v>1.46</v>
      </c>
      <c r="G73" s="2" t="n">
        <v>1.14</v>
      </c>
      <c r="N73" s="2" t="n">
        <v>0.02</v>
      </c>
      <c r="P73" s="2" t="n">
        <v>0.6</v>
      </c>
      <c r="Q73" s="2">
        <f>SUM(B73:P73)</f>
        <v/>
      </c>
      <c r="R73" s="25" t="n"/>
      <c r="S73" s="69">
        <f>(B73/$Q73)</f>
        <v/>
      </c>
      <c r="T73" s="69">
        <f>(C73/$Q73)</f>
        <v/>
      </c>
      <c r="U73" s="69">
        <f>(D73/$Q73)</f>
        <v/>
      </c>
      <c r="V73" s="69">
        <f>(E73/$Q73)</f>
        <v/>
      </c>
      <c r="W73" s="69">
        <f>(F73/$Q73)</f>
        <v/>
      </c>
      <c r="X73" s="69">
        <f>(G73/$Q73)</f>
        <v/>
      </c>
      <c r="Y73" s="69">
        <f>(H73/$Q73)</f>
        <v/>
      </c>
      <c r="Z73" s="69">
        <f>(I73/$Q73)</f>
        <v/>
      </c>
      <c r="AA73" s="69">
        <f>(J73/$Q73)</f>
        <v/>
      </c>
      <c r="AB73" s="69">
        <f>(K73/$Q73)</f>
        <v/>
      </c>
      <c r="AC73" s="69">
        <f>(L73/$Q73)</f>
        <v/>
      </c>
      <c r="AD73" s="69">
        <f>(M73/$Q73)</f>
        <v/>
      </c>
      <c r="AE73" s="69">
        <f>(N73/$Q73)</f>
        <v/>
      </c>
      <c r="AF73" s="69">
        <f>(O73/$Q73)</f>
        <v/>
      </c>
      <c r="AG73" s="69">
        <f>(P73/$Q73)</f>
        <v/>
      </c>
      <c r="AH73" s="69">
        <f>SUM(V73:X73)</f>
        <v/>
      </c>
      <c r="AI73" s="79">
        <f>SUM(Z73:AF73)</f>
        <v/>
      </c>
      <c r="AJ73" s="80">
        <f>SUM(AG73+AI73)</f>
        <v/>
      </c>
      <c r="AK73" s="81">
        <f>AJ73+AH73</f>
        <v/>
      </c>
      <c r="AL73" s="63">
        <f>SUM(V73,Y73:AG73)</f>
        <v/>
      </c>
      <c r="AM73" s="88">
        <f>SUM(W73:X73)</f>
        <v/>
      </c>
      <c r="AN73" s="88" t="n"/>
    </row>
    <row r="74" hidden="1" ht="15.75" customFormat="1" customHeight="1" s="2">
      <c r="A74" s="9" t="n">
        <v>44902</v>
      </c>
      <c r="B74" s="2" t="n">
        <v>11.62</v>
      </c>
      <c r="C74" s="2" t="n">
        <v>0.22</v>
      </c>
      <c r="E74" s="2" t="n">
        <v>0.78</v>
      </c>
      <c r="F74" s="2" t="n">
        <v>1.6</v>
      </c>
      <c r="G74" s="2" t="n">
        <v>0.86</v>
      </c>
      <c r="I74" s="2" t="n">
        <v>0.02</v>
      </c>
      <c r="K74" s="2" t="n">
        <v>0.04</v>
      </c>
      <c r="P74" s="2" t="n">
        <v>0.9</v>
      </c>
      <c r="Q74" s="2">
        <f>SUM(B74:P74)</f>
        <v/>
      </c>
      <c r="R74" s="25" t="n"/>
      <c r="S74" s="69">
        <f>(B74/$Q74)</f>
        <v/>
      </c>
      <c r="T74" s="69">
        <f>(C74/$Q74)</f>
        <v/>
      </c>
      <c r="U74" s="69">
        <f>(D74/$Q74)</f>
        <v/>
      </c>
      <c r="V74" s="69">
        <f>(E74/$Q74)</f>
        <v/>
      </c>
      <c r="W74" s="69">
        <f>(F74/$Q74)</f>
        <v/>
      </c>
      <c r="X74" s="69">
        <f>(G74/$Q74)</f>
        <v/>
      </c>
      <c r="Y74" s="69">
        <f>(H74/$Q74)</f>
        <v/>
      </c>
      <c r="Z74" s="69">
        <f>(I74/$Q74)</f>
        <v/>
      </c>
      <c r="AA74" s="69">
        <f>(J74/$Q74)</f>
        <v/>
      </c>
      <c r="AB74" s="69">
        <f>(K74/$Q74)</f>
        <v/>
      </c>
      <c r="AC74" s="69">
        <f>(L74/$Q74)</f>
        <v/>
      </c>
      <c r="AD74" s="69">
        <f>(M74/$Q74)</f>
        <v/>
      </c>
      <c r="AE74" s="69">
        <f>(N74/$Q74)</f>
        <v/>
      </c>
      <c r="AF74" s="69">
        <f>(O74/$Q74)</f>
        <v/>
      </c>
      <c r="AG74" s="69">
        <f>(P74/$Q74)</f>
        <v/>
      </c>
      <c r="AH74" s="69">
        <f>SUM(V74:X74)</f>
        <v/>
      </c>
      <c r="AI74" s="79">
        <f>SUM(Z74:AF74)</f>
        <v/>
      </c>
      <c r="AJ74" s="80">
        <f>SUM(AG74+AI74)</f>
        <v/>
      </c>
      <c r="AK74" s="81">
        <f>AJ74+AH74</f>
        <v/>
      </c>
      <c r="AL74" s="63">
        <f>SUM(V74,Y74:AG74)</f>
        <v/>
      </c>
      <c r="AM74" s="88">
        <f>SUM(W74:X74)</f>
        <v/>
      </c>
      <c r="AN74" s="88" t="n"/>
    </row>
    <row r="75" hidden="1" ht="15.75" customFormat="1" customHeight="1" s="2">
      <c r="A75" s="9" t="n">
        <v>44903</v>
      </c>
      <c r="B75" s="2" t="n">
        <v>27.44</v>
      </c>
      <c r="C75" s="2" t="n">
        <v>0.48</v>
      </c>
      <c r="D75" s="2" t="n">
        <v>0.2</v>
      </c>
      <c r="E75" s="2" t="n">
        <v>1.1</v>
      </c>
      <c r="F75" s="2" t="n">
        <v>2.56</v>
      </c>
      <c r="G75" s="2" t="n">
        <v>0.58</v>
      </c>
      <c r="K75" s="2" t="n">
        <v>0.04</v>
      </c>
      <c r="P75" s="2" t="n">
        <v>1.06</v>
      </c>
      <c r="Q75" s="2">
        <f>SUM(B75:P75)</f>
        <v/>
      </c>
      <c r="R75" s="25" t="n"/>
      <c r="S75" s="69">
        <f>(B75/$Q75)</f>
        <v/>
      </c>
      <c r="T75" s="69">
        <f>(C75/$Q75)</f>
        <v/>
      </c>
      <c r="U75" s="69">
        <f>(D75/$Q75)</f>
        <v/>
      </c>
      <c r="V75" s="69">
        <f>(E75/$Q75)</f>
        <v/>
      </c>
      <c r="W75" s="69">
        <f>(F75/$Q75)</f>
        <v/>
      </c>
      <c r="X75" s="69">
        <f>(G75/$Q75)</f>
        <v/>
      </c>
      <c r="Y75" s="69">
        <f>(H75/$Q75)</f>
        <v/>
      </c>
      <c r="Z75" s="69">
        <f>(I75/$Q75)</f>
        <v/>
      </c>
      <c r="AA75" s="69">
        <f>(J75/$Q75)</f>
        <v/>
      </c>
      <c r="AB75" s="69">
        <f>(K75/$Q75)</f>
        <v/>
      </c>
      <c r="AC75" s="69">
        <f>(L75/$Q75)</f>
        <v/>
      </c>
      <c r="AD75" s="69">
        <f>(M75/$Q75)</f>
        <v/>
      </c>
      <c r="AE75" s="69">
        <f>(N75/$Q75)</f>
        <v/>
      </c>
      <c r="AF75" s="69">
        <f>(O75/$Q75)</f>
        <v/>
      </c>
      <c r="AG75" s="69">
        <f>(P75/$Q75)</f>
        <v/>
      </c>
      <c r="AH75" s="69">
        <f>SUM(V75:X75)</f>
        <v/>
      </c>
      <c r="AI75" s="79">
        <f>SUM(Z75:AF75)</f>
        <v/>
      </c>
      <c r="AJ75" s="80">
        <f>SUM(AG75+AI75)</f>
        <v/>
      </c>
      <c r="AK75" s="81">
        <f>AJ75+AH75</f>
        <v/>
      </c>
      <c r="AL75" s="63">
        <f>SUM(V75,Y75:AG75)</f>
        <v/>
      </c>
      <c r="AM75" s="88">
        <f>SUM(W75:X75)</f>
        <v/>
      </c>
      <c r="AN75" s="88" t="n"/>
    </row>
    <row r="76" hidden="1" ht="15.75" customFormat="1" customHeight="1" s="2">
      <c r="A76" s="9" t="n">
        <v>44908</v>
      </c>
      <c r="B76" s="2" t="n">
        <v>22.9</v>
      </c>
      <c r="C76" s="2" t="n">
        <v>0.84</v>
      </c>
      <c r="E76" s="2" t="n">
        <v>1.22</v>
      </c>
      <c r="F76" s="2" t="n">
        <v>1.96</v>
      </c>
      <c r="G76" s="2" t="n">
        <v>1</v>
      </c>
      <c r="J76" s="2" t="n">
        <v>0.06</v>
      </c>
      <c r="P76" s="2" t="n">
        <v>0.62</v>
      </c>
      <c r="Q76" s="2">
        <f>SUM(B76:P76)</f>
        <v/>
      </c>
      <c r="R76" s="25" t="n"/>
      <c r="S76" s="69">
        <f>(B76/$Q76)</f>
        <v/>
      </c>
      <c r="T76" s="69">
        <f>(C76/$Q76)</f>
        <v/>
      </c>
      <c r="U76" s="69">
        <f>(D76/$Q76)</f>
        <v/>
      </c>
      <c r="V76" s="69">
        <f>(E76/$Q76)</f>
        <v/>
      </c>
      <c r="W76" s="69">
        <f>(F76/$Q76)</f>
        <v/>
      </c>
      <c r="X76" s="69">
        <f>(G76/$Q76)</f>
        <v/>
      </c>
      <c r="Y76" s="69">
        <f>(H76/$Q76)</f>
        <v/>
      </c>
      <c r="Z76" s="69">
        <f>(I76/$Q76)</f>
        <v/>
      </c>
      <c r="AA76" s="69">
        <f>(J76/$Q76)</f>
        <v/>
      </c>
      <c r="AB76" s="69">
        <f>(K76/$Q76)</f>
        <v/>
      </c>
      <c r="AC76" s="69">
        <f>(L76/$Q76)</f>
        <v/>
      </c>
      <c r="AD76" s="69">
        <f>(M76/$Q76)</f>
        <v/>
      </c>
      <c r="AE76" s="69">
        <f>(N76/$Q76)</f>
        <v/>
      </c>
      <c r="AF76" s="69">
        <f>(O76/$Q76)</f>
        <v/>
      </c>
      <c r="AG76" s="69">
        <f>(P76/$Q76)</f>
        <v/>
      </c>
      <c r="AH76" s="69">
        <f>SUM(V76:X76)</f>
        <v/>
      </c>
      <c r="AI76" s="79">
        <f>SUM(Z76:AF76)</f>
        <v/>
      </c>
      <c r="AJ76" s="80">
        <f>SUM(AG76+AI76)</f>
        <v/>
      </c>
      <c r="AK76" s="81">
        <f>AJ76+AH76</f>
        <v/>
      </c>
      <c r="AL76" s="63">
        <f>SUM(V76,Y76:AG76)</f>
        <v/>
      </c>
      <c r="AM76" s="88">
        <f>SUM(W76:X76)</f>
        <v/>
      </c>
      <c r="AN76" s="88" t="n"/>
    </row>
    <row r="77" hidden="1" ht="15.75" customFormat="1" customHeight="1" s="2">
      <c r="A77" s="9" t="n">
        <v>44909</v>
      </c>
      <c r="B77" s="2" t="n">
        <v>16.14</v>
      </c>
      <c r="C77" s="2" t="n">
        <v>0.52</v>
      </c>
      <c r="E77" s="2" t="n">
        <v>1</v>
      </c>
      <c r="F77" s="2" t="n">
        <v>1.96</v>
      </c>
      <c r="G77" s="2" t="n">
        <v>0.58</v>
      </c>
      <c r="I77" s="2" t="n">
        <v>0.02</v>
      </c>
      <c r="P77" s="2" t="n">
        <v>0.84</v>
      </c>
      <c r="Q77" s="2">
        <f>SUM(B77:P77)</f>
        <v/>
      </c>
      <c r="R77" s="25" t="n"/>
      <c r="S77" s="69">
        <f>(B77/$Q77)</f>
        <v/>
      </c>
      <c r="T77" s="69">
        <f>(C77/$Q77)</f>
        <v/>
      </c>
      <c r="U77" s="69">
        <f>(D77/$Q77)</f>
        <v/>
      </c>
      <c r="V77" s="69">
        <f>(E77/$Q77)</f>
        <v/>
      </c>
      <c r="W77" s="69">
        <f>(F77/$Q77)</f>
        <v/>
      </c>
      <c r="X77" s="69">
        <f>(G77/$Q77)</f>
        <v/>
      </c>
      <c r="Y77" s="69">
        <f>(H77/$Q77)</f>
        <v/>
      </c>
      <c r="Z77" s="69">
        <f>(I77/$Q77)</f>
        <v/>
      </c>
      <c r="AA77" s="69">
        <f>(J77/$Q77)</f>
        <v/>
      </c>
      <c r="AB77" s="69">
        <f>(K77/$Q77)</f>
        <v/>
      </c>
      <c r="AC77" s="69">
        <f>(L77/$Q77)</f>
        <v/>
      </c>
      <c r="AD77" s="69">
        <f>(M77/$Q77)</f>
        <v/>
      </c>
      <c r="AE77" s="69">
        <f>(N77/$Q77)</f>
        <v/>
      </c>
      <c r="AF77" s="69">
        <f>(O77/$Q77)</f>
        <v/>
      </c>
      <c r="AG77" s="69">
        <f>(P77/$Q77)</f>
        <v/>
      </c>
      <c r="AH77" s="69">
        <f>SUM(V77:X77)</f>
        <v/>
      </c>
      <c r="AI77" s="79">
        <f>SUM(Z77:AF77)</f>
        <v/>
      </c>
      <c r="AJ77" s="80">
        <f>SUM(AG77+AI77)</f>
        <v/>
      </c>
      <c r="AK77" s="81">
        <f>AJ77+AH77</f>
        <v/>
      </c>
      <c r="AL77" s="63">
        <f>SUM(V77,Y77:AG77)</f>
        <v/>
      </c>
      <c r="AM77" s="88">
        <f>SUM(W77:X77)</f>
        <v/>
      </c>
      <c r="AN77" s="88" t="n"/>
    </row>
    <row r="78" hidden="1" ht="15.75" customFormat="1" customHeight="1" s="2">
      <c r="A78" s="9" t="n">
        <v>44910</v>
      </c>
      <c r="B78" s="2" t="n">
        <v>18.7</v>
      </c>
      <c r="C78" s="2" t="n">
        <v>0.58</v>
      </c>
      <c r="E78" s="2" t="n">
        <v>1.06</v>
      </c>
      <c r="F78" s="2" t="n">
        <v>6.4</v>
      </c>
      <c r="G78" s="2" t="n">
        <v>2.64</v>
      </c>
      <c r="I78" s="2" t="n">
        <v>0.02</v>
      </c>
      <c r="J78" s="2" t="n">
        <v>0.04</v>
      </c>
      <c r="K78" s="2" t="n">
        <v>0.1</v>
      </c>
      <c r="N78" s="2" t="n">
        <v>0.06</v>
      </c>
      <c r="P78" s="2" t="n">
        <v>2.1</v>
      </c>
      <c r="Q78" s="2">
        <f>SUM(B78:P78)</f>
        <v/>
      </c>
      <c r="R78" s="25" t="n"/>
      <c r="S78" s="69">
        <f>(B78/$Q78)</f>
        <v/>
      </c>
      <c r="T78" s="69">
        <f>(C78/$Q78)</f>
        <v/>
      </c>
      <c r="U78" s="69">
        <f>(D78/$Q78)</f>
        <v/>
      </c>
      <c r="V78" s="69">
        <f>(E78/$Q78)</f>
        <v/>
      </c>
      <c r="W78" s="69">
        <f>(F78/$Q78)</f>
        <v/>
      </c>
      <c r="X78" s="69">
        <f>(G78/$Q78)</f>
        <v/>
      </c>
      <c r="Y78" s="69">
        <f>(H78/$Q78)</f>
        <v/>
      </c>
      <c r="Z78" s="69">
        <f>(I78/$Q78)</f>
        <v/>
      </c>
      <c r="AA78" s="69">
        <f>(J78/$Q78)</f>
        <v/>
      </c>
      <c r="AB78" s="69">
        <f>(K78/$Q78)</f>
        <v/>
      </c>
      <c r="AC78" s="69">
        <f>(L78/$Q78)</f>
        <v/>
      </c>
      <c r="AD78" s="69">
        <f>(M78/$Q78)</f>
        <v/>
      </c>
      <c r="AE78" s="69">
        <f>(N78/$Q78)</f>
        <v/>
      </c>
      <c r="AF78" s="69">
        <f>(O78/$Q78)</f>
        <v/>
      </c>
      <c r="AG78" s="69">
        <f>(P78/$Q78)</f>
        <v/>
      </c>
      <c r="AH78" s="69">
        <f>SUM(V78:X78)</f>
        <v/>
      </c>
      <c r="AI78" s="79">
        <f>SUM(Z78:AF78)</f>
        <v/>
      </c>
      <c r="AJ78" s="80">
        <f>SUM(AG78+AI78)</f>
        <v/>
      </c>
      <c r="AK78" s="81">
        <f>AJ78+AH78</f>
        <v/>
      </c>
      <c r="AL78" s="63">
        <f>SUM(V78,Y78:AG78)</f>
        <v/>
      </c>
      <c r="AM78" s="88">
        <f>SUM(W78:X78)</f>
        <v/>
      </c>
      <c r="AN78" s="88" t="n"/>
    </row>
    <row r="79" hidden="1" ht="15.75" customFormat="1" customHeight="1" s="2">
      <c r="A79" s="9" t="n">
        <v>44911</v>
      </c>
      <c r="B79" s="2" t="n">
        <v>12.88</v>
      </c>
      <c r="C79" s="2" t="n">
        <v>0.7</v>
      </c>
      <c r="E79" s="2" t="n">
        <v>0.92</v>
      </c>
      <c r="F79" s="2" t="n">
        <v>1.8</v>
      </c>
      <c r="G79" s="2" t="n">
        <v>0.5</v>
      </c>
      <c r="I79" s="2" t="n">
        <v>0.04</v>
      </c>
      <c r="K79" s="2" t="n">
        <v>0.02</v>
      </c>
      <c r="N79" s="2" t="n">
        <v>0.02</v>
      </c>
      <c r="P79" s="2" t="n">
        <v>0.88</v>
      </c>
      <c r="Q79" s="2">
        <f>SUM(B79:P79)</f>
        <v/>
      </c>
      <c r="R79" s="25" t="n"/>
      <c r="S79" s="69">
        <f>(B79/$Q79)</f>
        <v/>
      </c>
      <c r="T79" s="69">
        <f>(C79/$Q79)</f>
        <v/>
      </c>
      <c r="U79" s="69">
        <f>(D79/$Q79)</f>
        <v/>
      </c>
      <c r="V79" s="69">
        <f>(E79/$Q79)</f>
        <v/>
      </c>
      <c r="W79" s="69">
        <f>(F79/$Q79)</f>
        <v/>
      </c>
      <c r="X79" s="69">
        <f>(G79/$Q79)</f>
        <v/>
      </c>
      <c r="Y79" s="69">
        <f>(H79/$Q79)</f>
        <v/>
      </c>
      <c r="Z79" s="69">
        <f>(I79/$Q79)</f>
        <v/>
      </c>
      <c r="AA79" s="69">
        <f>(J79/$Q79)</f>
        <v/>
      </c>
      <c r="AB79" s="69">
        <f>(K79/$Q79)</f>
        <v/>
      </c>
      <c r="AC79" s="69">
        <f>(L79/$Q79)</f>
        <v/>
      </c>
      <c r="AD79" s="69">
        <f>(M79/$Q79)</f>
        <v/>
      </c>
      <c r="AE79" s="69">
        <f>(N79/$Q79)</f>
        <v/>
      </c>
      <c r="AF79" s="69">
        <f>(O79/$Q79)</f>
        <v/>
      </c>
      <c r="AG79" s="69">
        <f>(P79/$Q79)</f>
        <v/>
      </c>
      <c r="AH79" s="69">
        <f>SUM(V79:X79)</f>
        <v/>
      </c>
      <c r="AI79" s="79">
        <f>SUM(Z79:AF79)</f>
        <v/>
      </c>
      <c r="AJ79" s="80">
        <f>SUM(AG79+AI79)</f>
        <v/>
      </c>
      <c r="AK79" s="81">
        <f>AJ79+AH79</f>
        <v/>
      </c>
      <c r="AL79" s="63">
        <f>SUM(V79,Y79:AG79)</f>
        <v/>
      </c>
      <c r="AM79" s="88">
        <f>SUM(W79:X79)</f>
        <v/>
      </c>
      <c r="AN79" s="88" t="n"/>
    </row>
    <row r="80" hidden="1" ht="15.75" customFormat="1" customHeight="1" s="2">
      <c r="A80" s="9" t="n">
        <v>44914</v>
      </c>
      <c r="B80" s="2" t="n">
        <v>22.94</v>
      </c>
      <c r="C80" s="2" t="n">
        <v>1.1</v>
      </c>
      <c r="E80" s="2" t="n">
        <v>2.24</v>
      </c>
      <c r="F80" s="2" t="n">
        <v>4.3</v>
      </c>
      <c r="G80" s="2" t="n">
        <v>1.18</v>
      </c>
      <c r="K80" s="2" t="n">
        <v>0.2</v>
      </c>
      <c r="M80" s="2" t="n">
        <v>0.02</v>
      </c>
      <c r="N80" s="2" t="n">
        <v>0.02</v>
      </c>
      <c r="P80" s="2" t="n">
        <v>1.92</v>
      </c>
      <c r="Q80" s="2">
        <f>SUM(B80:P80)</f>
        <v/>
      </c>
      <c r="R80" s="25" t="n"/>
      <c r="S80" s="69">
        <f>(B80/$Q80)</f>
        <v/>
      </c>
      <c r="T80" s="69">
        <f>(C80/$Q80)</f>
        <v/>
      </c>
      <c r="U80" s="69">
        <f>(D80/$Q80)</f>
        <v/>
      </c>
      <c r="V80" s="69">
        <f>(E80/$Q80)</f>
        <v/>
      </c>
      <c r="W80" s="69">
        <f>(F80/$Q80)</f>
        <v/>
      </c>
      <c r="X80" s="69">
        <f>(G80/$Q80)</f>
        <v/>
      </c>
      <c r="Y80" s="69">
        <f>(H80/$Q80)</f>
        <v/>
      </c>
      <c r="Z80" s="69">
        <f>(I80/$Q80)</f>
        <v/>
      </c>
      <c r="AA80" s="69">
        <f>(J80/$Q80)</f>
        <v/>
      </c>
      <c r="AB80" s="69">
        <f>(K80/$Q80)</f>
        <v/>
      </c>
      <c r="AC80" s="69">
        <f>(L80/$Q80)</f>
        <v/>
      </c>
      <c r="AD80" s="69">
        <f>(M80/$Q80)</f>
        <v/>
      </c>
      <c r="AE80" s="69">
        <f>(N80/$Q80)</f>
        <v/>
      </c>
      <c r="AF80" s="69">
        <f>(O80/$Q80)</f>
        <v/>
      </c>
      <c r="AG80" s="69">
        <f>(P80/$Q80)</f>
        <v/>
      </c>
      <c r="AH80" s="69">
        <f>SUM(V80:X80)</f>
        <v/>
      </c>
      <c r="AI80" s="79">
        <f>SUM(Z80:AF80)</f>
        <v/>
      </c>
      <c r="AJ80" s="80">
        <f>SUM(AG80+AI80)</f>
        <v/>
      </c>
      <c r="AK80" s="81">
        <f>AJ80+AH80</f>
        <v/>
      </c>
      <c r="AL80" s="63">
        <f>SUM(V80,Y80:AG80)</f>
        <v/>
      </c>
      <c r="AM80" s="88">
        <f>SUM(W80:X80)</f>
        <v/>
      </c>
      <c r="AN80" s="88" t="n"/>
    </row>
    <row r="81" hidden="1" ht="15.75" customFormat="1" customHeight="1" s="2">
      <c r="A81" s="9" t="n">
        <v>44915</v>
      </c>
      <c r="B81" s="2" t="n">
        <v>12.1</v>
      </c>
      <c r="C81" s="2" t="n">
        <v>0.44</v>
      </c>
      <c r="E81" s="2" t="n">
        <v>0.92</v>
      </c>
      <c r="F81" s="2" t="n">
        <v>1.86</v>
      </c>
      <c r="G81" s="2" t="n">
        <v>1.18</v>
      </c>
      <c r="I81" s="2" t="n">
        <v>0.04</v>
      </c>
      <c r="K81" s="2" t="n">
        <v>0.02</v>
      </c>
      <c r="M81" s="2" t="n">
        <v>0.04</v>
      </c>
      <c r="N81" s="2" t="n">
        <v>0.02</v>
      </c>
      <c r="P81" s="2" t="n">
        <v>1</v>
      </c>
      <c r="Q81" s="2">
        <f>SUM(B81:P81)</f>
        <v/>
      </c>
      <c r="R81" s="25" t="n"/>
      <c r="S81" s="69">
        <f>(B81/$Q81)</f>
        <v/>
      </c>
      <c r="T81" s="69">
        <f>(C81/$Q81)</f>
        <v/>
      </c>
      <c r="U81" s="69">
        <f>(D81/$Q81)</f>
        <v/>
      </c>
      <c r="V81" s="69">
        <f>(E81/$Q81)</f>
        <v/>
      </c>
      <c r="W81" s="69">
        <f>(F81/$Q81)</f>
        <v/>
      </c>
      <c r="X81" s="69">
        <f>(G81/$Q81)</f>
        <v/>
      </c>
      <c r="Y81" s="69">
        <f>(H81/$Q81)</f>
        <v/>
      </c>
      <c r="Z81" s="69">
        <f>(I81/$Q81)</f>
        <v/>
      </c>
      <c r="AA81" s="69">
        <f>(J81/$Q81)</f>
        <v/>
      </c>
      <c r="AB81" s="69">
        <f>(K81/$Q81)</f>
        <v/>
      </c>
      <c r="AC81" s="69">
        <f>(L81/$Q81)</f>
        <v/>
      </c>
      <c r="AD81" s="69">
        <f>(M81/$Q81)</f>
        <v/>
      </c>
      <c r="AE81" s="69">
        <f>(N81/$Q81)</f>
        <v/>
      </c>
      <c r="AF81" s="69">
        <f>(O81/$Q81)</f>
        <v/>
      </c>
      <c r="AG81" s="69">
        <f>(P81/$Q81)</f>
        <v/>
      </c>
      <c r="AH81" s="69">
        <f>SUM(V81:X81)</f>
        <v/>
      </c>
      <c r="AI81" s="79">
        <f>SUM(Z81:AF81)</f>
        <v/>
      </c>
      <c r="AJ81" s="80">
        <f>SUM(AG81+AI81)</f>
        <v/>
      </c>
      <c r="AK81" s="81">
        <f>AJ81+AH81</f>
        <v/>
      </c>
      <c r="AL81" s="63">
        <f>SUM(V81,Y81:AG81)</f>
        <v/>
      </c>
      <c r="AM81" s="88">
        <f>SUM(W81:X81)</f>
        <v/>
      </c>
      <c r="AN81" s="88" t="n"/>
    </row>
    <row r="82" hidden="1" ht="15.75" customFormat="1" customHeight="1" s="2">
      <c r="A82" s="9" t="n">
        <v>44916</v>
      </c>
      <c r="B82" s="2" t="n">
        <v>21.74</v>
      </c>
      <c r="C82" s="2" t="n">
        <v>0.84</v>
      </c>
      <c r="E82" s="2" t="n">
        <v>1.3</v>
      </c>
      <c r="F82" s="2" t="n">
        <v>2.62</v>
      </c>
      <c r="G82" s="2" t="n">
        <v>1.34</v>
      </c>
      <c r="H82" s="2" t="n">
        <v>0.02</v>
      </c>
      <c r="K82" s="2" t="n">
        <v>0.04</v>
      </c>
      <c r="M82" s="2" t="n">
        <v>0.02</v>
      </c>
      <c r="N82" s="2" t="n">
        <v>0.02</v>
      </c>
      <c r="P82" s="2" t="n">
        <v>1.02</v>
      </c>
      <c r="Q82" s="2">
        <f>SUM(B82:P82)</f>
        <v/>
      </c>
      <c r="R82" s="25" t="n"/>
      <c r="S82" s="69">
        <f>(B82/$Q82)</f>
        <v/>
      </c>
      <c r="T82" s="69">
        <f>(C82/$Q82)</f>
        <v/>
      </c>
      <c r="U82" s="69">
        <f>(D82/$Q82)</f>
        <v/>
      </c>
      <c r="V82" s="69">
        <f>(E82/$Q82)</f>
        <v/>
      </c>
      <c r="W82" s="69">
        <f>(F82/$Q82)</f>
        <v/>
      </c>
      <c r="X82" s="69">
        <f>(G82/$Q82)</f>
        <v/>
      </c>
      <c r="Y82" s="69">
        <f>(H82/$Q82)</f>
        <v/>
      </c>
      <c r="Z82" s="69">
        <f>(I82/$Q82)</f>
        <v/>
      </c>
      <c r="AA82" s="69">
        <f>(J82/$Q82)</f>
        <v/>
      </c>
      <c r="AB82" s="69">
        <f>(K82/$Q82)</f>
        <v/>
      </c>
      <c r="AC82" s="69">
        <f>(L82/$Q82)</f>
        <v/>
      </c>
      <c r="AD82" s="69">
        <f>(M82/$Q82)</f>
        <v/>
      </c>
      <c r="AE82" s="69">
        <f>(N82/$Q82)</f>
        <v/>
      </c>
      <c r="AF82" s="69">
        <f>(O82/$Q82)</f>
        <v/>
      </c>
      <c r="AG82" s="69">
        <f>(P82/$Q82)</f>
        <v/>
      </c>
      <c r="AH82" s="69">
        <f>SUM(V82:X82)</f>
        <v/>
      </c>
      <c r="AI82" s="79">
        <f>SUM(Z82:AF82)</f>
        <v/>
      </c>
      <c r="AJ82" s="80">
        <f>SUM(AG82+AI82)</f>
        <v/>
      </c>
      <c r="AK82" s="81">
        <f>AJ82+AH82</f>
        <v/>
      </c>
      <c r="AL82" s="63">
        <f>SUM(V82,Y82:AG82)</f>
        <v/>
      </c>
      <c r="AM82" s="88">
        <f>SUM(W82:X82)</f>
        <v/>
      </c>
      <c r="AN82" s="88" t="n"/>
    </row>
    <row r="83" hidden="1" ht="15.75" customFormat="1" customHeight="1" s="2">
      <c r="A83" s="9" t="n">
        <v>44917</v>
      </c>
      <c r="B83" s="2" t="n">
        <v>15.2</v>
      </c>
      <c r="C83" s="2" t="n">
        <v>0.46</v>
      </c>
      <c r="E83" s="2" t="n">
        <v>1.84</v>
      </c>
      <c r="F83" s="2" t="n">
        <v>2.04</v>
      </c>
      <c r="G83" s="2" t="n">
        <v>1.24</v>
      </c>
      <c r="J83" s="2" t="n">
        <v>0.02</v>
      </c>
      <c r="M83" s="2" t="n">
        <v>0.02</v>
      </c>
      <c r="P83" s="2" t="n">
        <v>0.96</v>
      </c>
      <c r="Q83" s="2">
        <f>SUM(B83:P83)</f>
        <v/>
      </c>
      <c r="R83" s="25" t="n"/>
      <c r="S83" s="69">
        <f>(B83/$Q83)</f>
        <v/>
      </c>
      <c r="T83" s="69">
        <f>(C83/$Q83)</f>
        <v/>
      </c>
      <c r="U83" s="69">
        <f>(D83/$Q83)</f>
        <v/>
      </c>
      <c r="V83" s="69">
        <f>(E83/$Q83)</f>
        <v/>
      </c>
      <c r="W83" s="69">
        <f>(F83/$Q83)</f>
        <v/>
      </c>
      <c r="X83" s="69">
        <f>(G83/$Q83)</f>
        <v/>
      </c>
      <c r="Y83" s="69">
        <f>(H83/$Q83)</f>
        <v/>
      </c>
      <c r="Z83" s="69">
        <f>(I83/$Q83)</f>
        <v/>
      </c>
      <c r="AA83" s="69">
        <f>(J83/$Q83)</f>
        <v/>
      </c>
      <c r="AB83" s="69">
        <f>(K83/$Q83)</f>
        <v/>
      </c>
      <c r="AC83" s="69">
        <f>(L83/$Q83)</f>
        <v/>
      </c>
      <c r="AD83" s="69">
        <f>(M83/$Q83)</f>
        <v/>
      </c>
      <c r="AE83" s="69">
        <f>(N83/$Q83)</f>
        <v/>
      </c>
      <c r="AF83" s="69">
        <f>(O83/$Q83)</f>
        <v/>
      </c>
      <c r="AG83" s="69">
        <f>(P83/$Q83)</f>
        <v/>
      </c>
      <c r="AH83" s="69">
        <f>SUM(V83:X83)</f>
        <v/>
      </c>
      <c r="AI83" s="79">
        <f>SUM(Z83:AF83)</f>
        <v/>
      </c>
      <c r="AJ83" s="80">
        <f>SUM(AG83+AI83)</f>
        <v/>
      </c>
      <c r="AK83" s="81">
        <f>AJ83+AH83</f>
        <v/>
      </c>
      <c r="AL83" s="63">
        <f>SUM(V83,Y83:AG83)</f>
        <v/>
      </c>
      <c r="AM83" s="88">
        <f>SUM(W83:X83)</f>
        <v/>
      </c>
      <c r="AN83" s="88" t="n"/>
    </row>
    <row r="84" hidden="1" ht="15.75" customFormat="1" customHeight="1" s="2">
      <c r="A84" s="9" t="n">
        <v>44918</v>
      </c>
      <c r="B84" s="2" t="n">
        <v>18.54</v>
      </c>
      <c r="C84" s="2" t="n">
        <v>0.4</v>
      </c>
      <c r="E84" s="2" t="n">
        <v>1.4</v>
      </c>
      <c r="F84" s="2" t="n">
        <v>3.32</v>
      </c>
      <c r="G84" s="2" t="n">
        <v>0.8</v>
      </c>
      <c r="H84" s="2" t="n">
        <v>0.28</v>
      </c>
      <c r="K84" s="2" t="n">
        <v>0.04</v>
      </c>
      <c r="P84" s="2" t="n">
        <v>2.06</v>
      </c>
      <c r="Q84" s="2">
        <f>SUM(B84:P84)</f>
        <v/>
      </c>
      <c r="R84" s="25" t="n"/>
      <c r="S84" s="69">
        <f>(B84/$Q84)</f>
        <v/>
      </c>
      <c r="T84" s="69">
        <f>(C84/$Q84)</f>
        <v/>
      </c>
      <c r="U84" s="69">
        <f>(D84/$Q84)</f>
        <v/>
      </c>
      <c r="V84" s="69">
        <f>(E84/$Q84)</f>
        <v/>
      </c>
      <c r="W84" s="69">
        <f>(F84/$Q84)</f>
        <v/>
      </c>
      <c r="X84" s="69">
        <f>(G84/$Q84)</f>
        <v/>
      </c>
      <c r="Y84" s="69">
        <f>(H84/$Q84)</f>
        <v/>
      </c>
      <c r="Z84" s="69">
        <f>(I84/$Q84)</f>
        <v/>
      </c>
      <c r="AA84" s="69">
        <f>(J84/$Q84)</f>
        <v/>
      </c>
      <c r="AB84" s="69">
        <f>(K84/$Q84)</f>
        <v/>
      </c>
      <c r="AC84" s="69">
        <f>(L84/$Q84)</f>
        <v/>
      </c>
      <c r="AD84" s="69">
        <f>(M84/$Q84)</f>
        <v/>
      </c>
      <c r="AE84" s="69">
        <f>(N84/$Q84)</f>
        <v/>
      </c>
      <c r="AF84" s="69">
        <f>(O84/$Q84)</f>
        <v/>
      </c>
      <c r="AG84" s="69">
        <f>(P84/$Q84)</f>
        <v/>
      </c>
      <c r="AH84" s="69">
        <f>SUM(V84:X84)</f>
        <v/>
      </c>
      <c r="AI84" s="79">
        <f>SUM(Z84:AF84)</f>
        <v/>
      </c>
      <c r="AJ84" s="80">
        <f>SUM(AG84+AI84)</f>
        <v/>
      </c>
      <c r="AK84" s="81">
        <f>AJ84+AH84</f>
        <v/>
      </c>
      <c r="AL84" s="63">
        <f>SUM(V84,Y84:AG84)</f>
        <v/>
      </c>
      <c r="AM84" s="88">
        <f>SUM(W84:X84)</f>
        <v/>
      </c>
      <c r="AN84" s="88" t="n"/>
    </row>
    <row r="85" hidden="1" ht="15.75" customFormat="1" customHeight="1" s="2">
      <c r="A85" s="9" t="n">
        <v>44566</v>
      </c>
      <c r="B85" s="2" t="n">
        <v>15.32</v>
      </c>
      <c r="C85" s="2" t="n">
        <v>0.24</v>
      </c>
      <c r="D85" s="2" t="n">
        <v>5.74</v>
      </c>
      <c r="E85" s="2" t="n">
        <v>0.88</v>
      </c>
      <c r="F85" s="2" t="n">
        <v>2.58</v>
      </c>
      <c r="G85" s="2" t="n">
        <v>1.66</v>
      </c>
      <c r="L85" s="2" t="n">
        <v>0.02</v>
      </c>
      <c r="P85" s="2" t="n">
        <v>0.36</v>
      </c>
      <c r="Q85" s="2">
        <f>SUM(B85:P85)</f>
        <v/>
      </c>
      <c r="R85" s="25" t="n"/>
      <c r="S85" s="69">
        <f>(B85/$Q85)</f>
        <v/>
      </c>
      <c r="T85" s="69">
        <f>(C85/$Q85)</f>
        <v/>
      </c>
      <c r="U85" s="69">
        <f>(D85/$Q85)</f>
        <v/>
      </c>
      <c r="V85" s="69">
        <f>(E85/$Q85)</f>
        <v/>
      </c>
      <c r="W85" s="69">
        <f>(F85/$Q85)</f>
        <v/>
      </c>
      <c r="X85" s="69">
        <f>(G85/$Q85)</f>
        <v/>
      </c>
      <c r="Y85" s="69">
        <f>(H85/$Q85)</f>
        <v/>
      </c>
      <c r="Z85" s="69">
        <f>(I85/$Q85)</f>
        <v/>
      </c>
      <c r="AA85" s="69">
        <f>(J85/$Q85)</f>
        <v/>
      </c>
      <c r="AB85" s="69">
        <f>(K85/$Q85)</f>
        <v/>
      </c>
      <c r="AC85" s="69">
        <f>(L85/$Q85)</f>
        <v/>
      </c>
      <c r="AD85" s="69">
        <f>(M85/$Q85)</f>
        <v/>
      </c>
      <c r="AE85" s="69">
        <f>(N85/$Q85)</f>
        <v/>
      </c>
      <c r="AF85" s="69">
        <f>(O85/$Q85)</f>
        <v/>
      </c>
      <c r="AG85" s="69">
        <f>(P85/$Q85)</f>
        <v/>
      </c>
      <c r="AH85" s="69">
        <f>SUM(V85:X85)</f>
        <v/>
      </c>
      <c r="AI85" s="79">
        <f>SUM(Z85:AF85)</f>
        <v/>
      </c>
      <c r="AJ85" s="80">
        <f>SUM(AG85+AI85)</f>
        <v/>
      </c>
      <c r="AK85" s="81">
        <f>AJ85+AH85</f>
        <v/>
      </c>
      <c r="AL85" s="63">
        <f>SUM(V85,Y85:AG85)</f>
        <v/>
      </c>
      <c r="AM85" s="88">
        <f>SUM(W85:X85)</f>
        <v/>
      </c>
      <c r="AN85" s="88" t="n"/>
    </row>
    <row r="86" hidden="1" ht="15.75" customFormat="1" customHeight="1" s="2">
      <c r="A86" s="9" t="n">
        <v>44570</v>
      </c>
      <c r="B86" s="2" t="n">
        <v>15.68</v>
      </c>
      <c r="C86" s="2" t="n">
        <v>0.32</v>
      </c>
      <c r="D86" s="2" t="n">
        <v>4.16</v>
      </c>
      <c r="E86" s="2" t="n">
        <v>1.98</v>
      </c>
      <c r="F86" s="2" t="n">
        <v>1.94</v>
      </c>
      <c r="G86" s="2" t="n">
        <v>0.96</v>
      </c>
      <c r="L86" s="2" t="n">
        <v>0.02</v>
      </c>
      <c r="P86" s="2" t="n">
        <v>0.5</v>
      </c>
      <c r="Q86" s="2">
        <f>SUM(B86:P86)</f>
        <v/>
      </c>
      <c r="R86" s="25" t="n"/>
      <c r="S86" s="69">
        <f>(B86/$Q86)</f>
        <v/>
      </c>
      <c r="T86" s="69">
        <f>(C86/$Q86)</f>
        <v/>
      </c>
      <c r="U86" s="69">
        <f>(D86/$Q86)</f>
        <v/>
      </c>
      <c r="V86" s="69">
        <f>(E86/$Q86)</f>
        <v/>
      </c>
      <c r="W86" s="69">
        <f>(F86/$Q86)</f>
        <v/>
      </c>
      <c r="X86" s="69">
        <f>(G86/$Q86)</f>
        <v/>
      </c>
      <c r="Y86" s="69">
        <f>(H86/$Q86)</f>
        <v/>
      </c>
      <c r="Z86" s="69">
        <f>(I86/$Q86)</f>
        <v/>
      </c>
      <c r="AA86" s="69">
        <f>(J86/$Q86)</f>
        <v/>
      </c>
      <c r="AB86" s="69">
        <f>(K86/$Q86)</f>
        <v/>
      </c>
      <c r="AC86" s="69">
        <f>(L86/$Q86)</f>
        <v/>
      </c>
      <c r="AD86" s="69">
        <f>(M86/$Q86)</f>
        <v/>
      </c>
      <c r="AE86" s="69">
        <f>(N86/$Q86)</f>
        <v/>
      </c>
      <c r="AF86" s="69">
        <f>(O86/$Q86)</f>
        <v/>
      </c>
      <c r="AG86" s="69">
        <f>(P86/$Q86)</f>
        <v/>
      </c>
      <c r="AH86" s="69">
        <f>SUM(V86:X86)</f>
        <v/>
      </c>
      <c r="AI86" s="79">
        <f>SUM(Z86:AF86)</f>
        <v/>
      </c>
      <c r="AJ86" s="80">
        <f>SUM(AG86+AI86)</f>
        <v/>
      </c>
      <c r="AK86" s="81">
        <f>AJ86+AH86</f>
        <v/>
      </c>
      <c r="AL86" s="63">
        <f>SUM(V86,Y86:AG86)</f>
        <v/>
      </c>
      <c r="AM86" s="88">
        <f>SUM(W86:X86)</f>
        <v/>
      </c>
      <c r="AN86" s="88" t="n"/>
    </row>
    <row r="87" hidden="1" ht="15.75" customFormat="1" customHeight="1" s="2">
      <c r="A87" s="9" t="n">
        <v>44949</v>
      </c>
      <c r="B87" s="2" t="n">
        <v>16.48</v>
      </c>
      <c r="C87" s="2" t="n">
        <v>0.46</v>
      </c>
      <c r="D87" s="2" t="n">
        <v>5.96</v>
      </c>
      <c r="E87" s="2" t="n">
        <v>1.04</v>
      </c>
      <c r="F87" s="2" t="n">
        <v>2.76</v>
      </c>
      <c r="G87" s="2" t="n">
        <v>0.98</v>
      </c>
      <c r="I87" s="2" t="n">
        <v>0.04</v>
      </c>
      <c r="L87" s="2" t="n">
        <v>0.08</v>
      </c>
      <c r="N87" s="2" t="n">
        <v>0.02</v>
      </c>
      <c r="P87" s="2" t="n">
        <v>0.9399999999999999</v>
      </c>
      <c r="Q87" s="2">
        <f>SUM(B87:P87)</f>
        <v/>
      </c>
      <c r="R87" s="25" t="n"/>
      <c r="S87" s="69">
        <f>(B87/$Q87)</f>
        <v/>
      </c>
      <c r="T87" s="69">
        <f>(C87/$Q87)</f>
        <v/>
      </c>
      <c r="U87" s="69">
        <f>(D87/$Q87)</f>
        <v/>
      </c>
      <c r="V87" s="69">
        <f>(E87/$Q87)</f>
        <v/>
      </c>
      <c r="W87" s="69">
        <f>(F87/$Q87)</f>
        <v/>
      </c>
      <c r="X87" s="69">
        <f>(G87/$Q87)</f>
        <v/>
      </c>
      <c r="Y87" s="69">
        <f>(H87/$Q87)</f>
        <v/>
      </c>
      <c r="Z87" s="69">
        <f>(I87/$Q87)</f>
        <v/>
      </c>
      <c r="AA87" s="69">
        <f>(J87/$Q87)</f>
        <v/>
      </c>
      <c r="AB87" s="69">
        <f>(K87/$Q87)</f>
        <v/>
      </c>
      <c r="AC87" s="69">
        <f>(L87/$Q87)</f>
        <v/>
      </c>
      <c r="AD87" s="69">
        <f>(M87/$Q87)</f>
        <v/>
      </c>
      <c r="AE87" s="69">
        <f>(N87/$Q87)</f>
        <v/>
      </c>
      <c r="AF87" s="69">
        <f>(O87/$Q87)</f>
        <v/>
      </c>
      <c r="AG87" s="69">
        <f>(P87/$Q87)</f>
        <v/>
      </c>
      <c r="AH87" s="69">
        <f>SUM(V87:X87)</f>
        <v/>
      </c>
      <c r="AI87" s="79">
        <f>SUM(Z87:AF87)</f>
        <v/>
      </c>
      <c r="AJ87" s="80">
        <f>SUM(AG87+AI87)</f>
        <v/>
      </c>
      <c r="AK87" s="81">
        <f>AJ87+AH87</f>
        <v/>
      </c>
      <c r="AL87" s="63">
        <f>SUM(V87,Y87:AG87)</f>
        <v/>
      </c>
      <c r="AM87" s="88">
        <f>SUM(W87:X87)</f>
        <v/>
      </c>
      <c r="AN87" s="88" t="n"/>
    </row>
    <row r="88" hidden="1" ht="15.75" customFormat="1" customHeight="1" s="2">
      <c r="A88" s="9" t="n">
        <v>44960</v>
      </c>
      <c r="B88" s="2" t="n">
        <v>12.08</v>
      </c>
      <c r="C88" s="2" t="n">
        <v>0.64</v>
      </c>
      <c r="D88" s="2" t="n">
        <v>5.9</v>
      </c>
      <c r="E88" s="2" t="n">
        <v>1.4</v>
      </c>
      <c r="F88" s="2" t="n">
        <v>2.74</v>
      </c>
      <c r="G88" s="2" t="n">
        <v>1.54</v>
      </c>
      <c r="H88" s="2" t="n">
        <v>0</v>
      </c>
      <c r="I88" s="2" t="n">
        <v>0.08</v>
      </c>
      <c r="J88" s="2" t="n">
        <v>0</v>
      </c>
      <c r="K88" s="2" t="n">
        <v>0.06</v>
      </c>
      <c r="L88" s="2" t="n">
        <v>0.02</v>
      </c>
      <c r="M88" s="2" t="n">
        <v>0</v>
      </c>
      <c r="N88" s="2" t="n">
        <v>0.04</v>
      </c>
      <c r="O88" s="2" t="n">
        <v>0.02</v>
      </c>
      <c r="P88" s="2" t="n">
        <v>0.64</v>
      </c>
      <c r="Q88" s="2">
        <f>SUM(B88:P88)</f>
        <v/>
      </c>
      <c r="R88" s="25" t="n"/>
      <c r="S88" s="69">
        <f>(B88/$Q88)</f>
        <v/>
      </c>
      <c r="T88" s="69">
        <f>(C88/$Q88)</f>
        <v/>
      </c>
      <c r="U88" s="69">
        <f>(D88/$Q88)</f>
        <v/>
      </c>
      <c r="V88" s="69">
        <f>(E88/$Q88)</f>
        <v/>
      </c>
      <c r="W88" s="69">
        <f>(F88/$Q88)</f>
        <v/>
      </c>
      <c r="X88" s="69">
        <f>(G88/$Q88)</f>
        <v/>
      </c>
      <c r="Y88" s="69">
        <f>(H88/$Q88)</f>
        <v/>
      </c>
      <c r="Z88" s="69">
        <f>(I88/$Q88)</f>
        <v/>
      </c>
      <c r="AA88" s="69">
        <f>(J88/$Q88)</f>
        <v/>
      </c>
      <c r="AB88" s="69">
        <f>(K88/$Q88)</f>
        <v/>
      </c>
      <c r="AC88" s="69">
        <f>(L88/$Q88)</f>
        <v/>
      </c>
      <c r="AD88" s="69">
        <f>(M88/$Q88)</f>
        <v/>
      </c>
      <c r="AE88" s="69">
        <f>(N88/$Q88)</f>
        <v/>
      </c>
      <c r="AF88" s="69">
        <f>(O88/$Q88)</f>
        <v/>
      </c>
      <c r="AG88" s="69">
        <f>(P88/$Q88)</f>
        <v/>
      </c>
      <c r="AH88" s="69">
        <f>SUM(V88:X88)</f>
        <v/>
      </c>
      <c r="AI88" s="79">
        <f>SUM(Z88:AF88)</f>
        <v/>
      </c>
      <c r="AJ88" s="80">
        <f>SUM(AG88+AI88)</f>
        <v/>
      </c>
      <c r="AK88" s="81">
        <f>AJ88+AH88</f>
        <v/>
      </c>
      <c r="AL88" s="63">
        <f>SUM(V88,Y88:AG88)</f>
        <v/>
      </c>
      <c r="AM88" s="88">
        <f>SUM(W88:X88)</f>
        <v/>
      </c>
      <c r="AN88" s="88" t="n"/>
    </row>
    <row r="89" hidden="1" ht="15.75" customFormat="1" customHeight="1" s="2">
      <c r="A89" s="9" t="n">
        <v>44970</v>
      </c>
      <c r="B89" s="2" t="n">
        <v>13.8</v>
      </c>
      <c r="C89" s="2" t="n">
        <v>0.38</v>
      </c>
      <c r="D89" s="2" t="n">
        <v>6.08</v>
      </c>
      <c r="E89" s="2" t="n">
        <v>0.9399999999999999</v>
      </c>
      <c r="F89" s="2" t="n">
        <v>2.7</v>
      </c>
      <c r="G89" s="2" t="n">
        <v>1.38</v>
      </c>
      <c r="H89" s="2" t="n">
        <v>0.06</v>
      </c>
      <c r="I89" s="2" t="n">
        <v>0</v>
      </c>
      <c r="J89" s="2" t="n">
        <v>0</v>
      </c>
      <c r="K89" s="2" t="n">
        <v>0.1</v>
      </c>
      <c r="L89" s="2" t="n">
        <v>0.02</v>
      </c>
      <c r="M89" s="2" t="n">
        <v>0</v>
      </c>
      <c r="N89" s="2" t="n">
        <v>0.02</v>
      </c>
      <c r="O89" s="2" t="n">
        <v>0</v>
      </c>
      <c r="P89" s="2" t="n">
        <v>0.86</v>
      </c>
      <c r="Q89" s="2">
        <f>SUM(B89:P89)</f>
        <v/>
      </c>
      <c r="R89" s="25" t="n"/>
      <c r="S89" s="69">
        <f>(B89/$Q89)</f>
        <v/>
      </c>
      <c r="T89" s="69">
        <f>(C89/$Q89)</f>
        <v/>
      </c>
      <c r="U89" s="69">
        <f>(D89/$Q89)</f>
        <v/>
      </c>
      <c r="V89" s="69">
        <f>(E89/$Q89)</f>
        <v/>
      </c>
      <c r="W89" s="69">
        <f>(F89/$Q89)</f>
        <v/>
      </c>
      <c r="X89" s="69">
        <f>(G89/$Q89)</f>
        <v/>
      </c>
      <c r="Y89" s="69">
        <f>(H89/$Q89)</f>
        <v/>
      </c>
      <c r="Z89" s="69">
        <f>(I89/$Q89)</f>
        <v/>
      </c>
      <c r="AA89" s="69">
        <f>(J89/$Q89)</f>
        <v/>
      </c>
      <c r="AB89" s="69">
        <f>(K89/$Q89)</f>
        <v/>
      </c>
      <c r="AC89" s="69">
        <f>(L89/$Q89)</f>
        <v/>
      </c>
      <c r="AD89" s="69">
        <f>(M89/$Q89)</f>
        <v/>
      </c>
      <c r="AE89" s="69">
        <f>(N89/$Q89)</f>
        <v/>
      </c>
      <c r="AF89" s="69">
        <f>(O89/$Q89)</f>
        <v/>
      </c>
      <c r="AG89" s="69">
        <f>(P89/$Q89)</f>
        <v/>
      </c>
      <c r="AH89" s="69">
        <f>SUM(V89:X89)</f>
        <v/>
      </c>
      <c r="AI89" s="79">
        <f>SUM(Z89:AF89)</f>
        <v/>
      </c>
      <c r="AJ89" s="80">
        <f>SUM(AG89+AI89)</f>
        <v/>
      </c>
      <c r="AK89" s="81">
        <f>AJ89+AH89</f>
        <v/>
      </c>
      <c r="AL89" s="63">
        <f>SUM(V89,Y89:AG89)</f>
        <v/>
      </c>
      <c r="AM89" s="88">
        <f>SUM(W89:X89)</f>
        <v/>
      </c>
      <c r="AN89" s="88" t="n"/>
    </row>
    <row r="90" hidden="1" ht="15.75" customFormat="1" customHeight="1" s="2">
      <c r="A90" s="9" t="n">
        <v>44978</v>
      </c>
      <c r="B90" s="2" t="n">
        <v>9.84</v>
      </c>
      <c r="C90" s="2" t="n">
        <v>0.48</v>
      </c>
      <c r="D90" s="2" t="n">
        <v>7.7</v>
      </c>
      <c r="E90" s="2" t="n">
        <v>1.02</v>
      </c>
      <c r="F90" s="2" t="n">
        <v>1.6</v>
      </c>
      <c r="G90" s="2" t="n">
        <v>1.44</v>
      </c>
      <c r="H90" s="2" t="n">
        <v>0.02</v>
      </c>
      <c r="I90" s="2" t="n">
        <v>0.15</v>
      </c>
      <c r="J90" s="2" t="n">
        <v>0</v>
      </c>
      <c r="K90" s="2" t="n">
        <v>0</v>
      </c>
      <c r="L90" s="2" t="n">
        <v>0</v>
      </c>
      <c r="M90" s="2" t="n">
        <v>0</v>
      </c>
      <c r="N90" s="2" t="n">
        <v>0</v>
      </c>
      <c r="O90" s="2" t="n">
        <v>0.02</v>
      </c>
      <c r="P90" s="2" t="n">
        <v>0.5</v>
      </c>
      <c r="Q90" s="2">
        <f>SUM(B90:P90)</f>
        <v/>
      </c>
      <c r="R90" s="25" t="n"/>
      <c r="S90" s="69">
        <f>(B90/$Q90)</f>
        <v/>
      </c>
      <c r="T90" s="69">
        <f>(C90/$Q90)</f>
        <v/>
      </c>
      <c r="U90" s="69">
        <f>(D90/$Q90)</f>
        <v/>
      </c>
      <c r="V90" s="69">
        <f>(E90/$Q90)</f>
        <v/>
      </c>
      <c r="W90" s="69">
        <f>(F90/$Q90)</f>
        <v/>
      </c>
      <c r="X90" s="69">
        <f>(G90/$Q90)</f>
        <v/>
      </c>
      <c r="Y90" s="69">
        <f>(H90/$Q90)</f>
        <v/>
      </c>
      <c r="Z90" s="69">
        <f>(I90/$Q90)</f>
        <v/>
      </c>
      <c r="AA90" s="69">
        <f>(J90/$Q90)</f>
        <v/>
      </c>
      <c r="AB90" s="69">
        <f>(K90/$Q90)</f>
        <v/>
      </c>
      <c r="AC90" s="69">
        <f>(L90/$Q90)</f>
        <v/>
      </c>
      <c r="AD90" s="69">
        <f>(M90/$Q90)</f>
        <v/>
      </c>
      <c r="AE90" s="69">
        <f>(N90/$Q90)</f>
        <v/>
      </c>
      <c r="AF90" s="69">
        <f>(O90/$Q90)</f>
        <v/>
      </c>
      <c r="AG90" s="69">
        <f>(P90/$Q90)</f>
        <v/>
      </c>
      <c r="AH90" s="69">
        <f>SUM(V90:X90)</f>
        <v/>
      </c>
      <c r="AI90" s="79">
        <f>SUM(Z90:AF90)</f>
        <v/>
      </c>
      <c r="AJ90" s="80">
        <f>SUM(AG90+AI90)</f>
        <v/>
      </c>
      <c r="AK90" s="81">
        <f>AJ90+AH90</f>
        <v/>
      </c>
      <c r="AL90" s="63">
        <f>SUM(V90,Y90:AG90)</f>
        <v/>
      </c>
      <c r="AM90" s="88">
        <f>SUM(W90:X90)</f>
        <v/>
      </c>
      <c r="AN90" s="88" t="n"/>
    </row>
    <row r="91" hidden="1" ht="15.75" customFormat="1" customHeight="1" s="2">
      <c r="A91" s="9" t="n">
        <v>44982</v>
      </c>
      <c r="B91" s="2" t="n">
        <v>13.3</v>
      </c>
      <c r="C91" s="2" t="n">
        <v>0.3</v>
      </c>
      <c r="D91" s="2" t="n">
        <v>5.48</v>
      </c>
      <c r="E91" s="2" t="n">
        <v>0.18</v>
      </c>
      <c r="F91" s="2" t="n">
        <v>1.3</v>
      </c>
      <c r="G91" s="2" t="n">
        <v>0.46</v>
      </c>
      <c r="H91" s="2" t="n">
        <v>0</v>
      </c>
      <c r="I91" s="2" t="n">
        <v>0.02</v>
      </c>
      <c r="J91" s="2" t="n">
        <v>0</v>
      </c>
      <c r="K91" s="2" t="n">
        <v>0</v>
      </c>
      <c r="L91" s="2" t="n">
        <v>0</v>
      </c>
      <c r="M91" s="2" t="n">
        <v>0</v>
      </c>
      <c r="N91" s="2" t="n">
        <v>0</v>
      </c>
      <c r="O91" s="2" t="n">
        <v>0</v>
      </c>
      <c r="P91" s="2" t="n">
        <v>0.28</v>
      </c>
      <c r="Q91" s="2">
        <f>SUM(B91:P91)</f>
        <v/>
      </c>
      <c r="R91" s="25" t="n"/>
      <c r="S91" s="69">
        <f>(B91/$Q91)</f>
        <v/>
      </c>
      <c r="T91" s="69">
        <f>(C91/$Q91)</f>
        <v/>
      </c>
      <c r="U91" s="69">
        <f>(D91/$Q91)</f>
        <v/>
      </c>
      <c r="V91" s="69">
        <f>(E91/$Q91)</f>
        <v/>
      </c>
      <c r="W91" s="69">
        <f>(F91/$Q91)</f>
        <v/>
      </c>
      <c r="X91" s="69">
        <f>(G91/$Q91)</f>
        <v/>
      </c>
      <c r="Y91" s="69">
        <f>(H91/$Q91)</f>
        <v/>
      </c>
      <c r="Z91" s="69">
        <f>(I91/$Q91)</f>
        <v/>
      </c>
      <c r="AA91" s="69">
        <f>(J91/$Q91)</f>
        <v/>
      </c>
      <c r="AB91" s="69">
        <f>(K91/$Q91)</f>
        <v/>
      </c>
      <c r="AC91" s="69">
        <f>(L91/$Q91)</f>
        <v/>
      </c>
      <c r="AD91" s="69">
        <f>(M91/$Q91)</f>
        <v/>
      </c>
      <c r="AE91" s="69">
        <f>(N91/$Q91)</f>
        <v/>
      </c>
      <c r="AF91" s="69">
        <f>(O91/$Q91)</f>
        <v/>
      </c>
      <c r="AG91" s="69">
        <f>(P91/$Q91)</f>
        <v/>
      </c>
      <c r="AH91" s="69">
        <f>SUM(V91:X91)</f>
        <v/>
      </c>
      <c r="AI91" s="79">
        <f>SUM(Z91:AF91)</f>
        <v/>
      </c>
      <c r="AJ91" s="80">
        <f>SUM(AG91+AI91)</f>
        <v/>
      </c>
      <c r="AK91" s="81">
        <f>AJ91+AH91</f>
        <v/>
      </c>
      <c r="AL91" s="63">
        <f>SUM(V91,Y91:AG91)</f>
        <v/>
      </c>
      <c r="AM91" s="88">
        <f>SUM(W91:X91)</f>
        <v/>
      </c>
      <c r="AN91" s="88" t="n"/>
    </row>
    <row r="92" hidden="1" ht="15.75" customFormat="1" customHeight="1" s="2">
      <c r="A92" s="9" t="n">
        <v>44998</v>
      </c>
      <c r="B92" s="2" t="n">
        <v>19.42</v>
      </c>
      <c r="C92" s="2" t="n">
        <v>0.4</v>
      </c>
      <c r="D92" s="2" t="n">
        <v>4.42</v>
      </c>
      <c r="E92" s="2" t="n">
        <v>0.14</v>
      </c>
      <c r="F92" s="2" t="n">
        <v>1.24</v>
      </c>
      <c r="G92" s="2" t="n">
        <v>0.54</v>
      </c>
      <c r="H92" s="2" t="n">
        <v>0.04</v>
      </c>
      <c r="I92" s="2" t="n">
        <v>0.02</v>
      </c>
      <c r="J92" s="2" t="n">
        <v>0</v>
      </c>
      <c r="K92" s="2" t="n">
        <v>0</v>
      </c>
      <c r="L92" s="2" t="n">
        <v>0</v>
      </c>
      <c r="M92" s="2" t="n">
        <v>0</v>
      </c>
      <c r="N92" s="2" t="n">
        <v>0.02</v>
      </c>
      <c r="O92" s="2" t="n">
        <v>0</v>
      </c>
      <c r="P92" s="2" t="n">
        <v>0.46</v>
      </c>
      <c r="Q92" s="2">
        <f>SUM(B92:P92)</f>
        <v/>
      </c>
      <c r="R92" s="25" t="n"/>
      <c r="S92" s="69">
        <f>(B92/$Q92)</f>
        <v/>
      </c>
      <c r="T92" s="69">
        <f>(C92/$Q92)</f>
        <v/>
      </c>
      <c r="U92" s="69">
        <f>(D92/$Q92)</f>
        <v/>
      </c>
      <c r="V92" s="69">
        <f>(E92/$Q92)</f>
        <v/>
      </c>
      <c r="W92" s="69">
        <f>(F92/$Q92)</f>
        <v/>
      </c>
      <c r="X92" s="69">
        <f>(G92/$Q92)</f>
        <v/>
      </c>
      <c r="Y92" s="69">
        <f>(H92/$Q92)</f>
        <v/>
      </c>
      <c r="Z92" s="69">
        <f>(I92/$Q92)</f>
        <v/>
      </c>
      <c r="AA92" s="69">
        <f>(J92/$Q92)</f>
        <v/>
      </c>
      <c r="AB92" s="69">
        <f>(K92/$Q92)</f>
        <v/>
      </c>
      <c r="AC92" s="69">
        <f>(L92/$Q92)</f>
        <v/>
      </c>
      <c r="AD92" s="69">
        <f>(M92/$Q92)</f>
        <v/>
      </c>
      <c r="AE92" s="69">
        <f>(N92/$Q92)</f>
        <v/>
      </c>
      <c r="AF92" s="69">
        <f>(O92/$Q92)</f>
        <v/>
      </c>
      <c r="AG92" s="69">
        <f>(P92/$Q92)</f>
        <v/>
      </c>
      <c r="AH92" s="69">
        <f>SUM(V92:X92)</f>
        <v/>
      </c>
      <c r="AI92" s="79">
        <f>SUM(Z92:AF92)</f>
        <v/>
      </c>
      <c r="AJ92" s="80">
        <f>SUM(AG92+AI92)</f>
        <v/>
      </c>
      <c r="AK92" s="81">
        <f>AJ92+AH92</f>
        <v/>
      </c>
      <c r="AL92" s="63">
        <f>SUM(V92,Y92:AG92)</f>
        <v/>
      </c>
      <c r="AM92" s="88">
        <f>SUM(W92:X92)</f>
        <v/>
      </c>
      <c r="AN92" s="88" t="n"/>
    </row>
    <row r="93" hidden="1" ht="15.75" customFormat="1" customHeight="1" s="2">
      <c r="A93" s="9" t="n">
        <v>45006</v>
      </c>
      <c r="B93" s="2" t="n">
        <v>9.92</v>
      </c>
      <c r="C93" s="2" t="n">
        <v>0.5600000000000001</v>
      </c>
      <c r="D93" s="2" t="n">
        <v>5.22</v>
      </c>
      <c r="E93" s="2" t="n">
        <v>0.44</v>
      </c>
      <c r="F93" s="2" t="n">
        <v>1.98</v>
      </c>
      <c r="G93" s="2" t="n">
        <v>0.96</v>
      </c>
      <c r="H93" s="2" t="n">
        <v>0</v>
      </c>
      <c r="I93" s="2" t="n">
        <v>0</v>
      </c>
      <c r="J93" s="2" t="n">
        <v>0.06</v>
      </c>
      <c r="K93" s="2" t="n">
        <v>0.06</v>
      </c>
      <c r="L93" s="2" t="n">
        <v>0.04</v>
      </c>
      <c r="M93" s="2" t="n">
        <v>0</v>
      </c>
      <c r="N93" s="2" t="n">
        <v>0</v>
      </c>
      <c r="O93" s="2" t="n">
        <v>0</v>
      </c>
      <c r="P93" s="2" t="n">
        <v>0.5</v>
      </c>
      <c r="Q93" s="2">
        <f>SUM(B93:P93)</f>
        <v/>
      </c>
      <c r="R93" s="25" t="n"/>
      <c r="S93" s="69">
        <f>(B93/$Q93)</f>
        <v/>
      </c>
      <c r="T93" s="69">
        <f>(C93/$Q93)</f>
        <v/>
      </c>
      <c r="U93" s="69">
        <f>(D93/$Q93)</f>
        <v/>
      </c>
      <c r="V93" s="69">
        <f>(E93/$Q93)</f>
        <v/>
      </c>
      <c r="W93" s="69">
        <f>(F93/$Q93)</f>
        <v/>
      </c>
      <c r="X93" s="69">
        <f>(G93/$Q93)</f>
        <v/>
      </c>
      <c r="Y93" s="69">
        <f>(H93/$Q93)</f>
        <v/>
      </c>
      <c r="Z93" s="69">
        <f>(I93/$Q93)</f>
        <v/>
      </c>
      <c r="AA93" s="69">
        <f>(J93/$Q93)</f>
        <v/>
      </c>
      <c r="AB93" s="69">
        <f>(K93/$Q93)</f>
        <v/>
      </c>
      <c r="AC93" s="69">
        <f>(L93/$Q93)</f>
        <v/>
      </c>
      <c r="AD93" s="69">
        <f>(M93/$Q93)</f>
        <v/>
      </c>
      <c r="AE93" s="69">
        <f>(N93/$Q93)</f>
        <v/>
      </c>
      <c r="AF93" s="69">
        <f>(O93/$Q93)</f>
        <v/>
      </c>
      <c r="AG93" s="69">
        <f>(P93/$Q93)</f>
        <v/>
      </c>
      <c r="AH93" s="69">
        <f>SUM(V93:X93)</f>
        <v/>
      </c>
      <c r="AI93" s="79">
        <f>SUM(Z93:AF93)</f>
        <v/>
      </c>
      <c r="AJ93" s="80">
        <f>SUM(AG93+AI93)</f>
        <v/>
      </c>
      <c r="AK93" s="81">
        <f>AJ93+AH93</f>
        <v/>
      </c>
      <c r="AL93" s="63">
        <f>SUM(V93,Y93:AG93)</f>
        <v/>
      </c>
      <c r="AM93" s="88">
        <f>SUM(W93:X93)</f>
        <v/>
      </c>
      <c r="AN93" s="88" t="n"/>
    </row>
    <row r="94" hidden="1" ht="15.75" customFormat="1" customHeight="1" s="2">
      <c r="A94" s="9" t="n">
        <v>45015</v>
      </c>
      <c r="B94" s="2" t="n">
        <v>13.26</v>
      </c>
      <c r="C94" s="2" t="n">
        <v>0.38</v>
      </c>
      <c r="D94" s="2" t="n">
        <v>5.22</v>
      </c>
      <c r="E94" s="2" t="n">
        <v>0.44</v>
      </c>
      <c r="F94" s="2" t="n">
        <v>1.44</v>
      </c>
      <c r="G94" s="2" t="n">
        <v>0.52</v>
      </c>
      <c r="H94" s="2" t="n">
        <v>0</v>
      </c>
      <c r="I94" s="2" t="n">
        <v>0.02</v>
      </c>
      <c r="J94" s="2" t="n">
        <v>0</v>
      </c>
      <c r="K94" s="2" t="n">
        <v>0</v>
      </c>
      <c r="L94" s="2" t="n">
        <v>0</v>
      </c>
      <c r="M94" s="2" t="n">
        <v>0.04</v>
      </c>
      <c r="N94" s="2" t="n">
        <v>0</v>
      </c>
      <c r="O94" s="2" t="n">
        <v>0</v>
      </c>
      <c r="P94" s="2" t="n">
        <v>0.52</v>
      </c>
      <c r="Q94" s="2">
        <f>SUM(B94:P94)</f>
        <v/>
      </c>
      <c r="R94" s="25" t="n"/>
      <c r="S94" s="69">
        <f>(B94/$Q94)</f>
        <v/>
      </c>
      <c r="T94" s="69">
        <f>(C94/$Q94)</f>
        <v/>
      </c>
      <c r="U94" s="69">
        <f>(D94/$Q94)</f>
        <v/>
      </c>
      <c r="V94" s="69">
        <f>(E94/$Q94)</f>
        <v/>
      </c>
      <c r="W94" s="69">
        <f>(F94/$Q94)</f>
        <v/>
      </c>
      <c r="X94" s="69">
        <f>(G94/$Q94)</f>
        <v/>
      </c>
      <c r="Y94" s="69">
        <f>(H94/$Q94)</f>
        <v/>
      </c>
      <c r="Z94" s="69">
        <f>(I94/$Q94)</f>
        <v/>
      </c>
      <c r="AA94" s="69">
        <f>(J94/$Q94)</f>
        <v/>
      </c>
      <c r="AB94" s="69">
        <f>(K94/$Q94)</f>
        <v/>
      </c>
      <c r="AC94" s="69">
        <f>(L94/$Q94)</f>
        <v/>
      </c>
      <c r="AD94" s="69">
        <f>(M94/$Q94)</f>
        <v/>
      </c>
      <c r="AE94" s="69">
        <f>(N94/$Q94)</f>
        <v/>
      </c>
      <c r="AF94" s="69">
        <f>(O94/$Q94)</f>
        <v/>
      </c>
      <c r="AG94" s="69">
        <f>(P94/$Q94)</f>
        <v/>
      </c>
      <c r="AH94" s="69">
        <f>SUM(V94:X94)</f>
        <v/>
      </c>
      <c r="AI94" s="79">
        <f>SUM(Z94:AF94)</f>
        <v/>
      </c>
      <c r="AJ94" s="80">
        <f>SUM(AG94+AI94)</f>
        <v/>
      </c>
      <c r="AK94" s="81">
        <f>AJ94+AH94</f>
        <v/>
      </c>
      <c r="AL94" s="63">
        <f>SUM(V94,Y94:AG94)</f>
        <v/>
      </c>
      <c r="AM94" s="88">
        <f>SUM(W94:X94)</f>
        <v/>
      </c>
      <c r="AN94" s="88" t="n"/>
    </row>
    <row r="95" hidden="1" ht="15.75" customFormat="1" customHeight="1" s="2">
      <c r="A95" s="9" t="n">
        <v>45078</v>
      </c>
      <c r="B95" s="2" t="n">
        <v>10.1</v>
      </c>
      <c r="C95" s="2" t="n">
        <v>0.3</v>
      </c>
      <c r="E95" s="2" t="n">
        <v>1.16</v>
      </c>
      <c r="F95" s="2" t="n">
        <v>1.54</v>
      </c>
      <c r="G95" s="2" t="n">
        <v>0.3</v>
      </c>
      <c r="I95" s="2" t="n">
        <v>0.16</v>
      </c>
      <c r="J95" s="2" t="n">
        <v>0.02</v>
      </c>
      <c r="K95" s="2" t="n">
        <v>0.1</v>
      </c>
      <c r="P95" s="2" t="n">
        <v>0.52</v>
      </c>
      <c r="Q95" s="2">
        <f>SUM(B95:P95)</f>
        <v/>
      </c>
      <c r="R95" s="25" t="n"/>
      <c r="S95" s="69">
        <f>(B95/$Q95)</f>
        <v/>
      </c>
      <c r="T95" s="69">
        <f>(C95/$Q95)</f>
        <v/>
      </c>
      <c r="U95" s="69">
        <f>(D95/$Q95)</f>
        <v/>
      </c>
      <c r="V95" s="69">
        <f>(E95/$Q95)</f>
        <v/>
      </c>
      <c r="W95" s="69">
        <f>(F95/$Q95)</f>
        <v/>
      </c>
      <c r="X95" s="69">
        <f>(G95/$Q95)</f>
        <v/>
      </c>
      <c r="Y95" s="69">
        <f>(H95/$Q95)</f>
        <v/>
      </c>
      <c r="Z95" s="69">
        <f>(I95/$Q95)</f>
        <v/>
      </c>
      <c r="AA95" s="69">
        <f>(J95/$Q95)</f>
        <v/>
      </c>
      <c r="AB95" s="69">
        <f>(K95/$Q95)</f>
        <v/>
      </c>
      <c r="AC95" s="69">
        <f>(L95/$Q95)</f>
        <v/>
      </c>
      <c r="AD95" s="69">
        <f>(M95/$Q95)</f>
        <v/>
      </c>
      <c r="AE95" s="69">
        <f>(N95/$Q95)</f>
        <v/>
      </c>
      <c r="AF95" s="69">
        <f>(O95/$Q95)</f>
        <v/>
      </c>
      <c r="AG95" s="69">
        <f>(P95/$Q95)</f>
        <v/>
      </c>
      <c r="AH95" s="69">
        <f>SUM(V95:X95)</f>
        <v/>
      </c>
      <c r="AI95" s="79">
        <f>SUM(Z95:AF95)</f>
        <v/>
      </c>
      <c r="AJ95" s="80">
        <f>SUM(AG95+AI95)</f>
        <v/>
      </c>
      <c r="AK95" s="81">
        <f>AJ95+AH95</f>
        <v/>
      </c>
      <c r="AL95" s="63">
        <f>SUM(V95,Y95:AG95)</f>
        <v/>
      </c>
      <c r="AM95" s="88">
        <f>SUM(W95:X95)</f>
        <v/>
      </c>
      <c r="AN95" s="88" t="n"/>
    </row>
    <row r="96" hidden="1" ht="15.75" customFormat="1" customHeight="1" s="2">
      <c r="A96" s="9" t="n">
        <v>45082</v>
      </c>
      <c r="B96" s="2" t="n">
        <v>7.74</v>
      </c>
      <c r="C96" s="2" t="n">
        <v>0.2</v>
      </c>
      <c r="D96" s="2" t="n">
        <v>5.9</v>
      </c>
      <c r="E96" s="2" t="n">
        <v>1.82</v>
      </c>
      <c r="F96" s="2" t="n">
        <v>1.6</v>
      </c>
      <c r="G96" s="2" t="n">
        <v>1.7</v>
      </c>
      <c r="H96" s="2" t="n">
        <v>0.16</v>
      </c>
      <c r="I96" s="2" t="n">
        <v>0.3</v>
      </c>
      <c r="J96" s="2" t="n">
        <v>0</v>
      </c>
      <c r="K96" s="2" t="n">
        <v>0.16</v>
      </c>
      <c r="L96" s="2" t="n">
        <v>0.04</v>
      </c>
      <c r="M96" s="2" t="n">
        <v>0</v>
      </c>
      <c r="N96" s="2" t="n">
        <v>0.04</v>
      </c>
      <c r="O96" s="2" t="n">
        <v>0</v>
      </c>
      <c r="P96" s="2" t="n">
        <v>1.54</v>
      </c>
      <c r="Q96" s="2">
        <f>SUM(B96:P96)</f>
        <v/>
      </c>
      <c r="R96" s="25" t="n"/>
      <c r="S96" s="69">
        <f>(B96/$Q96)</f>
        <v/>
      </c>
      <c r="T96" s="69">
        <f>(C96/$Q96)</f>
        <v/>
      </c>
      <c r="U96" s="69">
        <f>(D96/$Q96)</f>
        <v/>
      </c>
      <c r="V96" s="69">
        <f>(E96/$Q96)</f>
        <v/>
      </c>
      <c r="W96" s="69">
        <f>(F96/$Q96)</f>
        <v/>
      </c>
      <c r="X96" s="69">
        <f>(G96/$Q96)</f>
        <v/>
      </c>
      <c r="Y96" s="69">
        <f>(H96/$Q96)</f>
        <v/>
      </c>
      <c r="Z96" s="69">
        <f>(I96/$Q96)</f>
        <v/>
      </c>
      <c r="AA96" s="69">
        <f>(J96/$Q96)</f>
        <v/>
      </c>
      <c r="AB96" s="69">
        <f>(K96/$Q96)</f>
        <v/>
      </c>
      <c r="AC96" s="69">
        <f>(L96/$Q96)</f>
        <v/>
      </c>
      <c r="AD96" s="69">
        <f>(M96/$Q96)</f>
        <v/>
      </c>
      <c r="AE96" s="69">
        <f>(N96/$Q96)</f>
        <v/>
      </c>
      <c r="AF96" s="69">
        <f>(O96/$Q96)</f>
        <v/>
      </c>
      <c r="AG96" s="69">
        <f>(P96/$Q96)</f>
        <v/>
      </c>
      <c r="AH96" s="69">
        <f>SUM(V96:X96)</f>
        <v/>
      </c>
      <c r="AI96" s="79">
        <f>SUM(Z96:AF96)</f>
        <v/>
      </c>
      <c r="AJ96" s="80">
        <f>SUM(AG96+AI96)</f>
        <v/>
      </c>
      <c r="AK96" s="81">
        <f>AJ96+AH96</f>
        <v/>
      </c>
      <c r="AL96" s="63">
        <f>SUM(V96,Y96:AG96)</f>
        <v/>
      </c>
      <c r="AM96" s="88">
        <f>SUM(W96:X96)</f>
        <v/>
      </c>
      <c r="AN96" s="88" t="n"/>
    </row>
    <row r="97" hidden="1" ht="15.75" customFormat="1" customHeight="1" s="2">
      <c r="A97" s="9" t="n">
        <v>45089</v>
      </c>
      <c r="B97" s="2" t="n">
        <v>11.32</v>
      </c>
      <c r="C97" s="2" t="n">
        <v>4.76</v>
      </c>
      <c r="D97" s="2" t="n">
        <v>0.42</v>
      </c>
      <c r="E97" s="2" t="n">
        <v>1.88</v>
      </c>
      <c r="F97" s="2" t="n">
        <v>3.66</v>
      </c>
      <c r="G97" s="2" t="n">
        <v>0.96</v>
      </c>
      <c r="H97" s="2" t="n">
        <v>0</v>
      </c>
      <c r="I97" s="2" t="n">
        <v>0.18</v>
      </c>
      <c r="J97" s="2" t="n">
        <v>0</v>
      </c>
      <c r="K97" s="2" t="n">
        <v>0.06</v>
      </c>
      <c r="L97" s="2" t="n">
        <v>0</v>
      </c>
      <c r="M97" s="2" t="n">
        <v>0</v>
      </c>
      <c r="N97" s="2" t="n">
        <v>0</v>
      </c>
      <c r="O97" s="2" t="n">
        <v>0</v>
      </c>
      <c r="P97" s="2" t="n">
        <v>1.44</v>
      </c>
      <c r="Q97" s="2">
        <f>SUM(B97:P97)</f>
        <v/>
      </c>
      <c r="R97" s="25" t="n"/>
      <c r="S97" s="69">
        <f>(B97/$Q97)</f>
        <v/>
      </c>
      <c r="T97" s="69">
        <f>(C97/$Q97)</f>
        <v/>
      </c>
      <c r="U97" s="69">
        <f>(D97/$Q97)</f>
        <v/>
      </c>
      <c r="V97" s="69">
        <f>(E97/$Q97)</f>
        <v/>
      </c>
      <c r="W97" s="69">
        <f>(F97/$Q97)</f>
        <v/>
      </c>
      <c r="X97" s="69">
        <f>(G97/$Q97)</f>
        <v/>
      </c>
      <c r="Y97" s="69">
        <f>(H97/$Q97)</f>
        <v/>
      </c>
      <c r="Z97" s="69">
        <f>(I97/$Q97)</f>
        <v/>
      </c>
      <c r="AA97" s="69">
        <f>(J97/$Q97)</f>
        <v/>
      </c>
      <c r="AB97" s="69">
        <f>(K97/$Q97)</f>
        <v/>
      </c>
      <c r="AC97" s="69">
        <f>(L97/$Q97)</f>
        <v/>
      </c>
      <c r="AD97" s="69">
        <f>(M97/$Q97)</f>
        <v/>
      </c>
      <c r="AE97" s="69">
        <f>(N97/$Q97)</f>
        <v/>
      </c>
      <c r="AF97" s="69">
        <f>(O97/$Q97)</f>
        <v/>
      </c>
      <c r="AG97" s="69">
        <f>(P97/$Q97)</f>
        <v/>
      </c>
      <c r="AH97" s="69">
        <f>SUM(V97:X97)</f>
        <v/>
      </c>
      <c r="AI97" s="79">
        <f>SUM(Z97:AF97)</f>
        <v/>
      </c>
      <c r="AJ97" s="80">
        <f>SUM(AG97+AI97)</f>
        <v/>
      </c>
      <c r="AK97" s="81">
        <f>AJ97+AH97</f>
        <v/>
      </c>
      <c r="AL97" s="63">
        <f>SUM(V97,Y97:AG97)</f>
        <v/>
      </c>
      <c r="AM97" s="88">
        <f>SUM(W97:X97)</f>
        <v/>
      </c>
      <c r="AN97" s="88" t="n"/>
    </row>
    <row r="98" hidden="1" ht="15.75" customFormat="1" customHeight="1" s="2">
      <c r="A98" s="9" t="n">
        <v>45097</v>
      </c>
      <c r="B98" s="2" t="n">
        <v>9.119999999999999</v>
      </c>
      <c r="C98" s="2" t="n">
        <v>0.14</v>
      </c>
      <c r="D98" s="2" t="n">
        <v>3.2</v>
      </c>
      <c r="E98" s="2" t="n">
        <v>1.76</v>
      </c>
      <c r="F98" s="2" t="n">
        <v>3.36</v>
      </c>
      <c r="G98" s="2" t="n">
        <v>1.36</v>
      </c>
      <c r="H98" s="2" t="n">
        <v>0</v>
      </c>
      <c r="I98" s="2" t="n">
        <v>0.1</v>
      </c>
      <c r="J98" s="2" t="n">
        <v>0</v>
      </c>
      <c r="K98" s="2" t="n">
        <v>0.12</v>
      </c>
      <c r="L98" s="2" t="n">
        <v>0.06</v>
      </c>
      <c r="M98" s="2" t="n">
        <v>0</v>
      </c>
      <c r="N98" s="2" t="n">
        <v>0</v>
      </c>
      <c r="O98" s="2" t="n">
        <v>0</v>
      </c>
      <c r="P98" s="2" t="n">
        <v>0.9</v>
      </c>
      <c r="Q98" s="2">
        <f>SUM(B98:P98)</f>
        <v/>
      </c>
      <c r="R98" s="25" t="n"/>
      <c r="S98" s="69">
        <f>(B98/$Q98)</f>
        <v/>
      </c>
      <c r="T98" s="69">
        <f>(C98/$Q98)</f>
        <v/>
      </c>
      <c r="U98" s="69">
        <f>(D98/$Q98)</f>
        <v/>
      </c>
      <c r="V98" s="69">
        <f>(E98/$Q98)</f>
        <v/>
      </c>
      <c r="W98" s="69">
        <f>(F98/$Q98)</f>
        <v/>
      </c>
      <c r="X98" s="69">
        <f>(G98/$Q98)</f>
        <v/>
      </c>
      <c r="Y98" s="69">
        <f>(H98/$Q98)</f>
        <v/>
      </c>
      <c r="Z98" s="69">
        <f>(I98/$Q98)</f>
        <v/>
      </c>
      <c r="AA98" s="69">
        <f>(J98/$Q98)</f>
        <v/>
      </c>
      <c r="AB98" s="69">
        <f>(K98/$Q98)</f>
        <v/>
      </c>
      <c r="AC98" s="69">
        <f>(L98/$Q98)</f>
        <v/>
      </c>
      <c r="AD98" s="69">
        <f>(M98/$Q98)</f>
        <v/>
      </c>
      <c r="AE98" s="69">
        <f>(N98/$Q98)</f>
        <v/>
      </c>
      <c r="AF98" s="69">
        <f>(O98/$Q98)</f>
        <v/>
      </c>
      <c r="AG98" s="69">
        <f>(P98/$Q98)</f>
        <v/>
      </c>
      <c r="AH98" s="69">
        <f>SUM(V98:X98)</f>
        <v/>
      </c>
      <c r="AI98" s="79">
        <f>SUM(Z98:AF98)</f>
        <v/>
      </c>
      <c r="AJ98" s="80">
        <f>SUM(AG98+AI98)</f>
        <v/>
      </c>
      <c r="AK98" s="81">
        <f>AJ98+AH98</f>
        <v/>
      </c>
      <c r="AL98" s="63">
        <f>SUM(V98,Y98:AG98)</f>
        <v/>
      </c>
      <c r="AM98" s="88">
        <f>SUM(W98:X98)</f>
        <v/>
      </c>
      <c r="AN98" s="88" t="n"/>
    </row>
    <row r="99" hidden="1" ht="15.75" customFormat="1" customHeight="1" s="2">
      <c r="A99" s="9" t="n">
        <v>45117</v>
      </c>
      <c r="B99" s="2" t="n">
        <v>13.82</v>
      </c>
      <c r="C99" s="2" t="n">
        <v>1.24</v>
      </c>
      <c r="D99" s="2" t="n">
        <v>3.56</v>
      </c>
      <c r="E99" s="2" t="n">
        <v>1.36</v>
      </c>
      <c r="F99" s="2" t="n">
        <v>3.2</v>
      </c>
      <c r="G99" s="2" t="n">
        <v>0.28</v>
      </c>
      <c r="H99" s="2" t="n">
        <v>0</v>
      </c>
      <c r="I99" s="2" t="n">
        <v>0.02</v>
      </c>
      <c r="J99" s="2" t="n">
        <v>0</v>
      </c>
      <c r="K99" s="2" t="n">
        <v>0.06</v>
      </c>
      <c r="L99" s="2" t="n">
        <v>0.02</v>
      </c>
      <c r="M99" s="2" t="n">
        <v>0.04</v>
      </c>
      <c r="N99" s="2" t="n">
        <v>0</v>
      </c>
      <c r="O99" s="2" t="n">
        <v>0</v>
      </c>
      <c r="P99" s="2" t="n">
        <v>1.24</v>
      </c>
      <c r="Q99" s="2">
        <f>SUM(B99:P99)</f>
        <v/>
      </c>
      <c r="R99" s="25" t="n"/>
      <c r="S99" s="69">
        <f>(B99/$Q99)</f>
        <v/>
      </c>
      <c r="T99" s="69">
        <f>(C99/$Q99)</f>
        <v/>
      </c>
      <c r="U99" s="69">
        <f>(D99/$Q99)</f>
        <v/>
      </c>
      <c r="V99" s="69">
        <f>(E99/$Q99)</f>
        <v/>
      </c>
      <c r="W99" s="69">
        <f>(F99/$Q99)</f>
        <v/>
      </c>
      <c r="X99" s="69">
        <f>(G99/$Q99)</f>
        <v/>
      </c>
      <c r="Y99" s="69">
        <f>(H99/$Q99)</f>
        <v/>
      </c>
      <c r="Z99" s="69">
        <f>(I99/$Q99)</f>
        <v/>
      </c>
      <c r="AA99" s="69">
        <f>(J99/$Q99)</f>
        <v/>
      </c>
      <c r="AB99" s="69">
        <f>(K99/$Q99)</f>
        <v/>
      </c>
      <c r="AC99" s="69">
        <f>(L99/$Q99)</f>
        <v/>
      </c>
      <c r="AD99" s="69">
        <f>(M99/$Q99)</f>
        <v/>
      </c>
      <c r="AE99" s="69">
        <f>(N99/$Q99)</f>
        <v/>
      </c>
      <c r="AF99" s="69">
        <f>(O99/$Q99)</f>
        <v/>
      </c>
      <c r="AG99" s="69">
        <f>(P99/$Q99)</f>
        <v/>
      </c>
      <c r="AH99" s="69">
        <f>SUM(V99:X99)</f>
        <v/>
      </c>
      <c r="AI99" s="79">
        <f>SUM(Z99:AF99)</f>
        <v/>
      </c>
      <c r="AJ99" s="80">
        <f>SUM(AG99+AI99)</f>
        <v/>
      </c>
      <c r="AK99" s="81">
        <f>AJ99+AH99</f>
        <v/>
      </c>
      <c r="AL99" s="63">
        <f>SUM(V99,Y99:AG99)</f>
        <v/>
      </c>
      <c r="AM99" s="88">
        <f>SUM(W99:X99)</f>
        <v/>
      </c>
      <c r="AN99" s="88" t="n"/>
    </row>
    <row r="100" hidden="1" ht="15.75" customFormat="1" customHeight="1" s="2">
      <c r="A100" s="9" t="n">
        <v>45120</v>
      </c>
      <c r="B100" s="2" t="n">
        <v>19.32</v>
      </c>
      <c r="C100" s="2" t="n">
        <v>0.42</v>
      </c>
      <c r="D100" s="2" t="n">
        <v>5.62</v>
      </c>
      <c r="E100" s="2" t="n">
        <v>0.32</v>
      </c>
      <c r="F100" s="2" t="n">
        <v>1.12</v>
      </c>
      <c r="G100" s="2" t="n">
        <v>1.04</v>
      </c>
      <c r="H100" s="2" t="n">
        <v>0.06</v>
      </c>
      <c r="I100" s="2" t="n">
        <v>0.02</v>
      </c>
      <c r="J100" s="2" t="n">
        <v>0</v>
      </c>
      <c r="K100" s="2" t="n">
        <v>0</v>
      </c>
      <c r="L100" s="2" t="n">
        <v>0</v>
      </c>
      <c r="M100" s="2" t="n">
        <v>0</v>
      </c>
      <c r="N100" s="2" t="n">
        <v>0</v>
      </c>
      <c r="O100" s="2" t="n">
        <v>0.02</v>
      </c>
      <c r="P100" s="2" t="n">
        <v>0.58</v>
      </c>
      <c r="Q100" s="2">
        <f>SUM(B100:P100)</f>
        <v/>
      </c>
      <c r="R100" s="25" t="n"/>
      <c r="S100" s="69">
        <f>(B100/$Q100)</f>
        <v/>
      </c>
      <c r="T100" s="69">
        <f>(C100/$Q100)</f>
        <v/>
      </c>
      <c r="U100" s="69">
        <f>(D100/$Q100)</f>
        <v/>
      </c>
      <c r="V100" s="69">
        <f>(E100/$Q100)</f>
        <v/>
      </c>
      <c r="W100" s="69">
        <f>(F100/$Q100)</f>
        <v/>
      </c>
      <c r="X100" s="69">
        <f>(G100/$Q100)</f>
        <v/>
      </c>
      <c r="Y100" s="69">
        <f>(H100/$Q100)</f>
        <v/>
      </c>
      <c r="Z100" s="69">
        <f>(I100/$Q100)</f>
        <v/>
      </c>
      <c r="AA100" s="69">
        <f>(J100/$Q100)</f>
        <v/>
      </c>
      <c r="AB100" s="69">
        <f>(K100/$Q100)</f>
        <v/>
      </c>
      <c r="AC100" s="69">
        <f>(L100/$Q100)</f>
        <v/>
      </c>
      <c r="AD100" s="69">
        <f>(M100/$Q100)</f>
        <v/>
      </c>
      <c r="AE100" s="69">
        <f>(N100/$Q100)</f>
        <v/>
      </c>
      <c r="AF100" s="69">
        <f>(O100/$Q100)</f>
        <v/>
      </c>
      <c r="AG100" s="69">
        <f>(P100/$Q100)</f>
        <v/>
      </c>
      <c r="AH100" s="69">
        <f>SUM(V100:X100)</f>
        <v/>
      </c>
      <c r="AI100" s="79">
        <f>SUM(Z100:AF100)</f>
        <v/>
      </c>
      <c r="AJ100" s="80">
        <f>SUM(AG100+AI100)</f>
        <v/>
      </c>
      <c r="AK100" s="81">
        <f>AJ100+AH100</f>
        <v/>
      </c>
      <c r="AL100" s="63">
        <f>SUM(V100,Y100:AG100)</f>
        <v/>
      </c>
      <c r="AM100" s="88">
        <f>SUM(W100:X100)</f>
        <v/>
      </c>
      <c r="AN100" s="88" t="n"/>
    </row>
    <row r="101" hidden="1" ht="15.75" customFormat="1" customHeight="1" s="2">
      <c r="A101" s="9" t="n">
        <v>45121</v>
      </c>
      <c r="B101" s="2" t="n">
        <v>7.78</v>
      </c>
      <c r="C101" s="2" t="n">
        <v>0.3</v>
      </c>
      <c r="D101" s="2" t="n">
        <v>9.02</v>
      </c>
      <c r="E101" s="2" t="n">
        <v>0.26</v>
      </c>
      <c r="F101" s="2" t="n">
        <v>1.12</v>
      </c>
      <c r="G101" s="2" t="n">
        <v>1.16</v>
      </c>
      <c r="H101" s="2" t="n">
        <v>0</v>
      </c>
      <c r="I101" s="2" t="n">
        <v>0</v>
      </c>
      <c r="J101" s="2" t="n">
        <v>0</v>
      </c>
      <c r="K101" s="2" t="n">
        <v>0</v>
      </c>
      <c r="L101" s="2" t="n">
        <v>0</v>
      </c>
      <c r="M101" s="2" t="n">
        <v>0</v>
      </c>
      <c r="N101" s="2" t="n">
        <v>0</v>
      </c>
      <c r="O101" s="2" t="n">
        <v>0</v>
      </c>
      <c r="P101" s="2" t="n">
        <v>0.34</v>
      </c>
      <c r="Q101" s="2">
        <f>SUM(B101:P101)</f>
        <v/>
      </c>
      <c r="R101" s="25" t="n"/>
      <c r="S101" s="69">
        <f>(B101/$Q101)</f>
        <v/>
      </c>
      <c r="T101" s="69">
        <f>(C101/$Q101)</f>
        <v/>
      </c>
      <c r="U101" s="69">
        <f>(D101/$Q101)</f>
        <v/>
      </c>
      <c r="V101" s="69">
        <f>(E101/$Q101)</f>
        <v/>
      </c>
      <c r="W101" s="69">
        <f>(F101/$Q101)</f>
        <v/>
      </c>
      <c r="X101" s="69">
        <f>(G101/$Q101)</f>
        <v/>
      </c>
      <c r="Y101" s="69">
        <f>(H101/$Q101)</f>
        <v/>
      </c>
      <c r="Z101" s="69">
        <f>(I101/$Q101)</f>
        <v/>
      </c>
      <c r="AA101" s="69">
        <f>(J101/$Q101)</f>
        <v/>
      </c>
      <c r="AB101" s="69">
        <f>(K101/$Q101)</f>
        <v/>
      </c>
      <c r="AC101" s="69">
        <f>(L101/$Q101)</f>
        <v/>
      </c>
      <c r="AD101" s="69">
        <f>(M101/$Q101)</f>
        <v/>
      </c>
      <c r="AE101" s="69">
        <f>(N101/$Q101)</f>
        <v/>
      </c>
      <c r="AF101" s="69">
        <f>(O101/$Q101)</f>
        <v/>
      </c>
      <c r="AG101" s="69">
        <f>(P101/$Q101)</f>
        <v/>
      </c>
      <c r="AH101" s="69">
        <f>SUM(V101:X101)</f>
        <v/>
      </c>
      <c r="AI101" s="79">
        <f>SUM(Z101:AF101)</f>
        <v/>
      </c>
      <c r="AJ101" s="80">
        <f>SUM(AG101+AI101)</f>
        <v/>
      </c>
      <c r="AK101" s="81">
        <f>AJ101+AH101</f>
        <v/>
      </c>
      <c r="AL101" s="63">
        <f>SUM(V101,Y101:AG101)</f>
        <v/>
      </c>
      <c r="AM101" s="88">
        <f>SUM(W101:X101)</f>
        <v/>
      </c>
      <c r="AN101" s="88" t="n"/>
    </row>
    <row r="102" hidden="1" ht="15.75" customFormat="1" customHeight="1" s="2">
      <c r="A102" s="9" t="n">
        <v>45124</v>
      </c>
      <c r="B102" s="2" t="n">
        <v>7.24</v>
      </c>
      <c r="C102" s="2" t="n">
        <v>1.24</v>
      </c>
      <c r="D102" s="2" t="n">
        <v>6.04</v>
      </c>
      <c r="E102" s="2" t="n">
        <v>0.9</v>
      </c>
      <c r="F102" s="2" t="n">
        <v>3.28</v>
      </c>
      <c r="G102" s="2" t="n">
        <v>1.18</v>
      </c>
      <c r="H102" s="2" t="n">
        <v>0.02</v>
      </c>
      <c r="I102" s="2" t="n">
        <v>0.02</v>
      </c>
      <c r="J102" s="2" t="n">
        <v>0.04</v>
      </c>
      <c r="K102" s="2" t="n">
        <v>0.04</v>
      </c>
      <c r="L102" s="2" t="n">
        <v>0</v>
      </c>
      <c r="M102" s="2" t="n">
        <v>0.02</v>
      </c>
      <c r="N102" s="2" t="n">
        <v>0</v>
      </c>
      <c r="O102" s="2" t="n">
        <v>0.04</v>
      </c>
      <c r="P102" s="2" t="n">
        <v>0.6</v>
      </c>
      <c r="Q102" s="2">
        <f>SUM(B102:P102)</f>
        <v/>
      </c>
      <c r="R102" s="25" t="n"/>
      <c r="S102" s="69">
        <f>(B102/$Q102)</f>
        <v/>
      </c>
      <c r="T102" s="69">
        <f>(C102/$Q102)</f>
        <v/>
      </c>
      <c r="U102" s="69">
        <f>(D102/$Q102)</f>
        <v/>
      </c>
      <c r="V102" s="69">
        <f>(E102/$Q102)</f>
        <v/>
      </c>
      <c r="W102" s="69">
        <f>(F102/$Q102)</f>
        <v/>
      </c>
      <c r="X102" s="69">
        <f>(G102/$Q102)</f>
        <v/>
      </c>
      <c r="Y102" s="69">
        <f>(H102/$Q102)</f>
        <v/>
      </c>
      <c r="Z102" s="69">
        <f>(I102/$Q102)</f>
        <v/>
      </c>
      <c r="AA102" s="69">
        <f>(J102/$Q102)</f>
        <v/>
      </c>
      <c r="AB102" s="69">
        <f>(K102/$Q102)</f>
        <v/>
      </c>
      <c r="AC102" s="69">
        <f>(L102/$Q102)</f>
        <v/>
      </c>
      <c r="AD102" s="69">
        <f>(M102/$Q102)</f>
        <v/>
      </c>
      <c r="AE102" s="69">
        <f>(N102/$Q102)</f>
        <v/>
      </c>
      <c r="AF102" s="69">
        <f>(O102/$Q102)</f>
        <v/>
      </c>
      <c r="AG102" s="69">
        <f>(P102/$Q102)</f>
        <v/>
      </c>
      <c r="AH102" s="69">
        <f>SUM(V102:X102)</f>
        <v/>
      </c>
      <c r="AI102" s="79">
        <f>SUM(Z102:AF102)</f>
        <v/>
      </c>
      <c r="AJ102" s="80">
        <f>SUM(AG102+AI102)</f>
        <v/>
      </c>
      <c r="AK102" s="81">
        <f>AJ102+AH102</f>
        <v/>
      </c>
      <c r="AL102" s="63">
        <f>SUM(V102,Y102:AG102)</f>
        <v/>
      </c>
      <c r="AM102" s="88">
        <f>SUM(W102:X102)</f>
        <v/>
      </c>
      <c r="AN102" s="88" t="n"/>
    </row>
    <row r="103" hidden="1" ht="15.75" customFormat="1" customHeight="1" s="2">
      <c r="A103" s="9" t="n">
        <v>45125</v>
      </c>
      <c r="B103" s="2" t="n">
        <v>9.300000000000001</v>
      </c>
      <c r="C103" s="2" t="n">
        <v>1.3</v>
      </c>
      <c r="D103" s="2" t="n">
        <v>7.02</v>
      </c>
      <c r="E103" s="2" t="n">
        <v>1.02</v>
      </c>
      <c r="F103" s="2" t="n">
        <v>1.68</v>
      </c>
      <c r="G103" s="2" t="n">
        <v>2.04</v>
      </c>
      <c r="H103" s="2" t="n">
        <v>0.04</v>
      </c>
      <c r="I103" s="2" t="n">
        <v>0.02</v>
      </c>
      <c r="J103" s="2" t="n">
        <v>0</v>
      </c>
      <c r="K103" s="2" t="n">
        <v>0.06</v>
      </c>
      <c r="L103" s="2" t="n">
        <v>0.04</v>
      </c>
      <c r="M103" s="2" t="n">
        <v>0</v>
      </c>
      <c r="N103" s="2" t="n">
        <v>0</v>
      </c>
      <c r="O103" s="2" t="n">
        <v>0</v>
      </c>
      <c r="P103" s="2" t="n">
        <v>0.5600000000000001</v>
      </c>
      <c r="Q103" s="2">
        <f>SUM(B103:P103)</f>
        <v/>
      </c>
      <c r="R103" s="25" t="n"/>
      <c r="S103" s="69">
        <f>(B103/$Q103)</f>
        <v/>
      </c>
      <c r="T103" s="69">
        <f>(C103/$Q103)</f>
        <v/>
      </c>
      <c r="U103" s="69">
        <f>(D103/$Q103)</f>
        <v/>
      </c>
      <c r="V103" s="69">
        <f>(E103/$Q103)</f>
        <v/>
      </c>
      <c r="W103" s="69">
        <f>(F103/$Q103)</f>
        <v/>
      </c>
      <c r="X103" s="69">
        <f>(G103/$Q103)</f>
        <v/>
      </c>
      <c r="Y103" s="69">
        <f>(H103/$Q103)</f>
        <v/>
      </c>
      <c r="Z103" s="69">
        <f>(I103/$Q103)</f>
        <v/>
      </c>
      <c r="AA103" s="69">
        <f>(J103/$Q103)</f>
        <v/>
      </c>
      <c r="AB103" s="69">
        <f>(K103/$Q103)</f>
        <v/>
      </c>
      <c r="AC103" s="69">
        <f>(L103/$Q103)</f>
        <v/>
      </c>
      <c r="AD103" s="69">
        <f>(M103/$Q103)</f>
        <v/>
      </c>
      <c r="AE103" s="69">
        <f>(N103/$Q103)</f>
        <v/>
      </c>
      <c r="AF103" s="69">
        <f>(O103/$Q103)</f>
        <v/>
      </c>
      <c r="AG103" s="69">
        <f>(P103/$Q103)</f>
        <v/>
      </c>
      <c r="AH103" s="69">
        <f>SUM(V103:X103)</f>
        <v/>
      </c>
      <c r="AI103" s="79">
        <f>SUM(Z103:AF103)</f>
        <v/>
      </c>
      <c r="AJ103" s="80">
        <f>SUM(AG103+AI103)</f>
        <v/>
      </c>
      <c r="AK103" s="81">
        <f>AJ103+AH103</f>
        <v/>
      </c>
      <c r="AL103" s="63">
        <f>SUM(V103,Y103:AG103)</f>
        <v/>
      </c>
      <c r="AM103" s="88">
        <f>SUM(W103:X103)</f>
        <v/>
      </c>
      <c r="AN103" s="88" t="n"/>
    </row>
    <row r="104" hidden="1" ht="15.75" customFormat="1" customHeight="1" s="2">
      <c r="A104" s="9" t="n">
        <v>45129</v>
      </c>
      <c r="B104" s="2" t="n">
        <v>8.84</v>
      </c>
      <c r="C104" s="2" t="n">
        <v>1.22</v>
      </c>
      <c r="D104" s="2" t="n">
        <v>5.62</v>
      </c>
      <c r="E104" s="2" t="n">
        <v>0.5</v>
      </c>
      <c r="F104" s="2" t="n">
        <v>0.88</v>
      </c>
      <c r="G104" s="2" t="n">
        <v>0.82</v>
      </c>
      <c r="H104" s="2" t="n">
        <v>0</v>
      </c>
      <c r="I104" s="2" t="n">
        <v>0.08</v>
      </c>
      <c r="J104" s="2" t="n">
        <v>0</v>
      </c>
      <c r="K104" s="2" t="n">
        <v>0</v>
      </c>
      <c r="L104" s="2" t="n">
        <v>0.04</v>
      </c>
      <c r="M104" s="2" t="n">
        <v>0</v>
      </c>
      <c r="N104" s="2" t="n">
        <v>0</v>
      </c>
      <c r="O104" s="2" t="n">
        <v>0</v>
      </c>
      <c r="P104" s="2" t="n">
        <v>0.32</v>
      </c>
      <c r="Q104" s="2">
        <f>SUM(B104:P104)</f>
        <v/>
      </c>
      <c r="R104" s="25" t="n"/>
      <c r="S104" s="69">
        <f>(B104/$Q104)</f>
        <v/>
      </c>
      <c r="T104" s="69">
        <f>(C104/$Q104)</f>
        <v/>
      </c>
      <c r="U104" s="69">
        <f>(D104/$Q104)</f>
        <v/>
      </c>
      <c r="V104" s="69">
        <f>(E104/$Q104)</f>
        <v/>
      </c>
      <c r="W104" s="69">
        <f>(F104/$Q104)</f>
        <v/>
      </c>
      <c r="X104" s="69">
        <f>(G104/$Q104)</f>
        <v/>
      </c>
      <c r="Y104" s="69">
        <f>(H104/$Q104)</f>
        <v/>
      </c>
      <c r="Z104" s="69">
        <f>(I104/$Q104)</f>
        <v/>
      </c>
      <c r="AA104" s="69">
        <f>(J104/$Q104)</f>
        <v/>
      </c>
      <c r="AB104" s="69">
        <f>(K104/$Q104)</f>
        <v/>
      </c>
      <c r="AC104" s="69">
        <f>(L104/$Q104)</f>
        <v/>
      </c>
      <c r="AD104" s="69">
        <f>(M104/$Q104)</f>
        <v/>
      </c>
      <c r="AE104" s="69">
        <f>(N104/$Q104)</f>
        <v/>
      </c>
      <c r="AF104" s="69">
        <f>(O104/$Q104)</f>
        <v/>
      </c>
      <c r="AG104" s="69">
        <f>(P104/$Q104)</f>
        <v/>
      </c>
      <c r="AH104" s="69">
        <f>SUM(V104:X104)</f>
        <v/>
      </c>
      <c r="AI104" s="79">
        <f>SUM(Z104:AF104)</f>
        <v/>
      </c>
      <c r="AJ104" s="80">
        <f>SUM(AG104+AI104)</f>
        <v/>
      </c>
      <c r="AK104" s="81">
        <f>AJ104+AH104</f>
        <v/>
      </c>
      <c r="AL104" s="63">
        <f>SUM(V104,Y104:AG104)</f>
        <v/>
      </c>
      <c r="AM104" s="88">
        <f>SUM(W104:X104)</f>
        <v/>
      </c>
      <c r="AN104" s="88" t="n"/>
    </row>
    <row r="105" hidden="1" ht="15.75" customFormat="1" customHeight="1" s="2">
      <c r="A105" s="9" t="n">
        <v>45131</v>
      </c>
      <c r="B105" s="2" t="n">
        <v>10.22</v>
      </c>
      <c r="C105" s="2" t="n">
        <v>0.44</v>
      </c>
      <c r="D105" s="2" t="n">
        <v>6.5</v>
      </c>
      <c r="E105" s="2" t="n">
        <v>1.32</v>
      </c>
      <c r="F105" s="2" t="n">
        <v>2.16</v>
      </c>
      <c r="G105" s="2" t="n">
        <v>1.28</v>
      </c>
      <c r="H105" s="2" t="n">
        <v>0.04</v>
      </c>
      <c r="I105" s="2" t="n">
        <v>0.3</v>
      </c>
      <c r="J105" s="2" t="n">
        <v>0.02</v>
      </c>
      <c r="K105" s="2" t="n">
        <v>0.04</v>
      </c>
      <c r="L105" s="2" t="n">
        <v>0.04</v>
      </c>
      <c r="M105" s="2" t="n">
        <v>0</v>
      </c>
      <c r="N105" s="2" t="n">
        <v>0</v>
      </c>
      <c r="O105" s="2" t="n">
        <v>0</v>
      </c>
      <c r="P105" s="2" t="n">
        <v>0.5600000000000001</v>
      </c>
      <c r="Q105" s="2">
        <f>SUM(B105:P105)</f>
        <v/>
      </c>
      <c r="R105" s="25" t="n"/>
      <c r="S105" s="62">
        <f>(B105/$Q105)</f>
        <v/>
      </c>
      <c r="T105" s="62">
        <f>(C105/$Q105)</f>
        <v/>
      </c>
      <c r="U105" s="62">
        <f>(D105/$Q105)</f>
        <v/>
      </c>
      <c r="V105" s="62">
        <f>(E105/$Q105)</f>
        <v/>
      </c>
      <c r="W105" s="62">
        <f>(F105/$Q105)</f>
        <v/>
      </c>
      <c r="X105" s="62">
        <f>(G105/$Q105)</f>
        <v/>
      </c>
      <c r="Y105" s="62">
        <f>(H105/$Q105)</f>
        <v/>
      </c>
      <c r="Z105" s="62">
        <f>(I105/$Q105)</f>
        <v/>
      </c>
      <c r="AA105" s="62">
        <f>(J105/$Q105)</f>
        <v/>
      </c>
      <c r="AB105" s="62">
        <f>(K105/$Q105)</f>
        <v/>
      </c>
      <c r="AC105" s="62">
        <f>(L105/$Q105)</f>
        <v/>
      </c>
      <c r="AD105" s="62">
        <f>(M105/$Q105)</f>
        <v/>
      </c>
      <c r="AE105" s="62">
        <f>(N105/$Q105)</f>
        <v/>
      </c>
      <c r="AF105" s="62">
        <f>(O105/$Q105)</f>
        <v/>
      </c>
      <c r="AG105" s="62">
        <f>(P105/$Q105)</f>
        <v/>
      </c>
      <c r="AH105" s="62">
        <f>SUM(V105:X105)</f>
        <v/>
      </c>
      <c r="AI105" s="77">
        <f>SUM(Y105:AF105)</f>
        <v/>
      </c>
      <c r="AJ105" s="43">
        <f>SUM(AG105+AI105)</f>
        <v/>
      </c>
      <c r="AK105" s="44">
        <f>AJ105+AH105</f>
        <v/>
      </c>
      <c r="AL105" s="63">
        <f>SUM(V105,Y105:AG105)</f>
        <v/>
      </c>
      <c r="AM105" s="88">
        <f>SUM(W105:X105)</f>
        <v/>
      </c>
      <c r="AN105" s="88" t="n"/>
    </row>
    <row r="106" hidden="1" ht="15.75" customFormat="1" customHeight="1" s="2">
      <c r="A106" s="9" t="n">
        <v>45136</v>
      </c>
      <c r="B106" s="2" t="n">
        <v>10.44</v>
      </c>
      <c r="C106" s="2" t="n">
        <v>2.42</v>
      </c>
      <c r="D106" s="2" t="n">
        <v>6.04</v>
      </c>
      <c r="E106" s="2" t="n">
        <v>1.62</v>
      </c>
      <c r="F106" s="2" t="n">
        <v>1.8</v>
      </c>
      <c r="G106" s="2" t="n">
        <v>1.23</v>
      </c>
      <c r="H106" s="2" t="n">
        <v>0.02</v>
      </c>
      <c r="I106" s="2" t="n">
        <v>0.16</v>
      </c>
      <c r="J106" s="2" t="n">
        <v>0</v>
      </c>
      <c r="K106" s="2" t="n">
        <v>0.12</v>
      </c>
      <c r="L106" s="2" t="n">
        <v>0</v>
      </c>
      <c r="M106" s="2" t="n">
        <v>0</v>
      </c>
      <c r="N106" s="2" t="n">
        <v>0</v>
      </c>
      <c r="O106" s="2" t="n">
        <v>0</v>
      </c>
      <c r="P106" s="2" t="n">
        <v>0.88</v>
      </c>
      <c r="Q106" s="2">
        <f>SUM(B106:P106)</f>
        <v/>
      </c>
      <c r="R106" s="25" t="n"/>
      <c r="S106" s="69">
        <f>(B106/$Q106)</f>
        <v/>
      </c>
      <c r="T106" s="69">
        <f>(C106/$Q106)</f>
        <v/>
      </c>
      <c r="U106" s="69">
        <f>(D106/$Q106)</f>
        <v/>
      </c>
      <c r="V106" s="69">
        <f>(E106/$Q106)</f>
        <v/>
      </c>
      <c r="W106" s="69">
        <f>(F106/$Q106)</f>
        <v/>
      </c>
      <c r="X106" s="69">
        <f>(G106/$Q106)</f>
        <v/>
      </c>
      <c r="Y106" s="69">
        <f>(H106/$Q106)</f>
        <v/>
      </c>
      <c r="Z106" s="69">
        <f>(I106/$Q106)</f>
        <v/>
      </c>
      <c r="AA106" s="69">
        <f>(J106/$Q106)</f>
        <v/>
      </c>
      <c r="AB106" s="69">
        <f>(K106/$Q106)</f>
        <v/>
      </c>
      <c r="AC106" s="69">
        <f>(L106/$Q106)</f>
        <v/>
      </c>
      <c r="AD106" s="69">
        <f>(M106/$Q106)</f>
        <v/>
      </c>
      <c r="AE106" s="69">
        <f>(N106/$Q106)</f>
        <v/>
      </c>
      <c r="AF106" s="69">
        <f>(O106/$Q106)</f>
        <v/>
      </c>
      <c r="AG106" s="69">
        <f>(P106/$Q106)</f>
        <v/>
      </c>
      <c r="AH106" s="69">
        <f>SUM(V106:X106)</f>
        <v/>
      </c>
      <c r="AI106" s="82">
        <f>SUM(Y106:AF106)</f>
        <v/>
      </c>
      <c r="AJ106" s="80">
        <f>SUM(AG106+AI106)</f>
        <v/>
      </c>
      <c r="AK106" s="81">
        <f>AJ106+AH106</f>
        <v/>
      </c>
      <c r="AL106" s="63">
        <f>SUM(V106,Y106:AG106)</f>
        <v/>
      </c>
      <c r="AM106" s="88">
        <f>SUM(W106:X106)</f>
        <v/>
      </c>
      <c r="AN106" s="88" t="n"/>
    </row>
    <row r="107" hidden="1" ht="15.75" customFormat="1" customHeight="1" s="2">
      <c r="A107" s="9" t="n">
        <v>45138</v>
      </c>
      <c r="B107" s="2" t="n">
        <v>10.82</v>
      </c>
      <c r="C107" s="2" t="n">
        <v>0.36</v>
      </c>
      <c r="D107" s="2" t="n">
        <v>5.66</v>
      </c>
      <c r="E107" s="2" t="n">
        <v>1.28</v>
      </c>
      <c r="F107" s="2" t="n">
        <v>2.34</v>
      </c>
      <c r="G107" s="2" t="n">
        <v>1.34</v>
      </c>
      <c r="H107" s="2" t="n">
        <v>0</v>
      </c>
      <c r="I107" s="2" t="n">
        <v>0.2</v>
      </c>
      <c r="J107" s="2" t="n">
        <v>0</v>
      </c>
      <c r="K107" s="2" t="n">
        <v>0.1</v>
      </c>
      <c r="L107" s="2" t="n">
        <v>0.06</v>
      </c>
      <c r="M107" s="2" t="n">
        <v>0</v>
      </c>
      <c r="N107" s="2" t="n">
        <v>0</v>
      </c>
      <c r="O107" s="2" t="n">
        <v>0</v>
      </c>
      <c r="P107" s="2" t="n">
        <v>1.76</v>
      </c>
      <c r="Q107" s="2">
        <f>SUM(B107:P107)</f>
        <v/>
      </c>
      <c r="R107" s="25" t="n"/>
      <c r="S107" s="69">
        <f>(B107/$Q107)</f>
        <v/>
      </c>
      <c r="T107" s="69">
        <f>(C107/$Q107)</f>
        <v/>
      </c>
      <c r="U107" s="69">
        <f>(D107/$Q107)</f>
        <v/>
      </c>
      <c r="V107" s="69">
        <f>(E107/$Q107)</f>
        <v/>
      </c>
      <c r="W107" s="69">
        <f>(F107/$Q107)</f>
        <v/>
      </c>
      <c r="X107" s="69">
        <f>(G107/$Q107)</f>
        <v/>
      </c>
      <c r="Y107" s="69">
        <f>(H107/$Q107)</f>
        <v/>
      </c>
      <c r="Z107" s="69">
        <f>(I107/$Q107)</f>
        <v/>
      </c>
      <c r="AA107" s="69">
        <f>(J107/$Q107)</f>
        <v/>
      </c>
      <c r="AB107" s="69">
        <f>(K107/$Q107)</f>
        <v/>
      </c>
      <c r="AC107" s="69">
        <f>(L107/$Q107)</f>
        <v/>
      </c>
      <c r="AD107" s="69">
        <f>(M107/$Q107)</f>
        <v/>
      </c>
      <c r="AE107" s="69">
        <f>(N107/$Q107)</f>
        <v/>
      </c>
      <c r="AF107" s="69">
        <f>(O107/$Q107)</f>
        <v/>
      </c>
      <c r="AG107" s="69">
        <f>(P107/$Q107)</f>
        <v/>
      </c>
      <c r="AH107" s="69">
        <f>SUM(V107:X107)</f>
        <v/>
      </c>
      <c r="AI107" s="82">
        <f>SUM(Y107:AF107)</f>
        <v/>
      </c>
      <c r="AJ107" s="80">
        <f>SUM(AG107+AI107)</f>
        <v/>
      </c>
      <c r="AK107" s="81">
        <f>AJ107+AH107</f>
        <v/>
      </c>
      <c r="AL107" s="63">
        <f>SUM(V107,Y107:AG107)</f>
        <v/>
      </c>
      <c r="AM107" s="88">
        <f>SUM(W107:X107)</f>
        <v/>
      </c>
      <c r="AN107" s="88" t="n"/>
    </row>
    <row r="108" hidden="1" ht="15.75" customFormat="1" customHeight="1" s="2">
      <c r="A108" s="9" t="n">
        <v>45146</v>
      </c>
      <c r="B108" s="2" t="n">
        <v>15.7</v>
      </c>
      <c r="C108" s="2" t="n">
        <v>0.36</v>
      </c>
      <c r="D108" s="2" t="n">
        <v>4.12</v>
      </c>
      <c r="E108" s="2" t="n">
        <v>1.38</v>
      </c>
      <c r="F108" s="2" t="n">
        <v>1.5</v>
      </c>
      <c r="G108" s="2" t="n">
        <v>1.44</v>
      </c>
      <c r="H108" s="2" t="n">
        <v>0</v>
      </c>
      <c r="I108" s="2" t="n">
        <v>0.12</v>
      </c>
      <c r="J108" s="2" t="n">
        <v>0</v>
      </c>
      <c r="K108" s="2" t="n">
        <v>0</v>
      </c>
      <c r="L108" s="2" t="n">
        <v>0.02</v>
      </c>
      <c r="M108" s="2" t="n">
        <v>0</v>
      </c>
      <c r="N108" s="2" t="n">
        <v>0</v>
      </c>
      <c r="O108" s="2" t="n">
        <v>0</v>
      </c>
      <c r="P108" s="2" t="n">
        <v>0.76</v>
      </c>
      <c r="Q108" s="2">
        <f>SUM(B108:P108)</f>
        <v/>
      </c>
      <c r="R108" s="25" t="n"/>
      <c r="S108" s="69">
        <f>(B108/$Q108)</f>
        <v/>
      </c>
      <c r="T108" s="69">
        <f>(C108/$Q108)</f>
        <v/>
      </c>
      <c r="U108" s="69">
        <f>(D108/$Q108)</f>
        <v/>
      </c>
      <c r="V108" s="69">
        <f>(E108/$Q108)</f>
        <v/>
      </c>
      <c r="W108" s="69">
        <f>(F108/$Q108)</f>
        <v/>
      </c>
      <c r="X108" s="69">
        <f>(G108/$Q108)</f>
        <v/>
      </c>
      <c r="Y108" s="69">
        <f>(H108/$Q108)</f>
        <v/>
      </c>
      <c r="Z108" s="69">
        <f>(I108/$Q108)</f>
        <v/>
      </c>
      <c r="AA108" s="69">
        <f>(J108/$Q108)</f>
        <v/>
      </c>
      <c r="AB108" s="69">
        <f>(K108/$Q108)</f>
        <v/>
      </c>
      <c r="AC108" s="69">
        <f>(L108/$Q108)</f>
        <v/>
      </c>
      <c r="AD108" s="69">
        <f>(M108/$Q108)</f>
        <v/>
      </c>
      <c r="AE108" s="69">
        <f>(N108/$Q108)</f>
        <v/>
      </c>
      <c r="AF108" s="69">
        <f>(O108/$Q108)</f>
        <v/>
      </c>
      <c r="AG108" s="69">
        <f>(P108/$Q108)</f>
        <v/>
      </c>
      <c r="AH108" s="83">
        <f>SUM(V108:X108)</f>
        <v/>
      </c>
      <c r="AI108" s="82">
        <f>SUM(Y108:AF108)</f>
        <v/>
      </c>
      <c r="AJ108" s="80">
        <f>SUM(AG108+AI108)</f>
        <v/>
      </c>
      <c r="AK108" s="81">
        <f>AJ108+AH108</f>
        <v/>
      </c>
      <c r="AL108" s="63">
        <f>SUM(V108,Y108:AG108)</f>
        <v/>
      </c>
      <c r="AM108" s="88">
        <f>SUM(W108:X108)</f>
        <v/>
      </c>
      <c r="AN108" s="88" t="n"/>
    </row>
    <row r="109" hidden="1" ht="15.75" customFormat="1" customHeight="1" s="2">
      <c r="A109" s="9" t="n">
        <v>45150</v>
      </c>
      <c r="B109" s="2" t="n">
        <v>11.86</v>
      </c>
      <c r="C109" s="2" t="n">
        <v>0.3</v>
      </c>
      <c r="D109" s="2" t="n">
        <v>5.44</v>
      </c>
      <c r="E109" s="2" t="n">
        <v>0.84</v>
      </c>
      <c r="F109" s="2" t="n">
        <v>1.72</v>
      </c>
      <c r="G109" s="2" t="n">
        <v>1.46</v>
      </c>
      <c r="H109" s="2" t="n">
        <v>0</v>
      </c>
      <c r="I109" s="2" t="n">
        <v>0.06</v>
      </c>
      <c r="J109" s="2" t="n">
        <v>0</v>
      </c>
      <c r="K109" s="2" t="n">
        <v>0.1</v>
      </c>
      <c r="L109" s="2" t="n">
        <v>0</v>
      </c>
      <c r="M109" s="2" t="n">
        <v>0</v>
      </c>
      <c r="N109" s="2" t="n">
        <v>0</v>
      </c>
      <c r="O109" s="2" t="n">
        <v>0</v>
      </c>
      <c r="P109" s="2" t="n">
        <v>1.04</v>
      </c>
      <c r="Q109" s="2">
        <f>SUM(B109:P109)</f>
        <v/>
      </c>
      <c r="R109" s="25" t="n"/>
      <c r="S109" s="69">
        <f>(B109/$Q109)</f>
        <v/>
      </c>
      <c r="T109" s="69">
        <f>(C109/$Q109)</f>
        <v/>
      </c>
      <c r="U109" s="69">
        <f>(D109/$Q109)</f>
        <v/>
      </c>
      <c r="V109" s="69">
        <f>(E109/$Q109)</f>
        <v/>
      </c>
      <c r="W109" s="69">
        <f>(F109/$Q109)</f>
        <v/>
      </c>
      <c r="X109" s="69">
        <f>(G109/$Q109)</f>
        <v/>
      </c>
      <c r="Y109" s="69">
        <f>(H109/$Q109)</f>
        <v/>
      </c>
      <c r="Z109" s="69">
        <f>(I109/$Q109)</f>
        <v/>
      </c>
      <c r="AA109" s="69">
        <f>(J109/$Q109)</f>
        <v/>
      </c>
      <c r="AB109" s="69">
        <f>(K109/$Q109)</f>
        <v/>
      </c>
      <c r="AC109" s="69">
        <f>(L109/$Q109)</f>
        <v/>
      </c>
      <c r="AD109" s="69">
        <f>(M109/$Q109)</f>
        <v/>
      </c>
      <c r="AE109" s="69">
        <f>(N109/$Q109)</f>
        <v/>
      </c>
      <c r="AF109" s="69">
        <f>(O109/$Q109)</f>
        <v/>
      </c>
      <c r="AG109" s="69">
        <f>(P109/$Q109)</f>
        <v/>
      </c>
      <c r="AH109" s="83">
        <f>SUM(V109:X109)</f>
        <v/>
      </c>
      <c r="AI109" s="82">
        <f>SUM(Y109:AF109)</f>
        <v/>
      </c>
      <c r="AJ109" s="80">
        <f>SUM(AG109+AI109)</f>
        <v/>
      </c>
      <c r="AK109" s="81">
        <f>AJ109+AH109</f>
        <v/>
      </c>
      <c r="AL109" s="63">
        <f>SUM(V109,Y109:AG109)</f>
        <v/>
      </c>
      <c r="AM109" s="88">
        <f>SUM(W109:X109)</f>
        <v/>
      </c>
      <c r="AN109" s="88" t="n"/>
    </row>
    <row r="110" hidden="1" ht="15.75" customFormat="1" customHeight="1" s="2">
      <c r="A110" s="9" t="n">
        <v>45159</v>
      </c>
      <c r="B110" s="2" t="n">
        <v>8.6</v>
      </c>
      <c r="C110" s="2" t="n">
        <v>0.28</v>
      </c>
      <c r="D110" s="2" t="n">
        <v>8.800000000000001</v>
      </c>
      <c r="E110" s="2" t="n">
        <v>2.2</v>
      </c>
      <c r="F110" s="2" t="n">
        <v>3.08</v>
      </c>
      <c r="G110" s="2" t="n">
        <v>2.48</v>
      </c>
      <c r="H110" s="2" t="n">
        <v>0</v>
      </c>
      <c r="I110" s="2" t="n">
        <v>0.1</v>
      </c>
      <c r="J110" s="2" t="n">
        <v>0.02</v>
      </c>
      <c r="K110" s="2" t="n">
        <v>0.12</v>
      </c>
      <c r="L110" s="2" t="n">
        <v>0.12</v>
      </c>
      <c r="M110" s="2" t="n">
        <v>0.02</v>
      </c>
      <c r="N110" s="2" t="n">
        <v>0</v>
      </c>
      <c r="O110" s="2" t="n">
        <v>0</v>
      </c>
      <c r="P110" s="2" t="n">
        <v>1</v>
      </c>
      <c r="Q110" s="2">
        <f>SUM(B110:P110)</f>
        <v/>
      </c>
      <c r="R110" s="25" t="n"/>
      <c r="S110" s="69">
        <f>(B110/$Q110)</f>
        <v/>
      </c>
      <c r="T110" s="69">
        <f>(C110/$Q110)</f>
        <v/>
      </c>
      <c r="U110" s="69">
        <f>(D110/$Q110)</f>
        <v/>
      </c>
      <c r="V110" s="69">
        <f>(E110/$Q110)</f>
        <v/>
      </c>
      <c r="W110" s="69">
        <f>(F110/$Q110)</f>
        <v/>
      </c>
      <c r="X110" s="69">
        <f>(G110/$Q110)</f>
        <v/>
      </c>
      <c r="Y110" s="69">
        <f>(H110/$Q110)</f>
        <v/>
      </c>
      <c r="Z110" s="69">
        <f>(I110/$Q110)</f>
        <v/>
      </c>
      <c r="AA110" s="69">
        <f>(J110/$Q110)</f>
        <v/>
      </c>
      <c r="AB110" s="69">
        <f>(K110/$Q110)</f>
        <v/>
      </c>
      <c r="AC110" s="69">
        <f>(L110/$Q110)</f>
        <v/>
      </c>
      <c r="AD110" s="69">
        <f>(M110/$Q110)</f>
        <v/>
      </c>
      <c r="AE110" s="69">
        <f>(N110/$Q110)</f>
        <v/>
      </c>
      <c r="AF110" s="69">
        <f>(O110/$Q110)</f>
        <v/>
      </c>
      <c r="AG110" s="69">
        <f>(P110/$Q110)</f>
        <v/>
      </c>
      <c r="AH110" s="83">
        <f>SUM(V110:X110)</f>
        <v/>
      </c>
      <c r="AI110" s="82">
        <f>SUM(Y110:AF110)</f>
        <v/>
      </c>
      <c r="AJ110" s="80">
        <f>SUM(AG110+AI110)</f>
        <v/>
      </c>
      <c r="AK110" s="81">
        <f>AJ110+AH110</f>
        <v/>
      </c>
      <c r="AL110" s="63">
        <f>SUM(V110,Y110:AG110)</f>
        <v/>
      </c>
      <c r="AM110" s="88">
        <f>SUM(W110:X110)</f>
        <v/>
      </c>
      <c r="AN110" s="88" t="n"/>
    </row>
    <row r="111" hidden="1" ht="15.75" customFormat="1" customHeight="1" s="2">
      <c r="A111" s="9" t="n">
        <v>45166</v>
      </c>
      <c r="B111" s="2" t="n">
        <v>9.720000000000001</v>
      </c>
      <c r="C111" s="2" t="n">
        <v>0.3</v>
      </c>
      <c r="D111" s="2" t="n">
        <v>2.6</v>
      </c>
      <c r="E111" s="2" t="n">
        <v>1.22</v>
      </c>
      <c r="F111" s="2" t="n">
        <v>3.1</v>
      </c>
      <c r="G111" s="2" t="n">
        <v>0.82</v>
      </c>
      <c r="H111" s="2" t="n">
        <v>0.02</v>
      </c>
      <c r="I111" s="2" t="n">
        <v>0.12</v>
      </c>
      <c r="J111" s="2" t="n">
        <v>0.06</v>
      </c>
      <c r="K111" s="2" t="n">
        <v>0.06</v>
      </c>
      <c r="L111" s="2" t="n">
        <v>0.04</v>
      </c>
      <c r="M111" s="2" t="n">
        <v>0</v>
      </c>
      <c r="N111" s="2" t="n">
        <v>0.04</v>
      </c>
      <c r="O111" s="2" t="n">
        <v>0.02</v>
      </c>
      <c r="P111" s="2" t="n">
        <v>0.78</v>
      </c>
      <c r="Q111" s="2">
        <f>SUM(B111:P111)</f>
        <v/>
      </c>
      <c r="R111" s="25" t="n"/>
      <c r="S111" s="69">
        <f>(B111/$Q111)</f>
        <v/>
      </c>
      <c r="T111" s="69">
        <f>(C111/$Q111)</f>
        <v/>
      </c>
      <c r="U111" s="69">
        <f>(D111/$Q111)</f>
        <v/>
      </c>
      <c r="V111" s="69">
        <f>(E111/$Q111)</f>
        <v/>
      </c>
      <c r="W111" s="69">
        <f>(F111/$Q111)</f>
        <v/>
      </c>
      <c r="X111" s="69">
        <f>(G111/$Q111)</f>
        <v/>
      </c>
      <c r="Y111" s="69">
        <f>(H111/$Q111)</f>
        <v/>
      </c>
      <c r="Z111" s="69">
        <f>(I111/$Q111)</f>
        <v/>
      </c>
      <c r="AA111" s="69">
        <f>(J111/$Q111)</f>
        <v/>
      </c>
      <c r="AB111" s="69">
        <f>(K111/$Q111)</f>
        <v/>
      </c>
      <c r="AC111" s="69">
        <f>(L111/$Q111)</f>
        <v/>
      </c>
      <c r="AD111" s="69">
        <f>(M111/$Q111)</f>
        <v/>
      </c>
      <c r="AE111" s="69">
        <f>(N111/$Q111)</f>
        <v/>
      </c>
      <c r="AF111" s="69">
        <f>(O111/$Q111)</f>
        <v/>
      </c>
      <c r="AG111" s="69">
        <f>(P111/$Q111)</f>
        <v/>
      </c>
      <c r="AH111" s="83">
        <f>SUM(V111:X111)</f>
        <v/>
      </c>
      <c r="AI111" s="82">
        <f>SUM(Y111:AF111)</f>
        <v/>
      </c>
      <c r="AJ111" s="80">
        <f>SUM(AG111+AI111)</f>
        <v/>
      </c>
      <c r="AK111" s="81">
        <f>AJ111+AH111</f>
        <v/>
      </c>
      <c r="AL111" s="63">
        <f>SUM(V111,Y111:AG111)</f>
        <v/>
      </c>
      <c r="AM111" s="88">
        <f>SUM(W111:X111)</f>
        <v/>
      </c>
      <c r="AN111" s="88" t="n"/>
    </row>
    <row r="112" hidden="1" ht="15.75" customFormat="1" customHeight="1" s="2">
      <c r="A112" s="9" t="n">
        <v>45170</v>
      </c>
      <c r="B112" s="2" t="n">
        <v>9.94</v>
      </c>
      <c r="C112" s="2" t="n">
        <v>0.2</v>
      </c>
      <c r="D112" s="2" t="n">
        <v>5.62</v>
      </c>
      <c r="E112" s="2" t="n">
        <v>2.5</v>
      </c>
      <c r="F112" s="2" t="n">
        <v>3.24</v>
      </c>
      <c r="G112" s="2" t="n">
        <v>1.32</v>
      </c>
      <c r="H112" s="2" t="n">
        <v>0.08</v>
      </c>
      <c r="I112" s="2" t="n">
        <v>0.24</v>
      </c>
      <c r="J112" s="2" t="n">
        <v>0.14</v>
      </c>
      <c r="K112" s="2" t="n">
        <v>0.24</v>
      </c>
      <c r="L112" s="2" t="n">
        <v>0.02</v>
      </c>
      <c r="M112" s="2" t="n">
        <v>0</v>
      </c>
      <c r="N112" s="2" t="n">
        <v>0</v>
      </c>
      <c r="O112" s="2" t="n">
        <v>0</v>
      </c>
      <c r="P112" s="2" t="n">
        <v>1.22</v>
      </c>
      <c r="Q112" s="2">
        <f>SUM(B112:P112)</f>
        <v/>
      </c>
      <c r="R112" s="25" t="n"/>
      <c r="S112" s="69">
        <f>(B112/$Q112)</f>
        <v/>
      </c>
      <c r="T112" s="69">
        <f>(C112/$Q112)</f>
        <v/>
      </c>
      <c r="U112" s="69">
        <f>(D112/$Q112)</f>
        <v/>
      </c>
      <c r="V112" s="69">
        <f>(E112/$Q112)</f>
        <v/>
      </c>
      <c r="W112" s="69">
        <f>(F112/$Q112)</f>
        <v/>
      </c>
      <c r="X112" s="69">
        <f>(G112/$Q112)</f>
        <v/>
      </c>
      <c r="Y112" s="69">
        <f>(H112/$Q112)</f>
        <v/>
      </c>
      <c r="Z112" s="69">
        <f>(I112/$Q112)</f>
        <v/>
      </c>
      <c r="AA112" s="69">
        <f>(J112/$Q112)</f>
        <v/>
      </c>
      <c r="AB112" s="69">
        <f>(K112/$Q112)</f>
        <v/>
      </c>
      <c r="AC112" s="69">
        <f>(L112/$Q112)</f>
        <v/>
      </c>
      <c r="AD112" s="69">
        <f>(M112/$Q112)</f>
        <v/>
      </c>
      <c r="AE112" s="69">
        <f>(N112/$Q112)</f>
        <v/>
      </c>
      <c r="AF112" s="69">
        <f>(O112/$Q112)</f>
        <v/>
      </c>
      <c r="AG112" s="69">
        <f>(P112/$Q112)</f>
        <v/>
      </c>
      <c r="AH112" s="83">
        <f>SUM(V112:X112)</f>
        <v/>
      </c>
      <c r="AI112" s="82">
        <f>SUM(Y112:AF112)</f>
        <v/>
      </c>
      <c r="AJ112" s="80">
        <f>SUM(AG112+AI112)</f>
        <v/>
      </c>
      <c r="AK112" s="81">
        <f>AJ112+AH112</f>
        <v/>
      </c>
      <c r="AL112" s="63">
        <f>SUM(V112,Y112:AG112)</f>
        <v/>
      </c>
      <c r="AM112" s="88">
        <f>SUM(W112:X112)</f>
        <v/>
      </c>
      <c r="AN112" s="88" t="n"/>
    </row>
    <row r="113" hidden="1" ht="15.75" customFormat="1" customHeight="1" s="2">
      <c r="A113" s="9" t="n">
        <v>45173</v>
      </c>
      <c r="B113" s="2" t="n">
        <v>11.92</v>
      </c>
      <c r="C113" s="2" t="n">
        <v>0.26</v>
      </c>
      <c r="D113" s="2" t="n">
        <v>3.66</v>
      </c>
      <c r="E113" s="2" t="n">
        <v>1.48</v>
      </c>
      <c r="F113" s="2" t="n">
        <v>2.5</v>
      </c>
      <c r="G113" s="2" t="n">
        <v>1.32</v>
      </c>
      <c r="H113" s="2" t="n">
        <v>0</v>
      </c>
      <c r="I113" s="2" t="n">
        <v>0.24</v>
      </c>
      <c r="J113" s="2" t="n">
        <v>0.04</v>
      </c>
      <c r="K113" s="2" t="n">
        <v>0.12</v>
      </c>
      <c r="L113" s="2" t="n">
        <v>0.06</v>
      </c>
      <c r="M113" s="2" t="n">
        <v>0</v>
      </c>
      <c r="N113" s="2" t="n">
        <v>0.02</v>
      </c>
      <c r="O113" s="2" t="n">
        <v>0</v>
      </c>
      <c r="P113" s="2" t="n">
        <v>0.98</v>
      </c>
      <c r="Q113" s="2">
        <f>SUM(B113:P113)</f>
        <v/>
      </c>
      <c r="R113" s="25" t="n"/>
      <c r="S113" s="69">
        <f>(B113/$Q113)</f>
        <v/>
      </c>
      <c r="T113" s="69">
        <f>(C113/$Q113)</f>
        <v/>
      </c>
      <c r="U113" s="69">
        <f>(D113/$Q113)</f>
        <v/>
      </c>
      <c r="V113" s="69">
        <f>(E113/$Q113)</f>
        <v/>
      </c>
      <c r="W113" s="69">
        <f>(F113/$Q113)</f>
        <v/>
      </c>
      <c r="X113" s="69">
        <f>(G113/$Q113)</f>
        <v/>
      </c>
      <c r="Y113" s="69">
        <f>(H113/$Q113)</f>
        <v/>
      </c>
      <c r="Z113" s="69">
        <f>(I113/$Q113)</f>
        <v/>
      </c>
      <c r="AA113" s="69">
        <f>(J113/$Q113)</f>
        <v/>
      </c>
      <c r="AB113" s="69">
        <f>(K113/$Q113)</f>
        <v/>
      </c>
      <c r="AC113" s="69">
        <f>(L113/$Q113)</f>
        <v/>
      </c>
      <c r="AD113" s="69">
        <f>(M113/$Q113)</f>
        <v/>
      </c>
      <c r="AE113" s="69">
        <f>(N113/$Q113)</f>
        <v/>
      </c>
      <c r="AF113" s="69">
        <f>(O113/$Q113)</f>
        <v/>
      </c>
      <c r="AG113" s="69">
        <f>(P113/$Q113)</f>
        <v/>
      </c>
      <c r="AH113" s="83">
        <f>SUM(V113:X113)</f>
        <v/>
      </c>
      <c r="AI113" s="82">
        <f>SUM(Y113:AF113)</f>
        <v/>
      </c>
      <c r="AJ113" s="80">
        <f>SUM(AG113+AI113)</f>
        <v/>
      </c>
      <c r="AK113" s="81">
        <f>AJ113+AH113</f>
        <v/>
      </c>
      <c r="AL113" s="63">
        <f>SUM(V113,Y113:AG113)</f>
        <v/>
      </c>
      <c r="AM113" s="88">
        <f>SUM(W113:X113)</f>
        <v/>
      </c>
      <c r="AN113" s="88" t="n"/>
    </row>
    <row r="114" hidden="1" ht="15.75" customFormat="1" customHeight="1" s="2">
      <c r="A114" s="9" t="n">
        <v>45182</v>
      </c>
      <c r="B114" s="2" t="n">
        <v>8.58</v>
      </c>
      <c r="C114" s="2" t="n">
        <v>0.12</v>
      </c>
      <c r="D114" s="2" t="n">
        <v>4.26</v>
      </c>
      <c r="E114" s="2" t="n">
        <v>1.1</v>
      </c>
      <c r="F114" s="2" t="n">
        <v>0.9</v>
      </c>
      <c r="G114" s="2" t="n">
        <v>0.8</v>
      </c>
      <c r="H114" s="2" t="n">
        <v>0</v>
      </c>
      <c r="I114" s="2" t="n">
        <v>0.02</v>
      </c>
      <c r="J114" s="2" t="n">
        <v>0</v>
      </c>
      <c r="K114" s="2" t="n">
        <v>0</v>
      </c>
      <c r="L114" s="2" t="n">
        <v>0.06</v>
      </c>
      <c r="M114" s="2" t="n">
        <v>0</v>
      </c>
      <c r="N114" s="2" t="n">
        <v>0</v>
      </c>
      <c r="O114" s="2" t="n">
        <v>0</v>
      </c>
      <c r="P114" s="2" t="n">
        <v>1.12</v>
      </c>
      <c r="Q114" s="2">
        <f>SUM(B114:P114)</f>
        <v/>
      </c>
      <c r="R114" s="25" t="n"/>
      <c r="S114" s="69">
        <f>(B114/$Q114)</f>
        <v/>
      </c>
      <c r="T114" s="69">
        <f>(C114/$Q114)</f>
        <v/>
      </c>
      <c r="U114" s="69">
        <f>(D114/$Q114)</f>
        <v/>
      </c>
      <c r="V114" s="69">
        <f>(E114/$Q114)</f>
        <v/>
      </c>
      <c r="W114" s="69">
        <f>(F114/$Q114)</f>
        <v/>
      </c>
      <c r="X114" s="69">
        <f>(G114/$Q114)</f>
        <v/>
      </c>
      <c r="Y114" s="69">
        <f>(H114/$Q114)</f>
        <v/>
      </c>
      <c r="Z114" s="69">
        <f>(I114/$Q114)</f>
        <v/>
      </c>
      <c r="AA114" s="69">
        <f>(J114/$Q114)</f>
        <v/>
      </c>
      <c r="AB114" s="69">
        <f>(K114/$Q114)</f>
        <v/>
      </c>
      <c r="AC114" s="69">
        <f>(L114/$Q114)</f>
        <v/>
      </c>
      <c r="AD114" s="69">
        <f>(M114/$Q114)</f>
        <v/>
      </c>
      <c r="AE114" s="69">
        <f>(N114/$Q114)</f>
        <v/>
      </c>
      <c r="AF114" s="69">
        <f>(O114/$Q114)</f>
        <v/>
      </c>
      <c r="AG114" s="69">
        <f>(P114/$Q114)</f>
        <v/>
      </c>
      <c r="AH114" s="83">
        <f>SUM(V114:X114)</f>
        <v/>
      </c>
      <c r="AI114" s="82">
        <f>SUM(Y114:AF114)</f>
        <v/>
      </c>
      <c r="AJ114" s="80">
        <f>SUM(AG114+AI114)</f>
        <v/>
      </c>
      <c r="AK114" s="81">
        <f>AJ114+AH114</f>
        <v/>
      </c>
      <c r="AL114" s="63">
        <f>SUM(V114,Y114:AG114)</f>
        <v/>
      </c>
      <c r="AM114" s="88">
        <f>SUM(W114:X114)</f>
        <v/>
      </c>
      <c r="AN114" s="88" t="n"/>
    </row>
    <row r="115" hidden="1" ht="15.75" customFormat="1" customHeight="1" s="2">
      <c r="A115" s="9" t="n">
        <v>45195</v>
      </c>
      <c r="B115" s="2" t="n">
        <v>12.02</v>
      </c>
      <c r="C115" s="2" t="n">
        <v>0.34</v>
      </c>
      <c r="D115" s="2" t="n">
        <v>6.58</v>
      </c>
      <c r="E115" s="2" t="n">
        <v>2.78</v>
      </c>
      <c r="F115" s="2" t="n">
        <v>3.64</v>
      </c>
      <c r="G115" s="2" t="n">
        <v>1.36</v>
      </c>
      <c r="H115" s="2" t="n">
        <v>0</v>
      </c>
      <c r="I115" s="2" t="n">
        <v>0.36</v>
      </c>
      <c r="J115" s="2" t="n">
        <v>0.06</v>
      </c>
      <c r="K115" s="2" t="n">
        <v>0.28</v>
      </c>
      <c r="L115" s="2" t="n">
        <v>0.12</v>
      </c>
      <c r="M115" s="2" t="n">
        <v>0</v>
      </c>
      <c r="N115" s="2" t="n">
        <v>0</v>
      </c>
      <c r="O115" s="2" t="n">
        <v>0.02</v>
      </c>
      <c r="P115" s="2" t="n">
        <v>1.06</v>
      </c>
      <c r="Q115" s="2">
        <f>SUM(B115:P115)</f>
        <v/>
      </c>
      <c r="R115" s="25" t="n"/>
      <c r="S115" s="69">
        <f>(B115/$Q115)</f>
        <v/>
      </c>
      <c r="T115" s="69">
        <f>(C115/$Q115)</f>
        <v/>
      </c>
      <c r="U115" s="69">
        <f>(D115/$Q115)</f>
        <v/>
      </c>
      <c r="V115" s="69">
        <f>(E115/$Q115)</f>
        <v/>
      </c>
      <c r="W115" s="69">
        <f>(F115/$Q115)</f>
        <v/>
      </c>
      <c r="X115" s="69">
        <f>(G115/$Q115)</f>
        <v/>
      </c>
      <c r="Y115" s="69">
        <f>(H115/$Q115)</f>
        <v/>
      </c>
      <c r="Z115" s="69">
        <f>(I115/$Q115)</f>
        <v/>
      </c>
      <c r="AA115" s="69">
        <f>(J115/$Q115)</f>
        <v/>
      </c>
      <c r="AB115" s="69">
        <f>(K115/$Q115)</f>
        <v/>
      </c>
      <c r="AC115" s="69">
        <f>(L115/$Q115)</f>
        <v/>
      </c>
      <c r="AD115" s="69">
        <f>(M115/$Q115)</f>
        <v/>
      </c>
      <c r="AE115" s="69">
        <f>(N115/$Q115)</f>
        <v/>
      </c>
      <c r="AF115" s="69">
        <f>(O115/$Q115)</f>
        <v/>
      </c>
      <c r="AG115" s="69">
        <f>(P115/$Q115)</f>
        <v/>
      </c>
      <c r="AH115" s="83">
        <f>SUM(V115:X115)</f>
        <v/>
      </c>
      <c r="AI115" s="82">
        <f>SUM(Y115:AF115)</f>
        <v/>
      </c>
      <c r="AJ115" s="80">
        <f>SUM(AG115+AI115)</f>
        <v/>
      </c>
      <c r="AK115" s="81">
        <f>AJ115+AH115</f>
        <v/>
      </c>
      <c r="AL115" s="63">
        <f>SUM(V115,Y115:AG115)</f>
        <v/>
      </c>
      <c r="AM115" s="88">
        <f>SUM(W115:X115)</f>
        <v/>
      </c>
      <c r="AN115" s="88" t="n"/>
    </row>
    <row r="116" hidden="1" ht="15.75" customFormat="1" customHeight="1" s="2">
      <c r="A116" s="9" t="n">
        <v>45202</v>
      </c>
      <c r="B116" s="2" t="n">
        <v>8.140000000000001</v>
      </c>
      <c r="C116" s="2" t="n">
        <v>2.3</v>
      </c>
      <c r="D116" s="2" t="n">
        <v>4.86</v>
      </c>
      <c r="E116" s="2" t="n">
        <v>1.1</v>
      </c>
      <c r="F116" s="2" t="n">
        <v>1.5</v>
      </c>
      <c r="G116" s="2" t="n">
        <v>1.58</v>
      </c>
      <c r="H116" s="2" t="n">
        <v>0</v>
      </c>
      <c r="I116" s="2" t="n">
        <v>0.12</v>
      </c>
      <c r="J116" s="2" t="n">
        <v>0</v>
      </c>
      <c r="K116" s="2" t="n">
        <v>0.14</v>
      </c>
      <c r="L116" s="2" t="n">
        <v>0.04</v>
      </c>
      <c r="M116" s="2" t="n">
        <v>0</v>
      </c>
      <c r="N116" s="2" t="n">
        <v>0.02</v>
      </c>
      <c r="O116" s="2" t="n">
        <v>0</v>
      </c>
      <c r="P116" s="2" t="n">
        <v>1.24</v>
      </c>
      <c r="Q116" s="2">
        <f>SUM(B116:P116)</f>
        <v/>
      </c>
      <c r="R116" s="25" t="n"/>
      <c r="S116" s="69">
        <f>(B116/$Q116)</f>
        <v/>
      </c>
      <c r="T116" s="69">
        <f>(C116/$Q116)</f>
        <v/>
      </c>
      <c r="U116" s="69">
        <f>(D116/$Q116)</f>
        <v/>
      </c>
      <c r="V116" s="69">
        <f>(E116/$Q116)</f>
        <v/>
      </c>
      <c r="W116" s="69">
        <f>(F116/$Q116)</f>
        <v/>
      </c>
      <c r="X116" s="69">
        <f>(G116/$Q116)</f>
        <v/>
      </c>
      <c r="Y116" s="69">
        <f>(H116/$Q116)</f>
        <v/>
      </c>
      <c r="Z116" s="69">
        <f>(I116/$Q116)</f>
        <v/>
      </c>
      <c r="AA116" s="69">
        <f>(J116/$Q116)</f>
        <v/>
      </c>
      <c r="AB116" s="69">
        <f>(K116/$Q116)</f>
        <v/>
      </c>
      <c r="AC116" s="69">
        <f>(L116/$Q116)</f>
        <v/>
      </c>
      <c r="AD116" s="69">
        <f>(M116/$Q116)</f>
        <v/>
      </c>
      <c r="AE116" s="69">
        <f>(N116/$Q116)</f>
        <v/>
      </c>
      <c r="AF116" s="69">
        <f>(O116/$Q116)</f>
        <v/>
      </c>
      <c r="AG116" s="69">
        <f>(P116/$Q116)</f>
        <v/>
      </c>
      <c r="AH116" s="83">
        <f>SUM(V116:X116)</f>
        <v/>
      </c>
      <c r="AI116" s="82">
        <f>SUM(Y116:AF116)</f>
        <v/>
      </c>
      <c r="AJ116" s="80">
        <f>SUM(AG116+AI116)</f>
        <v/>
      </c>
      <c r="AK116" s="81">
        <f>AJ116+AH116</f>
        <v/>
      </c>
      <c r="AL116" s="63">
        <f>SUM(V116,Y116:AG116)</f>
        <v/>
      </c>
      <c r="AM116" s="88">
        <f>SUM(W116:X116)</f>
        <v/>
      </c>
      <c r="AN116" s="88" t="n"/>
    </row>
    <row r="117" hidden="1" ht="15.75" customFormat="1" customHeight="1" s="2">
      <c r="A117" s="9" t="n">
        <v>45209</v>
      </c>
      <c r="B117" s="2" t="n">
        <v>9.640000000000001</v>
      </c>
      <c r="C117" s="2" t="n">
        <v>1.54</v>
      </c>
      <c r="D117" s="2" t="n">
        <v>4.52</v>
      </c>
      <c r="E117" s="2" t="n">
        <v>2.3</v>
      </c>
      <c r="F117" s="2" t="n">
        <v>3.66</v>
      </c>
      <c r="G117" s="2" t="n">
        <v>0.44</v>
      </c>
      <c r="H117" s="2" t="n">
        <v>0.08</v>
      </c>
      <c r="I117" s="2" t="n">
        <v>0</v>
      </c>
      <c r="J117" s="2" t="n">
        <v>0</v>
      </c>
      <c r="K117" s="2" t="n">
        <v>0</v>
      </c>
      <c r="L117" s="2" t="n">
        <v>0</v>
      </c>
      <c r="M117" s="2" t="n">
        <v>0</v>
      </c>
      <c r="N117" s="2" t="n">
        <v>0</v>
      </c>
      <c r="O117" s="2" t="n">
        <v>0</v>
      </c>
      <c r="P117" s="2" t="n">
        <v>2.8</v>
      </c>
      <c r="Q117" s="2">
        <f>SUM(B117:P117)</f>
        <v/>
      </c>
      <c r="R117" s="25" t="n"/>
      <c r="S117" s="69">
        <f>(B117/$Q117)</f>
        <v/>
      </c>
      <c r="T117" s="69">
        <f>(C117/$Q117)</f>
        <v/>
      </c>
      <c r="U117" s="69">
        <f>(D117/$Q117)</f>
        <v/>
      </c>
      <c r="V117" s="69">
        <f>(E117/$Q117)</f>
        <v/>
      </c>
      <c r="W117" s="69">
        <f>(F117/$Q117)</f>
        <v/>
      </c>
      <c r="X117" s="69">
        <f>(G117/$Q117)</f>
        <v/>
      </c>
      <c r="Y117" s="69">
        <f>(H117/$Q117)</f>
        <v/>
      </c>
      <c r="Z117" s="69">
        <f>(I117/$Q117)</f>
        <v/>
      </c>
      <c r="AA117" s="69">
        <f>(J117/$Q117)</f>
        <v/>
      </c>
      <c r="AB117" s="69">
        <f>(K117/$Q117)</f>
        <v/>
      </c>
      <c r="AC117" s="69">
        <f>(L117/$Q117)</f>
        <v/>
      </c>
      <c r="AD117" s="69">
        <f>(M117/$Q117)</f>
        <v/>
      </c>
      <c r="AE117" s="69">
        <f>(N117/$Q117)</f>
        <v/>
      </c>
      <c r="AF117" s="69">
        <f>(O117/$Q117)</f>
        <v/>
      </c>
      <c r="AG117" s="69">
        <f>(P117/$Q117)</f>
        <v/>
      </c>
      <c r="AH117" s="83">
        <f>SUM(V117:X117)</f>
        <v/>
      </c>
      <c r="AI117" s="82">
        <f>SUM(Y117:AF117)</f>
        <v/>
      </c>
      <c r="AJ117" s="80">
        <f>SUM(AG117+AI117)</f>
        <v/>
      </c>
      <c r="AK117" s="81">
        <f>AJ117+AH117</f>
        <v/>
      </c>
      <c r="AL117" s="63">
        <f>SUM(V117,Y117:AG117)</f>
        <v/>
      </c>
      <c r="AM117" s="88">
        <f>SUM(W117:X117)</f>
        <v/>
      </c>
      <c r="AN117" s="88" t="n"/>
    </row>
    <row r="118" hidden="1" ht="15.75" customFormat="1" customHeight="1" s="2">
      <c r="A118" s="9" t="n">
        <v>45213</v>
      </c>
      <c r="B118" s="2" t="n">
        <v>10.02</v>
      </c>
      <c r="C118" s="2" t="n">
        <v>0.46</v>
      </c>
      <c r="D118" s="2" t="n">
        <v>6.78</v>
      </c>
      <c r="E118" s="2" t="n">
        <v>1.12</v>
      </c>
      <c r="F118" s="2" t="n">
        <v>2.44</v>
      </c>
      <c r="G118" s="2" t="n">
        <v>1.3</v>
      </c>
      <c r="H118" s="2" t="n">
        <v>0.04</v>
      </c>
      <c r="I118" s="2" t="n">
        <v>0.08</v>
      </c>
      <c r="J118" s="2" t="n">
        <v>0</v>
      </c>
      <c r="K118" s="2" t="n">
        <v>0.14</v>
      </c>
      <c r="L118" s="2" t="n">
        <v>0</v>
      </c>
      <c r="M118" s="2" t="n">
        <v>0</v>
      </c>
      <c r="N118" s="2" t="n">
        <v>0</v>
      </c>
      <c r="O118" s="2" t="n">
        <v>0</v>
      </c>
      <c r="P118" s="2" t="n">
        <v>0.68</v>
      </c>
      <c r="Q118" s="2">
        <f>SUM(B118:P118)</f>
        <v/>
      </c>
      <c r="R118" s="25" t="n"/>
      <c r="S118" s="69">
        <f>(B118/$Q118)</f>
        <v/>
      </c>
      <c r="T118" s="69">
        <f>(C118/$Q118)</f>
        <v/>
      </c>
      <c r="U118" s="69">
        <f>(D118/$Q118)</f>
        <v/>
      </c>
      <c r="V118" s="69">
        <f>(E118/$Q118)</f>
        <v/>
      </c>
      <c r="W118" s="69">
        <f>(F118/$Q118)</f>
        <v/>
      </c>
      <c r="X118" s="69">
        <f>(G118/$Q118)</f>
        <v/>
      </c>
      <c r="Y118" s="69">
        <f>(H118/$Q118)</f>
        <v/>
      </c>
      <c r="Z118" s="69">
        <f>(I118/$Q118)</f>
        <v/>
      </c>
      <c r="AA118" s="69">
        <f>(J118/$Q118)</f>
        <v/>
      </c>
      <c r="AB118" s="69">
        <f>(K118/$Q118)</f>
        <v/>
      </c>
      <c r="AC118" s="69">
        <f>(L118/$Q118)</f>
        <v/>
      </c>
      <c r="AD118" s="69">
        <f>(M118/$Q118)</f>
        <v/>
      </c>
      <c r="AE118" s="69">
        <f>(N118/$Q118)</f>
        <v/>
      </c>
      <c r="AF118" s="69">
        <f>(O118/$Q118)</f>
        <v/>
      </c>
      <c r="AG118" s="69">
        <f>(P118/$Q118)</f>
        <v/>
      </c>
      <c r="AH118" s="83">
        <f>SUM(V118:X118)</f>
        <v/>
      </c>
      <c r="AI118" s="82">
        <f>SUM(Y118:AF118)</f>
        <v/>
      </c>
      <c r="AJ118" s="80">
        <f>SUM(AG118+AI118)</f>
        <v/>
      </c>
      <c r="AK118" s="81">
        <f>AJ118+AH118</f>
        <v/>
      </c>
      <c r="AL118" s="63">
        <f>SUM(V118,Y118:AG118)</f>
        <v/>
      </c>
      <c r="AM118" s="88">
        <f>SUM(W118:X118)</f>
        <v/>
      </c>
      <c r="AN118" s="88" t="n"/>
    </row>
    <row r="119" hidden="1" ht="15.75" customFormat="1" customHeight="1" s="2">
      <c r="A119" s="9" t="n">
        <v>45219</v>
      </c>
      <c r="B119" s="2" t="n">
        <v>33.19</v>
      </c>
      <c r="C119" s="2" t="n">
        <v>0.02</v>
      </c>
      <c r="D119" s="2" t="n">
        <v>5.23</v>
      </c>
      <c r="E119" s="2" t="n">
        <v>0.32</v>
      </c>
      <c r="F119" s="2" t="n">
        <v>0.44</v>
      </c>
      <c r="G119" s="2" t="n">
        <v>0.87</v>
      </c>
      <c r="H119" s="2" t="n">
        <v>0</v>
      </c>
      <c r="I119" s="2" t="n">
        <v>0.12</v>
      </c>
      <c r="J119" s="2" t="n">
        <v>0</v>
      </c>
      <c r="K119" s="2" t="n">
        <v>0.06</v>
      </c>
      <c r="L119" s="2" t="n">
        <v>0.02</v>
      </c>
      <c r="M119" s="2" t="n">
        <v>0</v>
      </c>
      <c r="N119" s="2" t="n">
        <v>0.02</v>
      </c>
      <c r="O119" s="2" t="n">
        <v>0</v>
      </c>
      <c r="P119" s="2" t="n">
        <v>0.9</v>
      </c>
      <c r="Q119" s="2">
        <f>SUM(B119:P119)</f>
        <v/>
      </c>
      <c r="R119" s="25" t="n"/>
      <c r="S119" s="69">
        <f>(B119/$Q119)</f>
        <v/>
      </c>
      <c r="T119" s="69">
        <f>(C119/$Q119)</f>
        <v/>
      </c>
      <c r="U119" s="69">
        <f>(D119/$Q119)</f>
        <v/>
      </c>
      <c r="V119" s="69">
        <f>(E119/$Q119)</f>
        <v/>
      </c>
      <c r="W119" s="69">
        <f>(F119/$Q119)</f>
        <v/>
      </c>
      <c r="X119" s="69">
        <f>(G119/$Q119)</f>
        <v/>
      </c>
      <c r="Y119" s="69">
        <f>(H119/$Q119)</f>
        <v/>
      </c>
      <c r="Z119" s="69">
        <f>(I119/$Q119)</f>
        <v/>
      </c>
      <c r="AA119" s="69">
        <f>(J119/$Q119)</f>
        <v/>
      </c>
      <c r="AB119" s="69">
        <f>(K119/$Q119)</f>
        <v/>
      </c>
      <c r="AC119" s="69">
        <f>(L119/$Q119)</f>
        <v/>
      </c>
      <c r="AD119" s="69">
        <f>(M119/$Q119)</f>
        <v/>
      </c>
      <c r="AE119" s="69">
        <f>(N119/$Q119)</f>
        <v/>
      </c>
      <c r="AF119" s="69">
        <f>(O119/$Q119)</f>
        <v/>
      </c>
      <c r="AG119" s="69">
        <f>(P119/$Q119)</f>
        <v/>
      </c>
      <c r="AH119" s="83">
        <f>SUM(V119:X119)</f>
        <v/>
      </c>
      <c r="AI119" s="82">
        <f>SUM(Y119:AF119)</f>
        <v/>
      </c>
      <c r="AJ119" s="80">
        <f>SUM(AG119+AI119)</f>
        <v/>
      </c>
      <c r="AK119" s="81">
        <f>AJ119+AH119</f>
        <v/>
      </c>
      <c r="AL119" s="63">
        <f>SUM(V119,Y119:AG119)</f>
        <v/>
      </c>
      <c r="AM119" s="88">
        <f>SUM(W119:X119)</f>
        <v/>
      </c>
      <c r="AN119" s="88" t="n"/>
    </row>
    <row r="120" hidden="1" ht="15.75" customFormat="1" customHeight="1" s="2">
      <c r="A120" s="9" t="n">
        <v>45223</v>
      </c>
      <c r="B120" s="2" t="n">
        <v>11.92</v>
      </c>
      <c r="C120" s="2" t="n">
        <v>0.36</v>
      </c>
      <c r="D120" s="2" t="n">
        <v>4.48</v>
      </c>
      <c r="E120" s="2" t="n">
        <v>1.68</v>
      </c>
      <c r="F120" s="2" t="n">
        <v>2.78</v>
      </c>
      <c r="G120" s="2" t="n">
        <v>1.16</v>
      </c>
      <c r="H120" s="2" t="n">
        <v>0.04</v>
      </c>
      <c r="I120" s="2" t="n">
        <v>0.18</v>
      </c>
      <c r="J120" s="2" t="n">
        <v>0</v>
      </c>
      <c r="K120" s="2" t="n">
        <v>0.16</v>
      </c>
      <c r="L120" s="2" t="n">
        <v>0.04</v>
      </c>
      <c r="M120" s="2" t="n">
        <v>0</v>
      </c>
      <c r="N120" s="2" t="n">
        <v>0.02</v>
      </c>
      <c r="O120" s="2" t="n">
        <v>0</v>
      </c>
      <c r="P120" s="2" t="n">
        <v>1.18</v>
      </c>
      <c r="Q120" s="2">
        <f>SUM(B120:P120)</f>
        <v/>
      </c>
      <c r="R120" s="25" t="n"/>
      <c r="S120" s="69">
        <f>(B120/$Q120)</f>
        <v/>
      </c>
      <c r="T120" s="69">
        <f>(C120/$Q120)</f>
        <v/>
      </c>
      <c r="U120" s="69">
        <f>(D120/$Q120)</f>
        <v/>
      </c>
      <c r="V120" s="69">
        <f>(E120/$Q120)</f>
        <v/>
      </c>
      <c r="W120" s="69">
        <f>(F120/$Q120)</f>
        <v/>
      </c>
      <c r="X120" s="69">
        <f>(G120/$Q120)</f>
        <v/>
      </c>
      <c r="Y120" s="69">
        <f>(H120/$Q120)</f>
        <v/>
      </c>
      <c r="Z120" s="69">
        <f>(I120/$Q120)</f>
        <v/>
      </c>
      <c r="AA120" s="69">
        <f>(J120/$Q120)</f>
        <v/>
      </c>
      <c r="AB120" s="69">
        <f>(K120/$Q120)</f>
        <v/>
      </c>
      <c r="AC120" s="69">
        <f>(L120/$Q120)</f>
        <v/>
      </c>
      <c r="AD120" s="69">
        <f>(M120/$Q120)</f>
        <v/>
      </c>
      <c r="AE120" s="69">
        <f>(N120/$Q120)</f>
        <v/>
      </c>
      <c r="AF120" s="69">
        <f>(O120/$Q120)</f>
        <v/>
      </c>
      <c r="AG120" s="69">
        <f>(P120/$Q120)</f>
        <v/>
      </c>
      <c r="AH120" s="83">
        <f>SUM(V120:X120)</f>
        <v/>
      </c>
      <c r="AI120" s="82">
        <f>SUM(Y120:AF120)</f>
        <v/>
      </c>
      <c r="AJ120" s="80">
        <f>SUM(AG120+AI120)</f>
        <v/>
      </c>
      <c r="AK120" s="81">
        <f>AJ120+AH120</f>
        <v/>
      </c>
      <c r="AL120" s="63">
        <f>SUM(V120,Y120:AG120)</f>
        <v/>
      </c>
      <c r="AM120" s="88">
        <f>SUM(W120:X120)</f>
        <v/>
      </c>
      <c r="AN120" s="88" t="n"/>
    </row>
    <row r="121" hidden="1" ht="15.75" customFormat="1" customHeight="1" s="2">
      <c r="A121" s="9" t="n">
        <v>45233</v>
      </c>
      <c r="B121" s="2" t="n">
        <v>17.2</v>
      </c>
      <c r="C121" s="2" t="n">
        <v>1.46</v>
      </c>
      <c r="D121" s="2" t="n">
        <v>4.78</v>
      </c>
      <c r="E121" s="2" t="n">
        <v>2.3</v>
      </c>
      <c r="F121" s="2" t="n">
        <v>3.58</v>
      </c>
      <c r="G121" s="2" t="n">
        <v>1.68</v>
      </c>
      <c r="H121" s="2" t="n">
        <v>0.02</v>
      </c>
      <c r="I121" s="2" t="n">
        <v>0</v>
      </c>
      <c r="J121" s="2" t="n">
        <v>0</v>
      </c>
      <c r="K121" s="2" t="n">
        <v>0.02</v>
      </c>
      <c r="L121" s="2" t="n">
        <v>0</v>
      </c>
      <c r="M121" s="2" t="n">
        <v>0</v>
      </c>
      <c r="N121" s="2" t="n">
        <v>0.02</v>
      </c>
      <c r="O121" s="2" t="n">
        <v>0</v>
      </c>
      <c r="P121" s="2" t="n">
        <v>1.28</v>
      </c>
      <c r="Q121" s="2">
        <f>SUM(B121:P121)</f>
        <v/>
      </c>
      <c r="R121" s="25" t="n"/>
      <c r="S121" s="69">
        <f>(B121/$Q121)</f>
        <v/>
      </c>
      <c r="T121" s="69">
        <f>(C121/$Q121)</f>
        <v/>
      </c>
      <c r="U121" s="69">
        <f>(D121/$Q121)</f>
        <v/>
      </c>
      <c r="V121" s="69">
        <f>(E121/$Q121)</f>
        <v/>
      </c>
      <c r="W121" s="69">
        <f>(F121/$Q121)</f>
        <v/>
      </c>
      <c r="X121" s="69">
        <f>(G121/$Q121)</f>
        <v/>
      </c>
      <c r="Y121" s="69">
        <f>(H121/$Q121)</f>
        <v/>
      </c>
      <c r="Z121" s="69">
        <f>(I121/$Q121)</f>
        <v/>
      </c>
      <c r="AA121" s="69">
        <f>(J121/$Q121)</f>
        <v/>
      </c>
      <c r="AB121" s="69">
        <f>(K121/$Q121)</f>
        <v/>
      </c>
      <c r="AC121" s="69">
        <f>(L121/$Q121)</f>
        <v/>
      </c>
      <c r="AD121" s="69">
        <f>(M121/$Q121)</f>
        <v/>
      </c>
      <c r="AE121" s="69">
        <f>(N121/$Q121)</f>
        <v/>
      </c>
      <c r="AF121" s="69">
        <f>(O121/$Q121)</f>
        <v/>
      </c>
      <c r="AG121" s="69">
        <f>(P121/$Q121)</f>
        <v/>
      </c>
      <c r="AH121" s="83">
        <f>SUM(V121:X121)</f>
        <v/>
      </c>
      <c r="AI121" s="82">
        <f>SUM(Y121:AF121)</f>
        <v/>
      </c>
      <c r="AJ121" s="80">
        <f>SUM(AG121+AI121)</f>
        <v/>
      </c>
      <c r="AK121" s="81">
        <f>AJ121+AH121</f>
        <v/>
      </c>
      <c r="AL121" s="63">
        <f>SUM(V121,Y121:AG121)</f>
        <v/>
      </c>
      <c r="AM121" s="88">
        <f>SUM(W121:X121)</f>
        <v/>
      </c>
      <c r="AN121" s="88" t="n"/>
    </row>
    <row r="122" hidden="1" ht="15.75" customFormat="1" customHeight="1" s="2">
      <c r="A122" s="9" t="n">
        <v>45250</v>
      </c>
      <c r="B122" s="2" t="n">
        <v>18.78</v>
      </c>
      <c r="C122" s="2" t="n">
        <v>0.46</v>
      </c>
      <c r="D122" s="2" t="n">
        <v>2.56</v>
      </c>
      <c r="E122" s="2" t="n">
        <v>1.68</v>
      </c>
      <c r="F122" s="2" t="n">
        <v>3.04</v>
      </c>
      <c r="G122" s="2" t="n">
        <v>1.86</v>
      </c>
      <c r="H122" s="2" t="n">
        <v>0.02</v>
      </c>
      <c r="I122" s="2" t="n">
        <v>0.16</v>
      </c>
      <c r="J122" s="2" t="n">
        <v>0</v>
      </c>
      <c r="K122" s="2" t="n">
        <v>0.2</v>
      </c>
      <c r="L122" s="2" t="n">
        <v>0.08</v>
      </c>
      <c r="M122" s="2" t="n">
        <v>0</v>
      </c>
      <c r="N122" s="2" t="n">
        <v>0.06</v>
      </c>
      <c r="O122" s="2" t="n">
        <v>0</v>
      </c>
      <c r="P122" s="2" t="n">
        <v>1.82</v>
      </c>
      <c r="Q122" s="2">
        <f>SUM(B122:P122)</f>
        <v/>
      </c>
      <c r="R122" s="25" t="n"/>
      <c r="S122" s="69">
        <f>(B122/$Q122)</f>
        <v/>
      </c>
      <c r="T122" s="69">
        <f>(C122/$Q122)</f>
        <v/>
      </c>
      <c r="U122" s="69">
        <f>(D122/$Q122)</f>
        <v/>
      </c>
      <c r="V122" s="69">
        <f>(E122/$Q122)</f>
        <v/>
      </c>
      <c r="W122" s="69">
        <f>(F122/$Q122)</f>
        <v/>
      </c>
      <c r="X122" s="69">
        <f>(G122/$Q122)</f>
        <v/>
      </c>
      <c r="Y122" s="69">
        <f>(H122/$Q122)</f>
        <v/>
      </c>
      <c r="Z122" s="69">
        <f>(I122/$Q122)</f>
        <v/>
      </c>
      <c r="AA122" s="69">
        <f>(J122/$Q122)</f>
        <v/>
      </c>
      <c r="AB122" s="69">
        <f>(K122/$Q122)</f>
        <v/>
      </c>
      <c r="AC122" s="69">
        <f>(L122/$Q122)</f>
        <v/>
      </c>
      <c r="AD122" s="69">
        <f>(M122/$Q122)</f>
        <v/>
      </c>
      <c r="AE122" s="69">
        <f>(N122/$Q122)</f>
        <v/>
      </c>
      <c r="AF122" s="69">
        <f>(O122/$Q122)</f>
        <v/>
      </c>
      <c r="AG122" s="69">
        <f>(P122/$Q122)</f>
        <v/>
      </c>
      <c r="AH122" s="83">
        <f>SUM(V122:X122)</f>
        <v/>
      </c>
      <c r="AI122" s="82">
        <f>SUM(Y122:AF122)</f>
        <v/>
      </c>
      <c r="AJ122" s="80">
        <f>SUM(AG122+AI122)</f>
        <v/>
      </c>
      <c r="AK122" s="81">
        <f>AJ122+AH122</f>
        <v/>
      </c>
      <c r="AL122" s="63">
        <f>SUM(V122,Y122:AG122)</f>
        <v/>
      </c>
      <c r="AM122" s="88">
        <f>SUM(W122:X122)</f>
        <v/>
      </c>
      <c r="AN122" s="88" t="n"/>
    </row>
    <row r="123" hidden="1" ht="15.75" customFormat="1" customHeight="1" s="2">
      <c r="A123" s="9" t="n">
        <v>45260</v>
      </c>
      <c r="B123" s="2" t="n">
        <v>9.880000000000001</v>
      </c>
      <c r="C123" s="2" t="n">
        <v>0.35</v>
      </c>
      <c r="D123" s="2" t="n">
        <v>1.48</v>
      </c>
      <c r="E123" s="2" t="n">
        <v>1.04</v>
      </c>
      <c r="F123" s="2" t="n">
        <v>2.8</v>
      </c>
      <c r="G123" s="2" t="n">
        <v>0.84</v>
      </c>
      <c r="H123" s="2" t="n">
        <v>0.1</v>
      </c>
      <c r="I123" s="2" t="n">
        <v>0.06</v>
      </c>
      <c r="J123" s="2" t="n">
        <v>0</v>
      </c>
      <c r="K123" s="2" t="n">
        <v>0.92</v>
      </c>
      <c r="L123" s="2" t="n">
        <v>0.04</v>
      </c>
      <c r="M123" s="2" t="n">
        <v>0</v>
      </c>
      <c r="N123" s="2" t="n">
        <v>0</v>
      </c>
      <c r="O123" s="2" t="n">
        <v>0</v>
      </c>
      <c r="P123" s="2" t="n">
        <v>0.82</v>
      </c>
      <c r="Q123" s="2">
        <f>SUM(B123:P123)</f>
        <v/>
      </c>
      <c r="R123" s="25" t="n"/>
      <c r="S123" s="69">
        <f>(B123/$Q123)</f>
        <v/>
      </c>
      <c r="T123" s="69">
        <f>(C123/$Q123)</f>
        <v/>
      </c>
      <c r="U123" s="69">
        <f>(D123/$Q123)</f>
        <v/>
      </c>
      <c r="V123" s="69">
        <f>(E123/$Q123)</f>
        <v/>
      </c>
      <c r="W123" s="69">
        <f>(F123/$Q123)</f>
        <v/>
      </c>
      <c r="X123" s="69">
        <f>(G123/$Q123)</f>
        <v/>
      </c>
      <c r="Y123" s="69">
        <f>(H123/$Q123)</f>
        <v/>
      </c>
      <c r="Z123" s="69">
        <f>(I123/$Q123)</f>
        <v/>
      </c>
      <c r="AA123" s="69">
        <f>(J123/$Q123)</f>
        <v/>
      </c>
      <c r="AB123" s="69">
        <f>(K123/$Q123)</f>
        <v/>
      </c>
      <c r="AC123" s="69">
        <f>(L123/$Q123)</f>
        <v/>
      </c>
      <c r="AD123" s="69">
        <f>(M123/$Q123)</f>
        <v/>
      </c>
      <c r="AE123" s="69">
        <f>(N123/$Q123)</f>
        <v/>
      </c>
      <c r="AF123" s="69">
        <f>(O123/$Q123)</f>
        <v/>
      </c>
      <c r="AG123" s="69">
        <f>(P123/$Q123)</f>
        <v/>
      </c>
      <c r="AH123" s="83">
        <f>SUM(V123:X123)</f>
        <v/>
      </c>
      <c r="AI123" s="82">
        <f>SUM(Y123:AF123)</f>
        <v/>
      </c>
      <c r="AJ123" s="80">
        <f>SUM(AG123+AI123)</f>
        <v/>
      </c>
      <c r="AK123" s="81">
        <f>AJ123+AH123</f>
        <v/>
      </c>
      <c r="AL123" s="63">
        <f>SUM(V123,Y123:AG123)</f>
        <v/>
      </c>
      <c r="AM123" s="88">
        <f>SUM(W123:X123)</f>
        <v/>
      </c>
      <c r="AN123" s="88" t="n"/>
    </row>
    <row r="124" hidden="1" ht="15.75" customFormat="1" customHeight="1" s="2">
      <c r="A124" s="9" t="n">
        <v>45288</v>
      </c>
      <c r="B124" s="2" t="n">
        <v>36.3</v>
      </c>
      <c r="C124" s="2" t="n">
        <v>0.02</v>
      </c>
      <c r="D124" s="2" t="n">
        <v>4.7</v>
      </c>
      <c r="E124" s="2" t="n">
        <v>0.72</v>
      </c>
      <c r="F124" s="2" t="n">
        <v>0.9</v>
      </c>
      <c r="G124" s="2" t="n">
        <v>1.02</v>
      </c>
      <c r="H124" s="2" t="n">
        <v>0</v>
      </c>
      <c r="I124" s="2" t="n">
        <v>0</v>
      </c>
      <c r="J124" s="2" t="n">
        <v>0</v>
      </c>
      <c r="K124" s="2" t="n">
        <v>0</v>
      </c>
      <c r="L124" s="2" t="n">
        <v>0</v>
      </c>
      <c r="M124" s="2" t="n">
        <v>0.02</v>
      </c>
      <c r="N124" s="2" t="n">
        <v>0</v>
      </c>
      <c r="O124" s="2" t="n">
        <v>0</v>
      </c>
      <c r="P124" s="2" t="n">
        <v>1.26</v>
      </c>
      <c r="Q124" s="2">
        <f>SUM(B124:P124)</f>
        <v/>
      </c>
      <c r="R124" s="25" t="n"/>
      <c r="S124" s="69">
        <f>(B124/$Q124)</f>
        <v/>
      </c>
      <c r="T124" s="69">
        <f>(C124/$Q124)</f>
        <v/>
      </c>
      <c r="U124" s="69">
        <f>(D124/$Q124)</f>
        <v/>
      </c>
      <c r="V124" s="69">
        <f>(E124/$Q124)</f>
        <v/>
      </c>
      <c r="W124" s="69">
        <f>(F124/$Q124)</f>
        <v/>
      </c>
      <c r="X124" s="69">
        <f>(G124/$Q124)</f>
        <v/>
      </c>
      <c r="Y124" s="69">
        <f>(H124/$Q124)</f>
        <v/>
      </c>
      <c r="Z124" s="69">
        <f>(I124/$Q124)</f>
        <v/>
      </c>
      <c r="AA124" s="69">
        <f>(J124/$Q124)</f>
        <v/>
      </c>
      <c r="AB124" s="69">
        <f>(K124/$Q124)</f>
        <v/>
      </c>
      <c r="AC124" s="69">
        <f>(L124/$Q124)</f>
        <v/>
      </c>
      <c r="AD124" s="69">
        <f>(M124/$Q124)</f>
        <v/>
      </c>
      <c r="AE124" s="69">
        <f>(N124/$Q124)</f>
        <v/>
      </c>
      <c r="AF124" s="69">
        <f>(O124/$Q124)</f>
        <v/>
      </c>
      <c r="AG124" s="69">
        <f>(P124/$Q124)</f>
        <v/>
      </c>
      <c r="AH124" s="83">
        <f>SUM(V124:X124)</f>
        <v/>
      </c>
      <c r="AI124" s="82">
        <f>SUM(Y124:AF124)</f>
        <v/>
      </c>
      <c r="AJ124" s="80">
        <f>SUM(AG124+AI124)</f>
        <v/>
      </c>
      <c r="AK124" s="81">
        <f>AJ124+AH124</f>
        <v/>
      </c>
      <c r="AL124" s="63">
        <f>SUM(V124,Y124:AG124)</f>
        <v/>
      </c>
      <c r="AM124" s="88">
        <f>SUM(W124:X124)</f>
        <v/>
      </c>
      <c r="AN124" s="88" t="n"/>
    </row>
    <row r="125" hidden="1" ht="15.75" customFormat="1" customHeight="1" s="2">
      <c r="A125" s="9" t="n">
        <v>45289</v>
      </c>
      <c r="B125" s="2" t="n">
        <v>17.78</v>
      </c>
      <c r="C125" s="2" t="n">
        <v>0.3</v>
      </c>
      <c r="D125" s="2" t="n">
        <v>3.32</v>
      </c>
      <c r="E125" s="2" t="n">
        <v>1.66</v>
      </c>
      <c r="F125" s="2" t="n">
        <v>2.72</v>
      </c>
      <c r="G125" s="2" t="n">
        <v>1.48</v>
      </c>
      <c r="H125" s="2" t="n">
        <v>0.06</v>
      </c>
      <c r="I125" s="2" t="n">
        <v>0.14</v>
      </c>
      <c r="J125" s="2" t="n">
        <v>0</v>
      </c>
      <c r="K125" s="2" t="n">
        <v>0</v>
      </c>
      <c r="L125" s="2" t="n">
        <v>0.02</v>
      </c>
      <c r="M125" s="2" t="n">
        <v>0</v>
      </c>
      <c r="N125" s="2" t="n">
        <v>0</v>
      </c>
      <c r="O125" s="2" t="n">
        <v>0</v>
      </c>
      <c r="P125" s="2" t="n">
        <v>1.22</v>
      </c>
      <c r="Q125" s="2">
        <f>SUM(B125:P125)</f>
        <v/>
      </c>
      <c r="R125" s="25" t="n"/>
      <c r="S125" s="69">
        <f>(B125/$Q125)</f>
        <v/>
      </c>
      <c r="T125" s="69">
        <f>(C125/$Q125)</f>
        <v/>
      </c>
      <c r="U125" s="69">
        <f>(D125/$Q125)</f>
        <v/>
      </c>
      <c r="V125" s="69">
        <f>(E125/$Q125)</f>
        <v/>
      </c>
      <c r="W125" s="69">
        <f>(F125/$Q125)</f>
        <v/>
      </c>
      <c r="X125" s="69">
        <f>(G125/$Q125)</f>
        <v/>
      </c>
      <c r="Y125" s="69">
        <f>(H125/$Q125)</f>
        <v/>
      </c>
      <c r="Z125" s="69">
        <f>(I125/$Q125)</f>
        <v/>
      </c>
      <c r="AA125" s="69">
        <f>(J125/$Q125)</f>
        <v/>
      </c>
      <c r="AB125" s="69">
        <f>(K125/$Q125)</f>
        <v/>
      </c>
      <c r="AC125" s="69">
        <f>(L125/$Q125)</f>
        <v/>
      </c>
      <c r="AD125" s="69">
        <f>(M125/$Q125)</f>
        <v/>
      </c>
      <c r="AE125" s="69">
        <f>(N125/$Q125)</f>
        <v/>
      </c>
      <c r="AF125" s="69">
        <f>(O125/$Q125)</f>
        <v/>
      </c>
      <c r="AG125" s="69">
        <f>(P125/$Q125)</f>
        <v/>
      </c>
      <c r="AH125" s="83">
        <f>SUM(V125:X125)</f>
        <v/>
      </c>
      <c r="AI125" s="82">
        <f>SUM(Y125:AF125)</f>
        <v/>
      </c>
      <c r="AJ125" s="80">
        <f>SUM(AG125+AI125)</f>
        <v/>
      </c>
      <c r="AK125" s="81">
        <f>AJ125+AH125</f>
        <v/>
      </c>
      <c r="AL125" s="63">
        <f>SUM(V125,Y125:AG125)</f>
        <v/>
      </c>
      <c r="AM125" s="88">
        <f>SUM(W125:X125)</f>
        <v/>
      </c>
      <c r="AN125" s="88" t="n"/>
    </row>
    <row r="126" ht="15.75" customFormat="1" customHeight="1" s="2">
      <c r="A126" s="9" t="n">
        <v>45293</v>
      </c>
      <c r="B126" s="2" t="n">
        <v>12.84</v>
      </c>
      <c r="C126" s="2" t="n">
        <v>0.66</v>
      </c>
      <c r="D126" s="2" t="n">
        <v>4.7</v>
      </c>
      <c r="E126" s="2" t="n">
        <v>1.5</v>
      </c>
      <c r="F126" s="2" t="n">
        <v>3.02</v>
      </c>
      <c r="G126" s="2" t="n">
        <v>2.84</v>
      </c>
      <c r="H126" s="2" t="n">
        <v>0.04</v>
      </c>
      <c r="I126" s="2" t="n">
        <v>0.06</v>
      </c>
      <c r="J126" s="2" t="n">
        <v>0</v>
      </c>
      <c r="K126" s="2" t="n">
        <v>0.1</v>
      </c>
      <c r="L126" s="2" t="n">
        <v>0.02</v>
      </c>
      <c r="M126" s="2" t="n">
        <v>0</v>
      </c>
      <c r="N126" s="2" t="n">
        <v>0</v>
      </c>
      <c r="O126" s="2" t="n">
        <v>0</v>
      </c>
      <c r="P126" s="2" t="n">
        <v>1.12</v>
      </c>
      <c r="Q126" s="2">
        <f>SUM(B126:P126)</f>
        <v/>
      </c>
      <c r="R126" s="25" t="n"/>
      <c r="S126" s="62">
        <f>(B126/$Q126)</f>
        <v/>
      </c>
      <c r="T126" s="62">
        <f>(C126/$Q126)</f>
        <v/>
      </c>
      <c r="U126" s="62">
        <f>(D126/$Q126)</f>
        <v/>
      </c>
      <c r="V126" s="62">
        <f>(E126/$Q126)</f>
        <v/>
      </c>
      <c r="W126" s="62">
        <f>(F126/$Q126)</f>
        <v/>
      </c>
      <c r="X126" s="62">
        <f>(G126/$Q126)</f>
        <v/>
      </c>
      <c r="Y126" s="62">
        <f>(H126/$Q126)</f>
        <v/>
      </c>
      <c r="Z126" s="62">
        <f>(I126/$Q126)</f>
        <v/>
      </c>
      <c r="AA126" s="62">
        <f>(J126/$Q126)</f>
        <v/>
      </c>
      <c r="AB126" s="62">
        <f>(K126/$Q126)</f>
        <v/>
      </c>
      <c r="AC126" s="62">
        <f>(L126/$Q126)</f>
        <v/>
      </c>
      <c r="AD126" s="62">
        <f>(M126/$Q126)</f>
        <v/>
      </c>
      <c r="AE126" s="62">
        <f>(N126/$Q126)</f>
        <v/>
      </c>
      <c r="AF126" s="62">
        <f>(O126/$Q126)</f>
        <v/>
      </c>
      <c r="AG126" s="62">
        <f>(P126/$Q126)</f>
        <v/>
      </c>
      <c r="AH126" s="78">
        <f>SUM(V126:X126)</f>
        <v/>
      </c>
      <c r="AI126" s="77">
        <f>SUM(Y126:AF126)</f>
        <v/>
      </c>
      <c r="AJ126" s="43">
        <f>SUM(AG126+AI126)</f>
        <v/>
      </c>
      <c r="AK126" s="44">
        <f>AJ126+AH126</f>
        <v/>
      </c>
      <c r="AL126" s="63">
        <f>SUM(V126,Y126:AG126)</f>
        <v/>
      </c>
      <c r="AM126" s="88">
        <f>SUM(W126:X126)</f>
        <v/>
      </c>
      <c r="AN126" s="88">
        <f>SUM(S126:U126)</f>
        <v/>
      </c>
      <c r="AO126" s="2">
        <f>YEAR(A126)</f>
        <v/>
      </c>
      <c r="AP126" s="2">
        <f>MONTH(A126)</f>
        <v/>
      </c>
      <c r="AQ126" s="2" t="n">
        <v>1</v>
      </c>
    </row>
    <row r="127" ht="15.75" customFormat="1" customHeight="1" s="2">
      <c r="A127" s="9" t="n">
        <v>45294</v>
      </c>
      <c r="B127" s="2" t="n">
        <v>1.02</v>
      </c>
      <c r="C127" s="2" t="n">
        <v>0.08</v>
      </c>
      <c r="D127" s="2" t="n">
        <v>0.66</v>
      </c>
      <c r="E127" s="2" t="n">
        <v>0.46</v>
      </c>
      <c r="F127" s="2" t="n">
        <v>0.76</v>
      </c>
      <c r="G127" s="2" t="n">
        <v>0.62</v>
      </c>
      <c r="H127" s="2" t="n">
        <v>0</v>
      </c>
      <c r="I127" s="2" t="n">
        <v>0.02</v>
      </c>
      <c r="J127" s="2" t="n">
        <v>0</v>
      </c>
      <c r="K127" s="2" t="n">
        <v>0.02</v>
      </c>
      <c r="L127" s="2" t="n">
        <v>0.08</v>
      </c>
      <c r="M127" s="2" t="n">
        <v>0</v>
      </c>
      <c r="N127" s="2" t="n">
        <v>0</v>
      </c>
      <c r="O127" s="2" t="n">
        <v>0</v>
      </c>
      <c r="P127" s="2" t="n">
        <v>0.26</v>
      </c>
      <c r="Q127" s="2">
        <f>SUM(B127:P127)</f>
        <v/>
      </c>
      <c r="R127" s="25" t="n"/>
      <c r="S127" s="62">
        <f>(B127/$Q127)</f>
        <v/>
      </c>
      <c r="T127" s="62">
        <f>(C127/$Q127)</f>
        <v/>
      </c>
      <c r="U127" s="62">
        <f>(D127/$Q127)</f>
        <v/>
      </c>
      <c r="V127" s="62">
        <f>(E127/$Q127)</f>
        <v/>
      </c>
      <c r="W127" s="62">
        <f>(F127/$Q127)</f>
        <v/>
      </c>
      <c r="X127" s="62">
        <f>(G127/$Q127)</f>
        <v/>
      </c>
      <c r="Y127" s="62">
        <f>(H127/$Q127)</f>
        <v/>
      </c>
      <c r="Z127" s="62">
        <f>(I127/$Q127)</f>
        <v/>
      </c>
      <c r="AA127" s="62">
        <f>(J127/$Q127)</f>
        <v/>
      </c>
      <c r="AB127" s="62">
        <f>(K127/$Q127)</f>
        <v/>
      </c>
      <c r="AC127" s="62">
        <f>(L127/$Q127)</f>
        <v/>
      </c>
      <c r="AD127" s="62">
        <f>(M127/$Q127)</f>
        <v/>
      </c>
      <c r="AE127" s="62">
        <f>(N127/$Q127)</f>
        <v/>
      </c>
      <c r="AF127" s="62">
        <f>(O127/$Q127)</f>
        <v/>
      </c>
      <c r="AG127" s="62">
        <f>(P127/$Q127)</f>
        <v/>
      </c>
      <c r="AH127" s="78">
        <f>SUM(V127:X127)</f>
        <v/>
      </c>
      <c r="AI127" s="77">
        <f>SUM(Y127:AF127)</f>
        <v/>
      </c>
      <c r="AJ127" s="43">
        <f>SUM(AG127+AI127)</f>
        <v/>
      </c>
      <c r="AK127" s="44">
        <f>AJ127+AH127</f>
        <v/>
      </c>
      <c r="AL127" s="63">
        <f>SUM(V127,Y127:AG127)</f>
        <v/>
      </c>
      <c r="AM127" s="88">
        <f>SUM(W127:X127)</f>
        <v/>
      </c>
      <c r="AN127" s="88">
        <f>SUM(S127:U127)</f>
        <v/>
      </c>
      <c r="AO127" s="2">
        <f>YEAR(A127)</f>
        <v/>
      </c>
      <c r="AP127" s="2">
        <f>MONTH(A127)</f>
        <v/>
      </c>
      <c r="AQ127" s="2">
        <f>AQ126+1</f>
        <v/>
      </c>
    </row>
    <row r="128" ht="15.75" customFormat="1" customHeight="1" s="2">
      <c r="A128" s="9" t="n">
        <v>45299</v>
      </c>
      <c r="B128" s="2" t="n">
        <v>37.58</v>
      </c>
      <c r="C128" s="2" t="n">
        <v>0</v>
      </c>
      <c r="D128" s="2" t="n">
        <v>4.9</v>
      </c>
      <c r="E128" s="2" t="n">
        <v>0.1</v>
      </c>
      <c r="F128" s="2" t="n">
        <v>1.1</v>
      </c>
      <c r="G128" s="2" t="n">
        <v>1.4</v>
      </c>
      <c r="H128" s="2" t="n">
        <v>0</v>
      </c>
      <c r="I128" s="2" t="n">
        <v>0</v>
      </c>
      <c r="J128" s="2" t="n">
        <v>0</v>
      </c>
      <c r="K128" s="2" t="n">
        <v>0.08</v>
      </c>
      <c r="L128" s="2" t="n">
        <v>0.08</v>
      </c>
      <c r="M128" s="2" t="n">
        <v>0</v>
      </c>
      <c r="N128" s="2" t="n">
        <v>0</v>
      </c>
      <c r="O128" s="2" t="n">
        <v>0</v>
      </c>
      <c r="P128" s="2" t="n">
        <v>1.02</v>
      </c>
      <c r="Q128" s="2">
        <f>SUM(B128:P128)</f>
        <v/>
      </c>
      <c r="R128" s="25" t="n"/>
      <c r="S128" s="62">
        <f>(B128/$Q128)</f>
        <v/>
      </c>
      <c r="T128" s="62">
        <f>(C128/$Q128)</f>
        <v/>
      </c>
      <c r="U128" s="62">
        <f>(D128/$Q128)</f>
        <v/>
      </c>
      <c r="V128" s="62">
        <f>(E128/$Q128)</f>
        <v/>
      </c>
      <c r="W128" s="62">
        <f>(F128/$Q128)</f>
        <v/>
      </c>
      <c r="X128" s="62">
        <f>(G128/$Q128)</f>
        <v/>
      </c>
      <c r="Y128" s="62">
        <f>(H128/$Q128)</f>
        <v/>
      </c>
      <c r="Z128" s="62">
        <f>(I128/$Q128)</f>
        <v/>
      </c>
      <c r="AA128" s="62">
        <f>(J128/$Q128)</f>
        <v/>
      </c>
      <c r="AB128" s="62">
        <f>(K128/$Q128)</f>
        <v/>
      </c>
      <c r="AC128" s="62">
        <f>(L128/$Q128)</f>
        <v/>
      </c>
      <c r="AD128" s="62">
        <f>(M128/$Q128)</f>
        <v/>
      </c>
      <c r="AE128" s="62">
        <f>(N128/$Q128)</f>
        <v/>
      </c>
      <c r="AF128" s="62">
        <f>(O128/$Q128)</f>
        <v/>
      </c>
      <c r="AG128" s="62">
        <f>(P128/$Q128)</f>
        <v/>
      </c>
      <c r="AH128" s="78">
        <f>SUM(V128:X128)</f>
        <v/>
      </c>
      <c r="AI128" s="77">
        <f>SUM(Y128:AF128)</f>
        <v/>
      </c>
      <c r="AJ128" s="43">
        <f>SUM(AG128+AI128)</f>
        <v/>
      </c>
      <c r="AK128" s="44">
        <f>AJ128+AH128</f>
        <v/>
      </c>
      <c r="AL128" s="63">
        <f>SUM(V128,Y128:AG128)</f>
        <v/>
      </c>
      <c r="AM128" s="88">
        <f>SUM(W128:X128)</f>
        <v/>
      </c>
      <c r="AN128" s="88">
        <f>SUM(S128:U128)</f>
        <v/>
      </c>
      <c r="AO128" s="2">
        <f>YEAR(A128)</f>
        <v/>
      </c>
      <c r="AP128" s="2">
        <f>MONTH(A128)</f>
        <v/>
      </c>
      <c r="AQ128" s="2">
        <f>AQ127+1</f>
        <v/>
      </c>
    </row>
    <row r="129" ht="15.75" customFormat="1" customHeight="1" s="2">
      <c r="A129" s="9" t="n">
        <v>45303</v>
      </c>
      <c r="B129" s="2" t="n">
        <v>21.21</v>
      </c>
      <c r="C129" s="2" t="n">
        <v>1.04</v>
      </c>
      <c r="D129" s="2" t="n">
        <v>4.08</v>
      </c>
      <c r="E129" s="2" t="n">
        <v>0.28</v>
      </c>
      <c r="F129" s="2" t="n">
        <v>0.8</v>
      </c>
      <c r="G129" s="2" t="n">
        <v>1.06</v>
      </c>
      <c r="H129" s="2" t="n">
        <v>0</v>
      </c>
      <c r="I129" s="2" t="n">
        <v>0</v>
      </c>
      <c r="J129" s="2" t="n">
        <v>0</v>
      </c>
      <c r="K129" s="2" t="n">
        <v>0</v>
      </c>
      <c r="L129" s="2" t="n">
        <v>0</v>
      </c>
      <c r="M129" s="2" t="n">
        <v>0</v>
      </c>
      <c r="N129" s="2" t="n">
        <v>0</v>
      </c>
      <c r="O129" s="2" t="n">
        <v>0</v>
      </c>
      <c r="P129" s="2" t="n">
        <v>0.2</v>
      </c>
      <c r="Q129" s="2">
        <f>SUM(B129:P129)</f>
        <v/>
      </c>
      <c r="R129" s="25" t="n"/>
      <c r="S129" s="62">
        <f>(B129/$Q129)</f>
        <v/>
      </c>
      <c r="T129" s="62">
        <f>(C129/$Q129)</f>
        <v/>
      </c>
      <c r="U129" s="62">
        <f>(D129/$Q129)</f>
        <v/>
      </c>
      <c r="V129" s="62">
        <f>(E129/$Q129)</f>
        <v/>
      </c>
      <c r="W129" s="62">
        <f>(F129/$Q129)</f>
        <v/>
      </c>
      <c r="X129" s="62">
        <f>(G129/$Q129)</f>
        <v/>
      </c>
      <c r="Y129" s="62">
        <f>(H129/$Q129)</f>
        <v/>
      </c>
      <c r="Z129" s="62">
        <f>(I129/$Q129)</f>
        <v/>
      </c>
      <c r="AA129" s="62">
        <f>(J129/$Q129)</f>
        <v/>
      </c>
      <c r="AB129" s="62">
        <f>(K129/$Q129)</f>
        <v/>
      </c>
      <c r="AC129" s="62">
        <f>(L129/$Q129)</f>
        <v/>
      </c>
      <c r="AD129" s="62">
        <f>(M129/$Q129)</f>
        <v/>
      </c>
      <c r="AE129" s="62">
        <f>(N129/$Q129)</f>
        <v/>
      </c>
      <c r="AF129" s="62">
        <f>(O129/$Q129)</f>
        <v/>
      </c>
      <c r="AG129" s="62">
        <f>(P129/$Q129)</f>
        <v/>
      </c>
      <c r="AH129" s="78">
        <f>SUM(V129:X129)</f>
        <v/>
      </c>
      <c r="AI129" s="77">
        <f>SUM(Y129:AF129)</f>
        <v/>
      </c>
      <c r="AJ129" s="43">
        <f>SUM(AG129+AI129)</f>
        <v/>
      </c>
      <c r="AK129" s="44">
        <f>AJ129+AH129</f>
        <v/>
      </c>
      <c r="AL129" s="63">
        <f>SUM(V129,Y129:AG129)</f>
        <v/>
      </c>
      <c r="AM129" s="88">
        <f>SUM(W129:X129)</f>
        <v/>
      </c>
      <c r="AN129" s="88">
        <f>SUM(S129:U129)</f>
        <v/>
      </c>
      <c r="AO129" s="2">
        <f>YEAR(A129)</f>
        <v/>
      </c>
      <c r="AP129" s="2">
        <f>MONTH(A129)</f>
        <v/>
      </c>
      <c r="AQ129" s="2">
        <f>AQ128+1</f>
        <v/>
      </c>
    </row>
    <row r="130" ht="15.75" customFormat="1" customHeight="1" s="2">
      <c r="A130" s="9" t="n">
        <v>45307</v>
      </c>
      <c r="B130" s="2" t="n">
        <v>12.18</v>
      </c>
      <c r="C130" s="2" t="n">
        <v>0.9</v>
      </c>
      <c r="D130" s="2" t="n">
        <v>4.66</v>
      </c>
      <c r="E130" s="2" t="n">
        <v>2.52</v>
      </c>
      <c r="F130" s="2" t="n">
        <v>2.92</v>
      </c>
      <c r="G130" s="2" t="n">
        <v>1.76</v>
      </c>
      <c r="H130" s="2" t="n">
        <v>0.02</v>
      </c>
      <c r="I130" s="2" t="n">
        <v>1.24</v>
      </c>
      <c r="J130" s="2" t="n">
        <v>0.04</v>
      </c>
      <c r="K130" s="2" t="n">
        <v>0.5600000000000001</v>
      </c>
      <c r="L130" s="2" t="n">
        <v>0.26</v>
      </c>
      <c r="M130" s="2" t="n">
        <v>0.06</v>
      </c>
      <c r="N130" s="2" t="n">
        <v>0.08</v>
      </c>
      <c r="O130" s="2" t="n">
        <v>0</v>
      </c>
      <c r="P130" s="2" t="n">
        <v>1.84</v>
      </c>
      <c r="Q130" s="2">
        <f>SUM(B130:P130)</f>
        <v/>
      </c>
      <c r="R130" s="25" t="n"/>
      <c r="S130" s="62">
        <f>(B130/$Q130)</f>
        <v/>
      </c>
      <c r="T130" s="62">
        <f>(C130/$Q130)</f>
        <v/>
      </c>
      <c r="U130" s="62">
        <f>(D130/$Q130)</f>
        <v/>
      </c>
      <c r="V130" s="62">
        <f>(E130/$Q130)</f>
        <v/>
      </c>
      <c r="W130" s="62">
        <f>(F130/$Q130)</f>
        <v/>
      </c>
      <c r="X130" s="62">
        <f>(G130/$Q130)</f>
        <v/>
      </c>
      <c r="Y130" s="62">
        <f>(H130/$Q130)</f>
        <v/>
      </c>
      <c r="Z130" s="62">
        <f>(I130/$Q130)</f>
        <v/>
      </c>
      <c r="AA130" s="62">
        <f>(J130/$Q130)</f>
        <v/>
      </c>
      <c r="AB130" s="62">
        <f>(K130/$Q130)</f>
        <v/>
      </c>
      <c r="AC130" s="62">
        <f>(L130/$Q130)</f>
        <v/>
      </c>
      <c r="AD130" s="62">
        <f>(M130/$Q130)</f>
        <v/>
      </c>
      <c r="AE130" s="62">
        <f>(N130/$Q130)</f>
        <v/>
      </c>
      <c r="AF130" s="62">
        <f>(O130/$Q130)</f>
        <v/>
      </c>
      <c r="AG130" s="62">
        <f>(P130/$Q130)</f>
        <v/>
      </c>
      <c r="AH130" s="78">
        <f>SUM(V130:X130)</f>
        <v/>
      </c>
      <c r="AI130" s="77">
        <f>SUM(Y130:AF130)</f>
        <v/>
      </c>
      <c r="AJ130" s="43">
        <f>SUM(AG130+AI130)</f>
        <v/>
      </c>
      <c r="AK130" s="44">
        <f>AJ130+AH130</f>
        <v/>
      </c>
      <c r="AL130" s="63">
        <f>SUM(V130,Y130:AG130)</f>
        <v/>
      </c>
      <c r="AM130" s="88">
        <f>SUM(W130:X130)</f>
        <v/>
      </c>
      <c r="AN130" s="88">
        <f>SUM(S130:U130)</f>
        <v/>
      </c>
      <c r="AO130" s="2">
        <f>YEAR(A130)</f>
        <v/>
      </c>
      <c r="AP130" s="2">
        <f>MONTH(A130)</f>
        <v/>
      </c>
      <c r="AQ130" s="2">
        <f>AQ129+1</f>
        <v/>
      </c>
    </row>
    <row r="131" ht="15.75" customFormat="1" customHeight="1" s="2">
      <c r="A131" s="9" t="n">
        <v>45308</v>
      </c>
      <c r="B131" s="2" t="n">
        <v>16.02</v>
      </c>
      <c r="C131" s="2" t="n">
        <v>0.38</v>
      </c>
      <c r="D131" s="2" t="n">
        <v>4.58</v>
      </c>
      <c r="E131" s="2" t="n">
        <v>1.9</v>
      </c>
      <c r="F131" s="2" t="n">
        <v>2.62</v>
      </c>
      <c r="G131" s="2" t="n">
        <v>1.42</v>
      </c>
      <c r="H131" s="2" t="n">
        <v>0</v>
      </c>
      <c r="I131" s="2" t="n">
        <v>1.12</v>
      </c>
      <c r="J131" s="2" t="n">
        <v>0.1</v>
      </c>
      <c r="K131" s="2" t="n">
        <v>0.82</v>
      </c>
      <c r="L131" s="2" t="n">
        <v>0.24</v>
      </c>
      <c r="M131" s="2" t="n">
        <v>0.06</v>
      </c>
      <c r="N131" s="2" t="n">
        <v>0.06</v>
      </c>
      <c r="O131" s="2" t="n">
        <v>0.08</v>
      </c>
      <c r="P131" s="2" t="n">
        <v>2.1</v>
      </c>
      <c r="Q131" s="2">
        <f>SUM(B131:P131)</f>
        <v/>
      </c>
      <c r="R131" s="25" t="n"/>
      <c r="S131" s="62">
        <f>(B131/$Q131)</f>
        <v/>
      </c>
      <c r="T131" s="62">
        <f>(C131/$Q131)</f>
        <v/>
      </c>
      <c r="U131" s="62">
        <f>(D131/$Q131)</f>
        <v/>
      </c>
      <c r="V131" s="62">
        <f>(E131/$Q131)</f>
        <v/>
      </c>
      <c r="W131" s="62">
        <f>(F131/$Q131)</f>
        <v/>
      </c>
      <c r="X131" s="62">
        <f>(G131/$Q131)</f>
        <v/>
      </c>
      <c r="Y131" s="62">
        <f>(H131/$Q131)</f>
        <v/>
      </c>
      <c r="Z131" s="62">
        <f>(I131/$Q131)</f>
        <v/>
      </c>
      <c r="AA131" s="62">
        <f>(J131/$Q131)</f>
        <v/>
      </c>
      <c r="AB131" s="62">
        <f>(K131/$Q131)</f>
        <v/>
      </c>
      <c r="AC131" s="62">
        <f>(L131/$Q131)</f>
        <v/>
      </c>
      <c r="AD131" s="62">
        <f>(M131/$Q131)</f>
        <v/>
      </c>
      <c r="AE131" s="62">
        <f>(N131/$Q131)</f>
        <v/>
      </c>
      <c r="AF131" s="62">
        <f>(O131/$Q131)</f>
        <v/>
      </c>
      <c r="AG131" s="62">
        <f>(P131/$Q131)</f>
        <v/>
      </c>
      <c r="AH131" s="78">
        <f>SUM(V131:X131)</f>
        <v/>
      </c>
      <c r="AI131" s="77">
        <f>SUM(Y131:AF131)</f>
        <v/>
      </c>
      <c r="AJ131" s="43">
        <f>SUM(AG131+AI131)</f>
        <v/>
      </c>
      <c r="AK131" s="44">
        <f>AJ131+AH131</f>
        <v/>
      </c>
      <c r="AL131" s="63">
        <f>SUM(V131,Y131:AG131)</f>
        <v/>
      </c>
      <c r="AM131" s="88">
        <f>SUM(W131:X131)</f>
        <v/>
      </c>
      <c r="AN131" s="88">
        <f>SUM(S131:U131)</f>
        <v/>
      </c>
      <c r="AO131" s="2">
        <f>YEAR(A131)</f>
        <v/>
      </c>
      <c r="AP131" s="2">
        <f>MONTH(A131)</f>
        <v/>
      </c>
      <c r="AQ131" s="2">
        <f>AQ130+1</f>
        <v/>
      </c>
    </row>
    <row r="132" ht="15.75" customFormat="1" customHeight="1" s="2">
      <c r="A132" s="9" t="n">
        <v>45313</v>
      </c>
      <c r="B132" s="2" t="n">
        <v>27.92</v>
      </c>
      <c r="C132" s="2" t="n">
        <v>0.44</v>
      </c>
      <c r="D132" s="2" t="n">
        <v>2.52</v>
      </c>
      <c r="E132" s="2" t="n">
        <v>0.45</v>
      </c>
      <c r="F132" s="2" t="n">
        <v>1.06</v>
      </c>
      <c r="G132" s="2" t="n">
        <v>0.52</v>
      </c>
      <c r="H132" s="2" t="n">
        <v>0.16</v>
      </c>
      <c r="I132" s="2" t="n">
        <v>0.14</v>
      </c>
      <c r="J132" s="2" t="n">
        <v>0</v>
      </c>
      <c r="K132" s="2" t="n">
        <v>0.25</v>
      </c>
      <c r="L132" s="2" t="n">
        <v>0</v>
      </c>
      <c r="M132" s="2" t="n">
        <v>0.06</v>
      </c>
      <c r="N132" s="2" t="n">
        <v>0.08</v>
      </c>
      <c r="O132" s="2" t="n">
        <v>0</v>
      </c>
      <c r="P132" s="2" t="n">
        <v>0.32</v>
      </c>
      <c r="Q132" s="2">
        <f>SUM(B132:P132)</f>
        <v/>
      </c>
      <c r="R132" s="25" t="n"/>
      <c r="S132" s="62">
        <f>(B132/$Q132)</f>
        <v/>
      </c>
      <c r="T132" s="62">
        <f>(C132/$Q132)</f>
        <v/>
      </c>
      <c r="U132" s="62">
        <f>(D132/$Q132)</f>
        <v/>
      </c>
      <c r="V132" s="62">
        <f>(E132/$Q132)</f>
        <v/>
      </c>
      <c r="W132" s="62">
        <f>(F132/$Q132)</f>
        <v/>
      </c>
      <c r="X132" s="62">
        <f>(G132/$Q132)</f>
        <v/>
      </c>
      <c r="Y132" s="62">
        <f>(H132/$Q132)</f>
        <v/>
      </c>
      <c r="Z132" s="62">
        <f>(I132/$Q132)</f>
        <v/>
      </c>
      <c r="AA132" s="62">
        <f>(J132/$Q132)</f>
        <v/>
      </c>
      <c r="AB132" s="62">
        <f>(K132/$Q132)</f>
        <v/>
      </c>
      <c r="AC132" s="62">
        <f>(L132/$Q132)</f>
        <v/>
      </c>
      <c r="AD132" s="62">
        <f>(M132/$Q132)</f>
        <v/>
      </c>
      <c r="AE132" s="62">
        <f>(N132/$Q132)</f>
        <v/>
      </c>
      <c r="AF132" s="62">
        <f>(O132/$Q132)</f>
        <v/>
      </c>
      <c r="AG132" s="62">
        <f>(P132/$Q132)</f>
        <v/>
      </c>
      <c r="AH132" s="78">
        <f>SUM(V132:X132)</f>
        <v/>
      </c>
      <c r="AI132" s="77">
        <f>SUM(Y132:AF132)</f>
        <v/>
      </c>
      <c r="AJ132" s="43">
        <f>SUM(AG132+AI132)</f>
        <v/>
      </c>
      <c r="AK132" s="44">
        <f>AJ132+AH132</f>
        <v/>
      </c>
      <c r="AL132" s="63">
        <f>SUM(V132,Y132:AG132)</f>
        <v/>
      </c>
      <c r="AM132" s="88">
        <f>SUM(W132:X132)</f>
        <v/>
      </c>
      <c r="AN132" s="88">
        <f>SUM(S132:U132)</f>
        <v/>
      </c>
      <c r="AO132" s="2">
        <f>YEAR(A132)</f>
        <v/>
      </c>
      <c r="AP132" s="2">
        <f>MONTH(A132)</f>
        <v/>
      </c>
      <c r="AQ132" s="2">
        <f>AQ131+1</f>
        <v/>
      </c>
    </row>
    <row r="133" ht="15.75" customFormat="1" customHeight="1" s="2">
      <c r="A133" s="9" t="n">
        <v>45314</v>
      </c>
      <c r="B133" s="2" t="n">
        <v>18.92</v>
      </c>
      <c r="C133" s="2" t="n">
        <v>0.44</v>
      </c>
      <c r="D133" s="2" t="n">
        <v>2.52</v>
      </c>
      <c r="E133" s="2" t="n">
        <v>4.06</v>
      </c>
      <c r="F133" s="2" t="n">
        <v>5.04</v>
      </c>
      <c r="G133" s="2" t="n">
        <v>2.99</v>
      </c>
      <c r="H133" s="2" t="n">
        <v>0.16</v>
      </c>
      <c r="I133" s="2" t="n">
        <v>0.24</v>
      </c>
      <c r="J133" s="2" t="n">
        <v>0</v>
      </c>
      <c r="K133" s="2" t="n">
        <v>0.74</v>
      </c>
      <c r="L133" s="2" t="n">
        <v>0</v>
      </c>
      <c r="M133" s="2" t="n">
        <v>0.06</v>
      </c>
      <c r="N133" s="2" t="n">
        <v>0.18</v>
      </c>
      <c r="O133" s="2" t="n">
        <v>0</v>
      </c>
      <c r="P133" s="2" t="n">
        <v>2</v>
      </c>
      <c r="Q133" s="2">
        <f>SUM(B133:P133)</f>
        <v/>
      </c>
      <c r="R133" s="25" t="n"/>
      <c r="S133" s="62">
        <f>(B133/$Q133)</f>
        <v/>
      </c>
      <c r="T133" s="62">
        <f>(C133/$Q133)</f>
        <v/>
      </c>
      <c r="U133" s="62">
        <f>(D133/$Q133)</f>
        <v/>
      </c>
      <c r="V133" s="62">
        <f>(E133/$Q133)</f>
        <v/>
      </c>
      <c r="W133" s="62">
        <f>(F133/$Q133)</f>
        <v/>
      </c>
      <c r="X133" s="62">
        <f>(G133/$Q133)</f>
        <v/>
      </c>
      <c r="Y133" s="62">
        <f>(H133/$Q133)</f>
        <v/>
      </c>
      <c r="Z133" s="62">
        <f>(I133/$Q133)</f>
        <v/>
      </c>
      <c r="AA133" s="62">
        <f>(J133/$Q133)</f>
        <v/>
      </c>
      <c r="AB133" s="62">
        <f>(K133/$Q133)</f>
        <v/>
      </c>
      <c r="AC133" s="62">
        <f>(L133/$Q133)</f>
        <v/>
      </c>
      <c r="AD133" s="62">
        <f>(M133/$Q133)</f>
        <v/>
      </c>
      <c r="AE133" s="62">
        <f>(N133/$Q133)</f>
        <v/>
      </c>
      <c r="AF133" s="62">
        <f>(O133/$Q133)</f>
        <v/>
      </c>
      <c r="AG133" s="62">
        <f>(P133/$Q133)</f>
        <v/>
      </c>
      <c r="AH133" s="78">
        <f>SUM(V133:X133)</f>
        <v/>
      </c>
      <c r="AI133" s="77">
        <f>SUM(Y133:AF133)</f>
        <v/>
      </c>
      <c r="AJ133" s="43">
        <f>SUM(AG133+AI133)</f>
        <v/>
      </c>
      <c r="AK133" s="44">
        <f>AJ133+AH133</f>
        <v/>
      </c>
      <c r="AL133" s="63">
        <f>SUM(V133,Y133:AG133)</f>
        <v/>
      </c>
      <c r="AM133" s="88">
        <f>SUM(W133:X133)</f>
        <v/>
      </c>
      <c r="AN133" s="88">
        <f>SUM(S133:U133)</f>
        <v/>
      </c>
      <c r="AO133" s="2">
        <f>YEAR(A133)</f>
        <v/>
      </c>
      <c r="AP133" s="2">
        <f>MONTH(A133)</f>
        <v/>
      </c>
      <c r="AQ133" s="2">
        <f>AQ132+1</f>
        <v/>
      </c>
    </row>
    <row r="134" ht="15.75" customFormat="1" customHeight="1" s="2">
      <c r="A134" s="9" t="n">
        <v>45316</v>
      </c>
      <c r="B134" s="2" t="n">
        <v>22.36</v>
      </c>
      <c r="C134" s="2" t="n">
        <v>0.38</v>
      </c>
      <c r="D134" s="2" t="n">
        <v>3.4</v>
      </c>
      <c r="E134" s="2" t="n">
        <v>3</v>
      </c>
      <c r="F134" s="2" t="n">
        <v>4.72</v>
      </c>
      <c r="G134" s="2" t="n">
        <v>1.92</v>
      </c>
      <c r="H134" s="2" t="n">
        <v>0.14</v>
      </c>
      <c r="I134" s="2" t="n">
        <v>0.38</v>
      </c>
      <c r="J134" s="2" t="n">
        <v>0</v>
      </c>
      <c r="K134" s="2" t="n">
        <v>0.5</v>
      </c>
      <c r="L134" s="2" t="n">
        <v>0.08</v>
      </c>
      <c r="M134" s="2" t="n">
        <v>0.06</v>
      </c>
      <c r="N134" s="2" t="n">
        <v>0.04</v>
      </c>
      <c r="O134" s="2" t="n">
        <v>0.04</v>
      </c>
      <c r="P134" s="2" t="n">
        <v>1.46</v>
      </c>
      <c r="Q134" s="2">
        <f>SUM(B134:P134)</f>
        <v/>
      </c>
      <c r="R134" s="25" t="n"/>
      <c r="S134" s="62">
        <f>(B134/$Q134)</f>
        <v/>
      </c>
      <c r="T134" s="62">
        <f>(C134/$Q134)</f>
        <v/>
      </c>
      <c r="U134" s="62">
        <f>(D134/$Q134)</f>
        <v/>
      </c>
      <c r="V134" s="62">
        <f>(E134/$Q134)</f>
        <v/>
      </c>
      <c r="W134" s="62">
        <f>(F134/$Q134)</f>
        <v/>
      </c>
      <c r="X134" s="62">
        <f>(G134/$Q134)</f>
        <v/>
      </c>
      <c r="Y134" s="62">
        <f>(H134/$Q134)</f>
        <v/>
      </c>
      <c r="Z134" s="62">
        <f>(I134/$Q134)</f>
        <v/>
      </c>
      <c r="AA134" s="62">
        <f>(J134/$Q134)</f>
        <v/>
      </c>
      <c r="AB134" s="62">
        <f>(K134/$Q134)</f>
        <v/>
      </c>
      <c r="AC134" s="62">
        <f>(L134/$Q134)</f>
        <v/>
      </c>
      <c r="AD134" s="62">
        <f>(M134/$Q134)</f>
        <v/>
      </c>
      <c r="AE134" s="62">
        <f>(N134/$Q134)</f>
        <v/>
      </c>
      <c r="AF134" s="62">
        <f>(O134/$Q134)</f>
        <v/>
      </c>
      <c r="AG134" s="62">
        <f>(P134/$Q134)</f>
        <v/>
      </c>
      <c r="AH134" s="78">
        <f>SUM(V134:X134)</f>
        <v/>
      </c>
      <c r="AI134" s="77">
        <f>SUM(Y134:AF134)</f>
        <v/>
      </c>
      <c r="AJ134" s="43">
        <f>SUM(AG134+AI134)</f>
        <v/>
      </c>
      <c r="AK134" s="44">
        <f>AJ134+AH134</f>
        <v/>
      </c>
      <c r="AL134" s="63">
        <f>SUM(V134,Y134:AG134)</f>
        <v/>
      </c>
      <c r="AM134" s="88">
        <f>SUM(W134:X134)</f>
        <v/>
      </c>
      <c r="AN134" s="88">
        <f>SUM(S134:U134)</f>
        <v/>
      </c>
      <c r="AO134" s="2">
        <f>YEAR(A134)</f>
        <v/>
      </c>
      <c r="AP134" s="2">
        <f>MONTH(A134)</f>
        <v/>
      </c>
      <c r="AQ134" s="2">
        <f>AQ133+1</f>
        <v/>
      </c>
    </row>
    <row r="135" ht="15.75" customFormat="1" customHeight="1" s="2">
      <c r="A135" s="9" t="n">
        <v>45328</v>
      </c>
      <c r="B135" s="2" t="n">
        <v>18.32</v>
      </c>
      <c r="C135" s="2" t="n">
        <v>0.22</v>
      </c>
      <c r="D135" s="2" t="n">
        <v>4.84</v>
      </c>
      <c r="E135" s="2" t="n">
        <v>1</v>
      </c>
      <c r="F135" s="2" t="n">
        <v>1.16</v>
      </c>
      <c r="G135" s="2" t="n">
        <v>0.96</v>
      </c>
      <c r="H135" s="2" t="n">
        <v>0.06</v>
      </c>
      <c r="I135" s="2" t="n">
        <v>0.08</v>
      </c>
      <c r="J135" s="2" t="n">
        <v>0</v>
      </c>
      <c r="K135" s="2" t="n">
        <v>0</v>
      </c>
      <c r="L135" s="2" t="n">
        <v>0.04</v>
      </c>
      <c r="M135" s="2" t="n">
        <v>0</v>
      </c>
      <c r="N135" s="2" t="n">
        <v>0</v>
      </c>
      <c r="O135" s="2" t="n">
        <v>0</v>
      </c>
      <c r="P135" s="2" t="n">
        <v>1</v>
      </c>
      <c r="Q135" s="2">
        <f>SUM(B135:P135)</f>
        <v/>
      </c>
      <c r="R135" s="25" t="n"/>
      <c r="S135" s="62">
        <f>(B135/$Q135)</f>
        <v/>
      </c>
      <c r="T135" s="62">
        <f>(C135/$Q135)</f>
        <v/>
      </c>
      <c r="U135" s="62">
        <f>(D135/$Q135)</f>
        <v/>
      </c>
      <c r="V135" s="62">
        <f>(E135/$Q135)</f>
        <v/>
      </c>
      <c r="W135" s="62">
        <f>(F135/$Q135)</f>
        <v/>
      </c>
      <c r="X135" s="62">
        <f>(G135/$Q135)</f>
        <v/>
      </c>
      <c r="Y135" s="62">
        <f>(H135/$Q135)</f>
        <v/>
      </c>
      <c r="Z135" s="62">
        <f>(I135/$Q135)</f>
        <v/>
      </c>
      <c r="AA135" s="62">
        <f>(J135/$Q135)</f>
        <v/>
      </c>
      <c r="AB135" s="62">
        <f>(K135/$Q135)</f>
        <v/>
      </c>
      <c r="AC135" s="62">
        <f>(L135/$Q135)</f>
        <v/>
      </c>
      <c r="AD135" s="62">
        <f>(M135/$Q135)</f>
        <v/>
      </c>
      <c r="AE135" s="62">
        <f>(N135/$Q135)</f>
        <v/>
      </c>
      <c r="AF135" s="62">
        <f>(O135/$Q135)</f>
        <v/>
      </c>
      <c r="AG135" s="62">
        <f>(P135/$Q135)</f>
        <v/>
      </c>
      <c r="AH135" s="78">
        <f>SUM(V135:X135)</f>
        <v/>
      </c>
      <c r="AI135" s="77">
        <f>SUM(Y135:AF135)</f>
        <v/>
      </c>
      <c r="AJ135" s="43">
        <f>SUM(AG135+AI135)</f>
        <v/>
      </c>
      <c r="AK135" s="44">
        <f>AJ135+AH135</f>
        <v/>
      </c>
      <c r="AL135" s="63">
        <f>SUM(V135,Y135:AG135)</f>
        <v/>
      </c>
      <c r="AM135" s="88">
        <f>SUM(W135:X135)</f>
        <v/>
      </c>
      <c r="AN135" s="88">
        <f>SUM(S135:U135)</f>
        <v/>
      </c>
      <c r="AO135" s="2">
        <f>YEAR(A135)</f>
        <v/>
      </c>
      <c r="AP135" s="2">
        <f>MONTH(A135)</f>
        <v/>
      </c>
      <c r="AQ135" s="2">
        <f>AQ134+1</f>
        <v/>
      </c>
    </row>
    <row r="136" ht="15.75" customFormat="1" customHeight="1" s="2">
      <c r="A136" s="9" t="n">
        <v>45331</v>
      </c>
      <c r="B136" s="2" t="n">
        <v>19.64</v>
      </c>
      <c r="C136" s="2" t="n">
        <v>0.52</v>
      </c>
      <c r="D136" s="2" t="n">
        <v>3.32</v>
      </c>
      <c r="E136" s="2" t="n">
        <v>1.04</v>
      </c>
      <c r="F136" s="2" t="n">
        <v>1.4</v>
      </c>
      <c r="G136" s="2" t="n">
        <v>0.7</v>
      </c>
      <c r="H136" s="2" t="n">
        <v>0</v>
      </c>
      <c r="I136" s="2" t="n">
        <v>0.12</v>
      </c>
      <c r="J136" s="2" t="n">
        <v>0</v>
      </c>
      <c r="K136" s="2" t="n">
        <v>0.08</v>
      </c>
      <c r="L136" s="2" t="n">
        <v>0</v>
      </c>
      <c r="M136" s="2" t="n">
        <v>0</v>
      </c>
      <c r="N136" s="2" t="n">
        <v>0</v>
      </c>
      <c r="O136" s="2" t="n">
        <v>0</v>
      </c>
      <c r="P136" s="2" t="n">
        <v>1.04</v>
      </c>
      <c r="Q136" s="2">
        <f>SUM(B136:P136)</f>
        <v/>
      </c>
      <c r="R136" s="25" t="n"/>
      <c r="S136" s="62">
        <f>(B136/$Q136)</f>
        <v/>
      </c>
      <c r="T136" s="62">
        <f>(C136/$Q136)</f>
        <v/>
      </c>
      <c r="U136" s="62">
        <f>(D136/$Q136)</f>
        <v/>
      </c>
      <c r="V136" s="62">
        <f>(E136/$Q136)</f>
        <v/>
      </c>
      <c r="W136" s="62">
        <f>(F136/$Q136)</f>
        <v/>
      </c>
      <c r="X136" s="62">
        <f>(G136/$Q136)</f>
        <v/>
      </c>
      <c r="Y136" s="62">
        <f>(H136/$Q136)</f>
        <v/>
      </c>
      <c r="Z136" s="62">
        <f>(I136/$Q136)</f>
        <v/>
      </c>
      <c r="AA136" s="62">
        <f>(J136/$Q136)</f>
        <v/>
      </c>
      <c r="AB136" s="62">
        <f>(K136/$Q136)</f>
        <v/>
      </c>
      <c r="AC136" s="62">
        <f>(L136/$Q136)</f>
        <v/>
      </c>
      <c r="AD136" s="62">
        <f>(M136/$Q136)</f>
        <v/>
      </c>
      <c r="AE136" s="62">
        <f>(N136/$Q136)</f>
        <v/>
      </c>
      <c r="AF136" s="62">
        <f>(O136/$Q136)</f>
        <v/>
      </c>
      <c r="AG136" s="62">
        <f>(P136/$Q136)</f>
        <v/>
      </c>
      <c r="AH136" s="78">
        <f>SUM(V136:X136)</f>
        <v/>
      </c>
      <c r="AI136" s="77">
        <f>SUM(Y136:AF136)</f>
        <v/>
      </c>
      <c r="AJ136" s="43">
        <f>SUM(AG136+AI136)</f>
        <v/>
      </c>
      <c r="AK136" s="44">
        <f>AJ136+AH136</f>
        <v/>
      </c>
      <c r="AL136" s="63">
        <f>SUM(V136,Y136:AG136)</f>
        <v/>
      </c>
      <c r="AM136" s="88">
        <f>SUM(W136:X136)</f>
        <v/>
      </c>
      <c r="AN136" s="88">
        <f>SUM(S136:U136)</f>
        <v/>
      </c>
      <c r="AO136" s="2">
        <f>YEAR(A136)</f>
        <v/>
      </c>
      <c r="AP136" s="2">
        <f>MONTH(A136)</f>
        <v/>
      </c>
      <c r="AQ136" s="2">
        <f>AQ135+1</f>
        <v/>
      </c>
    </row>
    <row r="137" ht="15.75" customFormat="1" customHeight="1" s="2">
      <c r="A137" s="9" t="n">
        <v>45334</v>
      </c>
      <c r="B137" s="2" t="n">
        <v>22.82</v>
      </c>
      <c r="C137" s="2" t="n">
        <v>0.22</v>
      </c>
      <c r="D137" s="2" t="n">
        <v>3.92</v>
      </c>
      <c r="E137" s="2" t="n">
        <v>0.82</v>
      </c>
      <c r="F137" s="2" t="n">
        <v>1.22</v>
      </c>
      <c r="G137" s="2" t="n">
        <v>0.54</v>
      </c>
      <c r="H137" s="2" t="n">
        <v>0</v>
      </c>
      <c r="I137" s="2" t="n">
        <v>0.08</v>
      </c>
      <c r="J137" s="2" t="n">
        <v>0</v>
      </c>
      <c r="K137" s="2" t="n">
        <v>0.08</v>
      </c>
      <c r="L137" s="2" t="n">
        <v>0</v>
      </c>
      <c r="M137" s="2" t="n">
        <v>0</v>
      </c>
      <c r="N137" s="2" t="n">
        <v>0</v>
      </c>
      <c r="O137" s="2" t="n">
        <v>0</v>
      </c>
      <c r="P137" s="2" t="n">
        <v>0.5600000000000001</v>
      </c>
      <c r="Q137" s="2">
        <f>SUM(B137:P137)</f>
        <v/>
      </c>
      <c r="R137" s="25" t="n"/>
      <c r="S137" s="62">
        <f>(B137/$Q137)</f>
        <v/>
      </c>
      <c r="T137" s="62">
        <f>(C137/$Q137)</f>
        <v/>
      </c>
      <c r="U137" s="62">
        <f>(D137/$Q137)</f>
        <v/>
      </c>
      <c r="V137" s="62">
        <f>(E137/$Q137)</f>
        <v/>
      </c>
      <c r="W137" s="62">
        <f>(F137/$Q137)</f>
        <v/>
      </c>
      <c r="X137" s="62">
        <f>(G137/$Q137)</f>
        <v/>
      </c>
      <c r="Y137" s="62">
        <f>(H137/$Q137)</f>
        <v/>
      </c>
      <c r="Z137" s="62">
        <f>(I137/$Q137)</f>
        <v/>
      </c>
      <c r="AA137" s="62">
        <f>(J137/$Q137)</f>
        <v/>
      </c>
      <c r="AB137" s="62">
        <f>(K137/$Q137)</f>
        <v/>
      </c>
      <c r="AC137" s="62">
        <f>(L137/$Q137)</f>
        <v/>
      </c>
      <c r="AD137" s="62">
        <f>(M137/$Q137)</f>
        <v/>
      </c>
      <c r="AE137" s="62">
        <f>(N137/$Q137)</f>
        <v/>
      </c>
      <c r="AF137" s="62">
        <f>(O137/$Q137)</f>
        <v/>
      </c>
      <c r="AG137" s="62">
        <f>(P137/$Q137)</f>
        <v/>
      </c>
      <c r="AH137" s="78">
        <f>SUM(V137:X137)</f>
        <v/>
      </c>
      <c r="AI137" s="77">
        <f>SUM(Y137:AF137)</f>
        <v/>
      </c>
      <c r="AJ137" s="43">
        <f>SUM(AG137+AI137)</f>
        <v/>
      </c>
      <c r="AK137" s="44">
        <f>AJ137+AH137</f>
        <v/>
      </c>
      <c r="AL137" s="63">
        <f>SUM(V137,Y137:AG137)</f>
        <v/>
      </c>
      <c r="AM137" s="88">
        <f>SUM(W137:X137)</f>
        <v/>
      </c>
      <c r="AN137" s="88">
        <f>SUM(S137:U137)</f>
        <v/>
      </c>
      <c r="AO137" s="2">
        <f>YEAR(A137)</f>
        <v/>
      </c>
      <c r="AP137" s="2">
        <f>MONTH(A137)</f>
        <v/>
      </c>
      <c r="AQ137" s="2">
        <f>AQ136+1</f>
        <v/>
      </c>
    </row>
    <row r="138" ht="15.75" customFormat="1" customHeight="1" s="2">
      <c r="A138" s="9" t="n">
        <v>45338</v>
      </c>
      <c r="B138" s="2" t="n">
        <v>22.78</v>
      </c>
      <c r="C138" s="2" t="n">
        <v>1.48</v>
      </c>
      <c r="D138" s="2" t="n">
        <v>6.16</v>
      </c>
      <c r="E138" s="2" t="n">
        <v>1.14</v>
      </c>
      <c r="F138" s="2" t="n">
        <v>1.24</v>
      </c>
      <c r="G138" s="2" t="n">
        <v>0.48</v>
      </c>
      <c r="H138" s="2" t="n">
        <v>0.04</v>
      </c>
      <c r="I138" s="2" t="n">
        <v>0.16</v>
      </c>
      <c r="J138" s="2" t="n">
        <v>0.08</v>
      </c>
      <c r="K138" s="2" t="n">
        <v>0.01</v>
      </c>
      <c r="L138" s="2" t="n">
        <v>0.04</v>
      </c>
      <c r="M138" s="2" t="n">
        <v>0</v>
      </c>
      <c r="N138" s="2" t="n">
        <v>0</v>
      </c>
      <c r="O138" s="2" t="n">
        <v>0</v>
      </c>
      <c r="P138" s="2" t="n">
        <v>1.4</v>
      </c>
      <c r="Q138" s="2">
        <f>SUM(B138:P138)</f>
        <v/>
      </c>
      <c r="R138" s="25" t="n"/>
      <c r="S138" s="62">
        <f>(B138/$Q138)</f>
        <v/>
      </c>
      <c r="T138" s="62">
        <f>(C138/$Q138)</f>
        <v/>
      </c>
      <c r="U138" s="62">
        <f>(D138/$Q138)</f>
        <v/>
      </c>
      <c r="V138" s="62">
        <f>(E138/$Q138)</f>
        <v/>
      </c>
      <c r="W138" s="62">
        <f>(F138/$Q138)</f>
        <v/>
      </c>
      <c r="X138" s="62">
        <f>(G138/$Q138)</f>
        <v/>
      </c>
      <c r="Y138" s="62">
        <f>(H138/$Q138)</f>
        <v/>
      </c>
      <c r="Z138" s="62">
        <f>(I138/$Q138)</f>
        <v/>
      </c>
      <c r="AA138" s="62">
        <f>(J138/$Q138)</f>
        <v/>
      </c>
      <c r="AB138" s="62">
        <f>(K138/$Q138)</f>
        <v/>
      </c>
      <c r="AC138" s="62">
        <f>(L138/$Q138)</f>
        <v/>
      </c>
      <c r="AD138" s="62">
        <f>(M138/$Q138)</f>
        <v/>
      </c>
      <c r="AE138" s="62">
        <f>(N138/$Q138)</f>
        <v/>
      </c>
      <c r="AF138" s="62">
        <f>(O138/$Q138)</f>
        <v/>
      </c>
      <c r="AG138" s="62">
        <f>(P138/$Q138)</f>
        <v/>
      </c>
      <c r="AH138" s="78">
        <f>SUM(V138:X138)</f>
        <v/>
      </c>
      <c r="AI138" s="77">
        <f>SUM(Y138:AF138)</f>
        <v/>
      </c>
      <c r="AJ138" s="43">
        <f>SUM(AG138+AI138)</f>
        <v/>
      </c>
      <c r="AK138" s="44">
        <f>AJ138+AH138</f>
        <v/>
      </c>
      <c r="AL138" s="63">
        <f>SUM(V138,Y138:AG138)</f>
        <v/>
      </c>
      <c r="AM138" s="88">
        <f>SUM(W138:X138)</f>
        <v/>
      </c>
      <c r="AN138" s="88">
        <f>SUM(S138:U138)</f>
        <v/>
      </c>
      <c r="AO138" s="2">
        <f>YEAR(A138)</f>
        <v/>
      </c>
      <c r="AP138" s="2">
        <f>MONTH(A138)</f>
        <v/>
      </c>
      <c r="AQ138" s="2">
        <f>AQ137+1</f>
        <v/>
      </c>
    </row>
    <row r="139" ht="15.75" customFormat="1" customHeight="1" s="2">
      <c r="A139" s="9" t="n">
        <v>45341</v>
      </c>
      <c r="B139" s="2" t="n">
        <v>25.66</v>
      </c>
      <c r="C139" s="2" t="n">
        <v>0.22</v>
      </c>
      <c r="D139" s="2" t="n">
        <v>6.7</v>
      </c>
      <c r="E139" s="2" t="n">
        <v>0.88</v>
      </c>
      <c r="F139" s="2" t="n">
        <v>0.88</v>
      </c>
      <c r="G139" s="2" t="n">
        <v>1</v>
      </c>
      <c r="H139" s="2" t="n">
        <v>0.02</v>
      </c>
      <c r="I139" s="2" t="n">
        <v>0.2</v>
      </c>
      <c r="J139" s="2" t="n">
        <v>0</v>
      </c>
      <c r="K139" s="2" t="n">
        <v>0</v>
      </c>
      <c r="L139" s="2" t="n">
        <v>0</v>
      </c>
      <c r="M139" s="2" t="n">
        <v>0</v>
      </c>
      <c r="N139" s="2" t="n">
        <v>0</v>
      </c>
      <c r="O139" s="2" t="n">
        <v>0</v>
      </c>
      <c r="P139" s="2" t="n">
        <v>1</v>
      </c>
      <c r="Q139" s="2">
        <f>SUM(B139:P139)</f>
        <v/>
      </c>
      <c r="R139" s="25" t="n"/>
      <c r="S139" s="62">
        <f>(B139/$Q139)</f>
        <v/>
      </c>
      <c r="T139" s="62">
        <f>(C139/$Q139)</f>
        <v/>
      </c>
      <c r="U139" s="62">
        <f>(D139/$Q139)</f>
        <v/>
      </c>
      <c r="V139" s="62">
        <f>(E139/$Q139)</f>
        <v/>
      </c>
      <c r="W139" s="62">
        <f>(F139/$Q139)</f>
        <v/>
      </c>
      <c r="X139" s="62">
        <f>(G139/$Q139)</f>
        <v/>
      </c>
      <c r="Y139" s="62">
        <f>(H139/$Q139)</f>
        <v/>
      </c>
      <c r="Z139" s="62">
        <f>(I139/$Q139)</f>
        <v/>
      </c>
      <c r="AA139" s="62">
        <f>(J139/$Q139)</f>
        <v/>
      </c>
      <c r="AB139" s="62">
        <f>(K139/$Q139)</f>
        <v/>
      </c>
      <c r="AC139" s="62">
        <f>(L139/$Q139)</f>
        <v/>
      </c>
      <c r="AD139" s="62">
        <f>(M139/$Q139)</f>
        <v/>
      </c>
      <c r="AE139" s="62">
        <f>(N139/$Q139)</f>
        <v/>
      </c>
      <c r="AF139" s="62">
        <f>(O139/$Q139)</f>
        <v/>
      </c>
      <c r="AG139" s="62">
        <f>(P139/$Q139)</f>
        <v/>
      </c>
      <c r="AH139" s="78">
        <f>SUM(V139:X139)</f>
        <v/>
      </c>
      <c r="AI139" s="77">
        <f>SUM(Y139:AF139)</f>
        <v/>
      </c>
      <c r="AJ139" s="43">
        <f>SUM(AG139+AI139)</f>
        <v/>
      </c>
      <c r="AK139" s="44">
        <f>AJ139+AH139</f>
        <v/>
      </c>
      <c r="AL139" s="63">
        <f>SUM(V139,Y139:AG139)</f>
        <v/>
      </c>
      <c r="AM139" s="88">
        <f>SUM(W139:X139)</f>
        <v/>
      </c>
      <c r="AN139" s="88">
        <f>SUM(S139:U139)</f>
        <v/>
      </c>
      <c r="AO139" s="2">
        <f>YEAR(A139)</f>
        <v/>
      </c>
      <c r="AP139" s="2">
        <f>MONTH(A139)</f>
        <v/>
      </c>
      <c r="AQ139" s="2">
        <f>AQ138+1</f>
        <v/>
      </c>
    </row>
    <row r="140" ht="15.75" customFormat="1" customHeight="1" s="2">
      <c r="A140" s="9" t="n">
        <v>45342</v>
      </c>
      <c r="B140" s="2" t="n">
        <v>22.5</v>
      </c>
      <c r="C140" s="2" t="n">
        <v>0.3</v>
      </c>
      <c r="D140" s="2" t="n">
        <v>9.529999999999999</v>
      </c>
      <c r="E140" s="2" t="n">
        <v>0.9</v>
      </c>
      <c r="F140" s="2" t="n">
        <v>0.9399999999999999</v>
      </c>
      <c r="G140" s="2" t="n">
        <v>0.58</v>
      </c>
      <c r="H140" s="2" t="n">
        <v>0.04</v>
      </c>
      <c r="I140" s="2" t="n">
        <v>0.06</v>
      </c>
      <c r="J140" s="2" t="n">
        <v>0</v>
      </c>
      <c r="K140" s="2" t="n">
        <v>0.04</v>
      </c>
      <c r="L140" s="2" t="n">
        <v>0</v>
      </c>
      <c r="M140" s="2" t="n">
        <v>0</v>
      </c>
      <c r="N140" s="2" t="n">
        <v>0.04</v>
      </c>
      <c r="O140" s="2" t="n">
        <v>0</v>
      </c>
      <c r="P140" s="2" t="n">
        <v>0.78</v>
      </c>
      <c r="Q140" s="2">
        <f>SUM(B140:P140)</f>
        <v/>
      </c>
      <c r="R140" s="25" t="n"/>
      <c r="S140" s="62">
        <f>(B140/$Q140)</f>
        <v/>
      </c>
      <c r="T140" s="62">
        <f>(C140/$Q140)</f>
        <v/>
      </c>
      <c r="U140" s="62">
        <f>(D140/$Q140)</f>
        <v/>
      </c>
      <c r="V140" s="62">
        <f>(E140/$Q140)</f>
        <v/>
      </c>
      <c r="W140" s="62">
        <f>(F140/$Q140)</f>
        <v/>
      </c>
      <c r="X140" s="62">
        <f>(G140/$Q140)</f>
        <v/>
      </c>
      <c r="Y140" s="62">
        <f>(H140/$Q140)</f>
        <v/>
      </c>
      <c r="Z140" s="62">
        <f>(I140/$Q140)</f>
        <v/>
      </c>
      <c r="AA140" s="62">
        <f>(J140/$Q140)</f>
        <v/>
      </c>
      <c r="AB140" s="62">
        <f>(K140/$Q140)</f>
        <v/>
      </c>
      <c r="AC140" s="62">
        <f>(L140/$Q140)</f>
        <v/>
      </c>
      <c r="AD140" s="62">
        <f>(M140/$Q140)</f>
        <v/>
      </c>
      <c r="AE140" s="62">
        <f>(N140/$Q140)</f>
        <v/>
      </c>
      <c r="AF140" s="62">
        <f>(O140/$Q140)</f>
        <v/>
      </c>
      <c r="AG140" s="62">
        <f>(P140/$Q140)</f>
        <v/>
      </c>
      <c r="AH140" s="78">
        <f>SUM(V140:X140)</f>
        <v/>
      </c>
      <c r="AI140" s="77">
        <f>SUM(Y140:AF140)</f>
        <v/>
      </c>
      <c r="AJ140" s="43">
        <f>SUM(AG140+AI140)</f>
        <v/>
      </c>
      <c r="AK140" s="44">
        <f>AJ140+AH140</f>
        <v/>
      </c>
      <c r="AL140" s="63">
        <f>SUM(V140,Y140:AG140)</f>
        <v/>
      </c>
      <c r="AM140" s="88">
        <f>SUM(W140:X140)</f>
        <v/>
      </c>
      <c r="AN140" s="88">
        <f>SUM(S140:U140)</f>
        <v/>
      </c>
      <c r="AO140" s="2">
        <f>YEAR(A140)</f>
        <v/>
      </c>
      <c r="AP140" s="2">
        <f>MONTH(A140)</f>
        <v/>
      </c>
      <c r="AQ140" s="2">
        <f>AQ139+1</f>
        <v/>
      </c>
    </row>
    <row r="141" ht="15.75" customFormat="1" customHeight="1" s="2">
      <c r="A141" s="9" t="n">
        <v>45350</v>
      </c>
      <c r="B141" s="2" t="n">
        <v>16.06</v>
      </c>
      <c r="C141" s="2" t="n">
        <v>4.78</v>
      </c>
      <c r="D141" s="2" t="n">
        <v>10.48</v>
      </c>
      <c r="E141" s="2" t="n">
        <v>0.7</v>
      </c>
      <c r="F141" s="2" t="n">
        <v>0.98</v>
      </c>
      <c r="G141" s="2" t="n">
        <v>1.02</v>
      </c>
      <c r="H141" s="2" t="n">
        <v>0</v>
      </c>
      <c r="I141" s="2" t="n">
        <v>0.1</v>
      </c>
      <c r="J141" s="2" t="n">
        <v>0</v>
      </c>
      <c r="K141" s="2" t="n">
        <v>0.06</v>
      </c>
      <c r="L141" s="2" t="n">
        <v>0</v>
      </c>
      <c r="M141" s="2" t="n">
        <v>0</v>
      </c>
      <c r="N141" s="2" t="n">
        <v>0</v>
      </c>
      <c r="O141" s="2" t="n">
        <v>0</v>
      </c>
      <c r="P141" s="2" t="n">
        <v>0.5600000000000001</v>
      </c>
      <c r="Q141" s="2">
        <f>SUM(B141:P141)</f>
        <v/>
      </c>
      <c r="R141" s="25" t="n"/>
      <c r="S141" s="62">
        <f>(B141/$Q141)</f>
        <v/>
      </c>
      <c r="T141" s="62">
        <f>(C141/$Q141)</f>
        <v/>
      </c>
      <c r="U141" s="62">
        <f>(D141/$Q141)</f>
        <v/>
      </c>
      <c r="V141" s="62">
        <f>(E141/$Q141)</f>
        <v/>
      </c>
      <c r="W141" s="62">
        <f>(F141/$Q141)</f>
        <v/>
      </c>
      <c r="X141" s="62">
        <f>(G141/$Q141)</f>
        <v/>
      </c>
      <c r="Y141" s="62">
        <f>(H141/$Q141)</f>
        <v/>
      </c>
      <c r="Z141" s="62">
        <f>(I141/$Q141)</f>
        <v/>
      </c>
      <c r="AA141" s="62">
        <f>(J141/$Q141)</f>
        <v/>
      </c>
      <c r="AB141" s="62">
        <f>(K141/$Q141)</f>
        <v/>
      </c>
      <c r="AC141" s="62">
        <f>(L141/$Q141)</f>
        <v/>
      </c>
      <c r="AD141" s="62">
        <f>(M141/$Q141)</f>
        <v/>
      </c>
      <c r="AE141" s="62">
        <f>(N141/$Q141)</f>
        <v/>
      </c>
      <c r="AF141" s="62">
        <f>(O141/$Q141)</f>
        <v/>
      </c>
      <c r="AG141" s="62">
        <f>(P141/$Q141)</f>
        <v/>
      </c>
      <c r="AH141" s="78">
        <f>SUM(V141:X141)</f>
        <v/>
      </c>
      <c r="AI141" s="77">
        <f>SUM(Y141:AF141)</f>
        <v/>
      </c>
      <c r="AJ141" s="43">
        <f>SUM(AG141+AI141)</f>
        <v/>
      </c>
      <c r="AK141" s="44">
        <f>AJ141+AH141</f>
        <v/>
      </c>
      <c r="AL141" s="63">
        <f>SUM(V141,Y141:AG141)</f>
        <v/>
      </c>
      <c r="AM141" s="88">
        <f>SUM(W141:X141)</f>
        <v/>
      </c>
      <c r="AN141" s="88">
        <f>SUM(S141:U141)</f>
        <v/>
      </c>
      <c r="AO141" s="2">
        <f>YEAR(A141)</f>
        <v/>
      </c>
      <c r="AP141" s="2">
        <f>MONTH(A141)</f>
        <v/>
      </c>
      <c r="AQ141" s="2">
        <f>AQ140+1</f>
        <v/>
      </c>
    </row>
    <row r="142" ht="15.75" customFormat="1" customHeight="1" s="2">
      <c r="A142" s="9" t="n">
        <v>45355</v>
      </c>
      <c r="B142" s="2" t="n">
        <v>18.96</v>
      </c>
      <c r="C142" s="2" t="n">
        <v>3.4</v>
      </c>
      <c r="D142" s="2" t="n">
        <v>8.76</v>
      </c>
      <c r="E142" s="2" t="n">
        <v>3.14</v>
      </c>
      <c r="F142" s="2" t="n">
        <v>2.92</v>
      </c>
      <c r="G142" s="2" t="n">
        <v>2.56</v>
      </c>
      <c r="H142" s="2" t="n">
        <v>0</v>
      </c>
      <c r="I142" s="2" t="n">
        <v>0</v>
      </c>
      <c r="J142" s="2" t="n">
        <v>0</v>
      </c>
      <c r="K142" s="2" t="n">
        <v>0</v>
      </c>
      <c r="L142" s="2" t="n">
        <v>0</v>
      </c>
      <c r="M142" s="2" t="n">
        <v>0</v>
      </c>
      <c r="N142" s="2" t="n">
        <v>0</v>
      </c>
      <c r="O142" s="2" t="n">
        <v>0</v>
      </c>
      <c r="P142" s="2" t="n">
        <v>3.26</v>
      </c>
      <c r="Q142" s="2">
        <f>SUM(B142:P142)</f>
        <v/>
      </c>
      <c r="R142" s="25" t="n"/>
      <c r="S142" s="62">
        <f>(B142/$Q142)</f>
        <v/>
      </c>
      <c r="T142" s="62">
        <f>(C142/$Q142)</f>
        <v/>
      </c>
      <c r="U142" s="62">
        <f>(D142/$Q142)</f>
        <v/>
      </c>
      <c r="V142" s="62">
        <f>(E142/$Q142)</f>
        <v/>
      </c>
      <c r="W142" s="62">
        <f>(F142/$Q142)</f>
        <v/>
      </c>
      <c r="X142" s="62">
        <f>(G142/$Q142)</f>
        <v/>
      </c>
      <c r="Y142" s="62">
        <f>(H142/$Q142)</f>
        <v/>
      </c>
      <c r="Z142" s="62">
        <f>(I142/$Q142)</f>
        <v/>
      </c>
      <c r="AA142" s="62">
        <f>(J142/$Q142)</f>
        <v/>
      </c>
      <c r="AB142" s="62">
        <f>(K142/$Q142)</f>
        <v/>
      </c>
      <c r="AC142" s="62">
        <f>(L142/$Q142)</f>
        <v/>
      </c>
      <c r="AD142" s="62">
        <f>(M142/$Q142)</f>
        <v/>
      </c>
      <c r="AE142" s="62">
        <f>(N142/$Q142)</f>
        <v/>
      </c>
      <c r="AF142" s="62">
        <f>(O142/$Q142)</f>
        <v/>
      </c>
      <c r="AG142" s="62">
        <f>(P142/$Q142)</f>
        <v/>
      </c>
      <c r="AH142" s="78">
        <f>SUM(V142:X142)</f>
        <v/>
      </c>
      <c r="AI142" s="77">
        <f>SUM(Y142:AF142)</f>
        <v/>
      </c>
      <c r="AJ142" s="43">
        <f>SUM(AG142+AI142)</f>
        <v/>
      </c>
      <c r="AK142" s="44">
        <f>AJ142+AH142</f>
        <v/>
      </c>
      <c r="AL142" s="63">
        <f>SUM(V142,Y142:AG142)</f>
        <v/>
      </c>
      <c r="AM142" s="88">
        <f>SUM(W142:X142)</f>
        <v/>
      </c>
      <c r="AN142" s="88">
        <f>SUM(S142:U142)</f>
        <v/>
      </c>
      <c r="AO142" s="2">
        <f>YEAR(A142)</f>
        <v/>
      </c>
      <c r="AP142" s="2">
        <f>MONTH(A142)</f>
        <v/>
      </c>
      <c r="AQ142" s="2">
        <f>AQ141+1</f>
        <v/>
      </c>
    </row>
    <row r="143" ht="15.75" customFormat="1" customHeight="1" s="2">
      <c r="A143" s="9" t="n">
        <v>45356</v>
      </c>
      <c r="B143" s="2" t="n">
        <v>21.22</v>
      </c>
      <c r="C143" s="2" t="n">
        <v>0.3</v>
      </c>
      <c r="D143" s="2" t="n">
        <v>4.16</v>
      </c>
      <c r="E143" s="2" t="n">
        <v>0.78</v>
      </c>
      <c r="F143" s="2" t="n">
        <v>0.72</v>
      </c>
      <c r="G143" s="2" t="n">
        <v>0.52</v>
      </c>
      <c r="H143" s="2" t="n">
        <v>0</v>
      </c>
      <c r="I143" s="2" t="n">
        <v>0</v>
      </c>
      <c r="J143" s="2" t="n">
        <v>0</v>
      </c>
      <c r="K143" s="2" t="n">
        <v>0</v>
      </c>
      <c r="L143" s="2" t="n">
        <v>0.02</v>
      </c>
      <c r="M143" s="2" t="n">
        <v>0</v>
      </c>
      <c r="N143" s="2" t="n">
        <v>0</v>
      </c>
      <c r="O143" s="2" t="n">
        <v>0</v>
      </c>
      <c r="P143" s="2" t="n">
        <v>1.2</v>
      </c>
      <c r="Q143" s="2">
        <f>SUM(B143:P143)</f>
        <v/>
      </c>
      <c r="R143" s="25" t="n"/>
      <c r="S143" s="62">
        <f>(B143/$Q143)</f>
        <v/>
      </c>
      <c r="T143" s="62">
        <f>(C143/$Q143)</f>
        <v/>
      </c>
      <c r="U143" s="62">
        <f>(D143/$Q143)</f>
        <v/>
      </c>
      <c r="V143" s="62">
        <f>(E143/$Q143)</f>
        <v/>
      </c>
      <c r="W143" s="62">
        <f>(F143/$Q143)</f>
        <v/>
      </c>
      <c r="X143" s="62">
        <f>(G143/$Q143)</f>
        <v/>
      </c>
      <c r="Y143" s="62">
        <f>(H143/$Q143)</f>
        <v/>
      </c>
      <c r="Z143" s="62">
        <f>(I143/$Q143)</f>
        <v/>
      </c>
      <c r="AA143" s="62">
        <f>(J143/$Q143)</f>
        <v/>
      </c>
      <c r="AB143" s="62">
        <f>(K143/$Q143)</f>
        <v/>
      </c>
      <c r="AC143" s="62">
        <f>(L143/$Q143)</f>
        <v/>
      </c>
      <c r="AD143" s="62">
        <f>(M143/$Q143)</f>
        <v/>
      </c>
      <c r="AE143" s="62">
        <f>(N143/$Q143)</f>
        <v/>
      </c>
      <c r="AF143" s="62">
        <f>(O143/$Q143)</f>
        <v/>
      </c>
      <c r="AG143" s="62">
        <f>(P143/$Q143)</f>
        <v/>
      </c>
      <c r="AH143" s="78">
        <f>SUM(V143:X143)</f>
        <v/>
      </c>
      <c r="AI143" s="77">
        <f>SUM(Y143:AF143)</f>
        <v/>
      </c>
      <c r="AJ143" s="43">
        <f>SUM(AG143+AI143)</f>
        <v/>
      </c>
      <c r="AK143" s="44">
        <f>AJ143+AH143</f>
        <v/>
      </c>
      <c r="AL143" s="63">
        <f>SUM(V143,Y143:AG143)</f>
        <v/>
      </c>
      <c r="AM143" s="88">
        <f>SUM(W143:X143)</f>
        <v/>
      </c>
      <c r="AN143" s="88">
        <f>SUM(S143:U143)</f>
        <v/>
      </c>
      <c r="AO143" s="2">
        <f>YEAR(A143)</f>
        <v/>
      </c>
      <c r="AP143" s="2">
        <f>MONTH(A143)</f>
        <v/>
      </c>
      <c r="AQ143" s="2">
        <f>AQ142+1</f>
        <v/>
      </c>
    </row>
    <row r="144" ht="15.75" customFormat="1" customHeight="1" s="2">
      <c r="A144" s="9" t="n">
        <v>45362</v>
      </c>
      <c r="B144" s="2" t="n">
        <v>26.06</v>
      </c>
      <c r="C144" s="2" t="n">
        <v>0.66</v>
      </c>
      <c r="D144" s="2" t="n">
        <v>6.92</v>
      </c>
      <c r="E144" s="2" t="n">
        <v>0.64</v>
      </c>
      <c r="F144" s="2" t="n">
        <v>0.42</v>
      </c>
      <c r="G144" s="2" t="n">
        <v>0.6</v>
      </c>
      <c r="H144" s="2" t="n">
        <v>0</v>
      </c>
      <c r="I144" s="2" t="n">
        <v>0.06</v>
      </c>
      <c r="J144" s="2" t="n">
        <v>0.04</v>
      </c>
      <c r="K144" s="2" t="n">
        <v>0</v>
      </c>
      <c r="L144" s="2" t="n">
        <v>0</v>
      </c>
      <c r="M144" s="2" t="n">
        <v>0</v>
      </c>
      <c r="N144" s="2" t="n">
        <v>0</v>
      </c>
      <c r="O144" s="2" t="n">
        <v>0</v>
      </c>
      <c r="P144" s="2" t="n">
        <v>0.82</v>
      </c>
      <c r="Q144" s="2">
        <f>SUM(B144:P144)</f>
        <v/>
      </c>
      <c r="R144" s="25" t="n"/>
      <c r="S144" s="62">
        <f>(B144/$Q144)</f>
        <v/>
      </c>
      <c r="T144" s="62">
        <f>(C144/$Q144)</f>
        <v/>
      </c>
      <c r="U144" s="62">
        <f>(D144/$Q144)</f>
        <v/>
      </c>
      <c r="V144" s="62">
        <f>(E144/$Q144)</f>
        <v/>
      </c>
      <c r="W144" s="62">
        <f>(F144/$Q144)</f>
        <v/>
      </c>
      <c r="X144" s="62">
        <f>(G144/$Q144)</f>
        <v/>
      </c>
      <c r="Y144" s="62">
        <f>(H144/$Q144)</f>
        <v/>
      </c>
      <c r="Z144" s="62">
        <f>(I144/$Q144)</f>
        <v/>
      </c>
      <c r="AA144" s="62">
        <f>(J144/$Q144)</f>
        <v/>
      </c>
      <c r="AB144" s="62">
        <f>(K144/$Q144)</f>
        <v/>
      </c>
      <c r="AC144" s="62">
        <f>(L144/$Q144)</f>
        <v/>
      </c>
      <c r="AD144" s="62">
        <f>(M144/$Q144)</f>
        <v/>
      </c>
      <c r="AE144" s="62">
        <f>(N144/$Q144)</f>
        <v/>
      </c>
      <c r="AF144" s="62">
        <f>(O144/$Q144)</f>
        <v/>
      </c>
      <c r="AG144" s="62">
        <f>(P144/$Q144)</f>
        <v/>
      </c>
      <c r="AH144" s="78">
        <f>SUM(V144:X144)</f>
        <v/>
      </c>
      <c r="AI144" s="77">
        <f>SUM(Y144:AF144)</f>
        <v/>
      </c>
      <c r="AJ144" s="43">
        <f>SUM(AG144+AI144)</f>
        <v/>
      </c>
      <c r="AK144" s="44">
        <f>AJ144+AH144</f>
        <v/>
      </c>
      <c r="AL144" s="63">
        <f>SUM(V144,Y144:AG144)</f>
        <v/>
      </c>
      <c r="AM144" s="88">
        <f>SUM(W144:X144)</f>
        <v/>
      </c>
      <c r="AN144" s="88">
        <f>SUM(S144:U144)</f>
        <v/>
      </c>
      <c r="AO144" s="2">
        <f>YEAR(A144)</f>
        <v/>
      </c>
      <c r="AP144" s="2">
        <f>MONTH(A144)</f>
        <v/>
      </c>
      <c r="AQ144" s="2">
        <f>AQ143+1</f>
        <v/>
      </c>
    </row>
    <row r="145" ht="20.25" customHeight="1" s="259">
      <c r="A145" s="9" t="n">
        <v>45363</v>
      </c>
      <c r="B145" s="2" t="n">
        <v>20.06</v>
      </c>
      <c r="C145" s="2" t="n">
        <v>2.64</v>
      </c>
      <c r="D145" s="2" t="n">
        <v>4.92</v>
      </c>
      <c r="E145" s="2" t="n">
        <v>1.24</v>
      </c>
      <c r="F145" s="2" t="n">
        <v>1.04</v>
      </c>
      <c r="G145" s="2" t="n">
        <v>0.6</v>
      </c>
      <c r="H145" s="2" t="n">
        <v>0</v>
      </c>
      <c r="I145" s="2" t="n">
        <v>0.06</v>
      </c>
      <c r="J145" s="2" t="n">
        <v>0.04</v>
      </c>
      <c r="K145" s="2" t="n">
        <v>0</v>
      </c>
      <c r="L145" s="2" t="n">
        <v>0.02</v>
      </c>
      <c r="M145" s="2" t="n">
        <v>0</v>
      </c>
      <c r="N145" s="2" t="n">
        <v>0.04</v>
      </c>
      <c r="O145" s="2" t="n">
        <v>0</v>
      </c>
      <c r="P145" s="2" t="n">
        <v>1.2</v>
      </c>
      <c r="Q145" s="2">
        <f>SUM(B145:P145)</f>
        <v/>
      </c>
      <c r="S145" s="62">
        <f>(B145/$Q145)</f>
        <v/>
      </c>
      <c r="T145" s="62">
        <f>(C145/$Q145)</f>
        <v/>
      </c>
      <c r="U145" s="62">
        <f>(D145/$Q145)</f>
        <v/>
      </c>
      <c r="V145" s="62">
        <f>(E145/$Q145)</f>
        <v/>
      </c>
      <c r="W145" s="62">
        <f>(F145/$Q145)</f>
        <v/>
      </c>
      <c r="X145" s="62">
        <f>(G145/$Q145)</f>
        <v/>
      </c>
      <c r="Y145" s="62">
        <f>(H145/$Q145)</f>
        <v/>
      </c>
      <c r="Z145" s="62">
        <f>(I145/$Q145)</f>
        <v/>
      </c>
      <c r="AA145" s="62">
        <f>(J145/$Q145)</f>
        <v/>
      </c>
      <c r="AB145" s="62">
        <f>(K145/$Q145)</f>
        <v/>
      </c>
      <c r="AC145" s="62">
        <f>(L145/$Q145)</f>
        <v/>
      </c>
      <c r="AD145" s="62">
        <f>(M145/$Q145)</f>
        <v/>
      </c>
      <c r="AE145" s="62">
        <f>(N145/$Q145)</f>
        <v/>
      </c>
      <c r="AF145" s="62">
        <f>(O145/$Q145)</f>
        <v/>
      </c>
      <c r="AG145" s="62">
        <f>(P145/$Q145)</f>
        <v/>
      </c>
      <c r="AH145" s="78">
        <f>SUM(V145:X145)</f>
        <v/>
      </c>
      <c r="AI145" s="77">
        <f>SUM(Y145:AF145)</f>
        <v/>
      </c>
      <c r="AJ145" s="43">
        <f>SUM(AG145+AI145)</f>
        <v/>
      </c>
      <c r="AK145" s="44">
        <f>AJ145+AH145</f>
        <v/>
      </c>
      <c r="AL145" s="63">
        <f>SUM(V145,Y145:AG145)</f>
        <v/>
      </c>
      <c r="AM145" s="88">
        <f>SUM(W145:X145)</f>
        <v/>
      </c>
      <c r="AN145" s="88">
        <f>SUM(S145:U145)</f>
        <v/>
      </c>
      <c r="AO145" s="2">
        <f>YEAR(A145)</f>
        <v/>
      </c>
      <c r="AP145" s="2">
        <f>MONTH(A145)</f>
        <v/>
      </c>
      <c r="AQ145" s="2">
        <f>AQ144+1</f>
        <v/>
      </c>
    </row>
    <row r="146" ht="20.25" customHeight="1" s="259">
      <c r="A146" s="9" t="n">
        <v>45393</v>
      </c>
      <c r="B146" t="n">
        <v>15.04</v>
      </c>
      <c r="C146" s="2" t="n">
        <v>0.46</v>
      </c>
      <c r="E146" s="2" t="n">
        <v>0.3</v>
      </c>
      <c r="F146" s="2" t="n">
        <v>0.26</v>
      </c>
      <c r="G146" s="2" t="n">
        <v>0.14</v>
      </c>
      <c r="I146" s="65" t="n">
        <v>0.02</v>
      </c>
      <c r="K146" s="2" t="n">
        <v>0.04</v>
      </c>
      <c r="N146" s="2" t="n">
        <v>0.02</v>
      </c>
      <c r="P146" s="2" t="n">
        <v>0.22</v>
      </c>
      <c r="Q146" s="2">
        <f>SUM(B146:P146)</f>
        <v/>
      </c>
      <c r="S146" s="62">
        <f>(B146/$Q146)</f>
        <v/>
      </c>
      <c r="T146" s="62">
        <f>(C146/$Q146)</f>
        <v/>
      </c>
      <c r="U146" s="62">
        <f>(D146/$Q146)</f>
        <v/>
      </c>
      <c r="V146" s="62">
        <f>(E146/$Q146)</f>
        <v/>
      </c>
      <c r="W146" s="62">
        <f>(F146/$Q146)</f>
        <v/>
      </c>
      <c r="X146" s="62">
        <f>(G146/$Q146)</f>
        <v/>
      </c>
      <c r="Y146" s="62">
        <f>(H146/$Q146)</f>
        <v/>
      </c>
      <c r="Z146" s="62">
        <f>(I146/$Q146)</f>
        <v/>
      </c>
      <c r="AA146" s="62">
        <f>(J146/$Q146)</f>
        <v/>
      </c>
      <c r="AB146" s="62">
        <f>(K146/$Q146)</f>
        <v/>
      </c>
      <c r="AC146" s="62">
        <f>(L146/$Q146)</f>
        <v/>
      </c>
      <c r="AD146" s="62">
        <f>(M146/$Q146)</f>
        <v/>
      </c>
      <c r="AE146" s="62">
        <f>(N146/$Q146)</f>
        <v/>
      </c>
      <c r="AF146" s="62">
        <f>(O146/$Q146)</f>
        <v/>
      </c>
      <c r="AG146" s="62">
        <f>(P146/$Q146)</f>
        <v/>
      </c>
      <c r="AH146" s="78">
        <f>SUM(V146:X146)</f>
        <v/>
      </c>
      <c r="AI146" s="77">
        <f>SUM(Y146:AF146)</f>
        <v/>
      </c>
      <c r="AJ146" s="43">
        <f>SUM(AG146+AI146)</f>
        <v/>
      </c>
      <c r="AK146" s="44">
        <f>AJ146+AH146</f>
        <v/>
      </c>
      <c r="AL146" s="63">
        <f>SUM(V146,Y146:AG146)</f>
        <v/>
      </c>
      <c r="AM146" s="88">
        <f>SUM(W146:X146)</f>
        <v/>
      </c>
      <c r="AN146" s="88">
        <f>SUM(S146:U146)</f>
        <v/>
      </c>
      <c r="AO146" s="2">
        <f>YEAR(A146)</f>
        <v/>
      </c>
      <c r="AP146" s="2">
        <f>MONTH(A146)</f>
        <v/>
      </c>
      <c r="AQ146" s="2">
        <f>AQ145+1</f>
        <v/>
      </c>
    </row>
    <row r="147" ht="20.25" customHeight="1" s="259">
      <c r="A147" s="9" t="n">
        <v>45397</v>
      </c>
      <c r="B147" s="2" t="n">
        <v>9.300000000000001</v>
      </c>
      <c r="C147" s="2" t="n">
        <v>0.18</v>
      </c>
      <c r="D147" s="2" t="n">
        <v>0</v>
      </c>
      <c r="E147" s="2" t="n">
        <v>0.24</v>
      </c>
      <c r="F147" s="2" t="n">
        <v>0.12</v>
      </c>
      <c r="G147" s="2" t="n">
        <v>0.06</v>
      </c>
      <c r="H147" s="2" t="n">
        <v>0</v>
      </c>
      <c r="I147" s="2" t="n">
        <v>0</v>
      </c>
      <c r="J147" s="2" t="n">
        <v>0</v>
      </c>
      <c r="K147" s="2" t="n">
        <v>0</v>
      </c>
      <c r="L147" s="2" t="n">
        <v>0</v>
      </c>
      <c r="M147" s="2" t="n">
        <v>0</v>
      </c>
      <c r="N147" s="2" t="n">
        <v>0</v>
      </c>
      <c r="O147" s="2" t="n">
        <v>0</v>
      </c>
      <c r="P147" s="2" t="n">
        <v>0.14</v>
      </c>
      <c r="Q147" s="2">
        <f>SUM(B147:P147)</f>
        <v/>
      </c>
      <c r="S147" s="62">
        <f>(B147/$Q147)</f>
        <v/>
      </c>
      <c r="T147" s="62">
        <f>(C147/$Q147)</f>
        <v/>
      </c>
      <c r="U147" s="62">
        <f>(D147/$Q147)</f>
        <v/>
      </c>
      <c r="V147" s="62">
        <f>(E147/$Q147)</f>
        <v/>
      </c>
      <c r="W147" s="62">
        <f>(F147/$Q147)</f>
        <v/>
      </c>
      <c r="X147" s="62">
        <f>(G147/$Q147)</f>
        <v/>
      </c>
      <c r="Y147" s="62">
        <f>(H147/$Q147)</f>
        <v/>
      </c>
      <c r="Z147" s="62">
        <f>(I147/$Q147)</f>
        <v/>
      </c>
      <c r="AA147" s="62">
        <f>(J147/$Q147)</f>
        <v/>
      </c>
      <c r="AB147" s="62">
        <f>(K147/$Q147)</f>
        <v/>
      </c>
      <c r="AC147" s="62">
        <f>(L147/$Q147)</f>
        <v/>
      </c>
      <c r="AD147" s="62">
        <f>(M147/$Q147)</f>
        <v/>
      </c>
      <c r="AE147" s="62">
        <f>(N147/$Q147)</f>
        <v/>
      </c>
      <c r="AF147" s="62">
        <f>(O147/$Q147)</f>
        <v/>
      </c>
      <c r="AG147" s="62">
        <f>(P147/$Q147)</f>
        <v/>
      </c>
      <c r="AH147" s="78">
        <f>SUM(V147:X147)</f>
        <v/>
      </c>
      <c r="AI147" s="77">
        <f>SUM(Y147:AF147)</f>
        <v/>
      </c>
      <c r="AJ147" s="43">
        <f>SUM(AG147+AI147)</f>
        <v/>
      </c>
      <c r="AK147" s="44">
        <f>AJ147+AH147</f>
        <v/>
      </c>
      <c r="AL147" s="63">
        <f>SUM(V147,Y147:AG147)</f>
        <v/>
      </c>
      <c r="AM147" s="88">
        <f>SUM(W147:X147)</f>
        <v/>
      </c>
      <c r="AN147" s="88">
        <f>SUM(S147:U147)</f>
        <v/>
      </c>
      <c r="AO147" s="2">
        <f>YEAR(A147)</f>
        <v/>
      </c>
      <c r="AP147" s="2">
        <f>MONTH(A147)</f>
        <v/>
      </c>
      <c r="AQ147" s="2">
        <f>AQ146+1</f>
        <v/>
      </c>
    </row>
    <row r="148" ht="20.25" customHeight="1" s="259">
      <c r="A148" s="9" t="n">
        <v>45398</v>
      </c>
      <c r="B148" s="2" t="n">
        <v>11.04</v>
      </c>
      <c r="C148" s="2" t="n">
        <v>0.2</v>
      </c>
      <c r="D148" s="2" t="n">
        <v>0</v>
      </c>
      <c r="E148" s="2" t="n">
        <v>0.06</v>
      </c>
      <c r="F148" s="2" t="n">
        <v>0.22</v>
      </c>
      <c r="G148" s="2" t="n">
        <v>0.5</v>
      </c>
      <c r="H148" s="2" t="n">
        <v>0</v>
      </c>
      <c r="I148" s="2" t="n">
        <v>0</v>
      </c>
      <c r="J148" s="2" t="n">
        <v>0</v>
      </c>
      <c r="K148" s="2" t="n">
        <v>0</v>
      </c>
      <c r="L148" s="2" t="n">
        <v>0</v>
      </c>
      <c r="M148" s="2" t="n">
        <v>0</v>
      </c>
      <c r="N148" s="2" t="n">
        <v>0</v>
      </c>
      <c r="O148" s="2" t="n">
        <v>0</v>
      </c>
      <c r="P148" s="2" t="n">
        <v>0.16</v>
      </c>
      <c r="Q148" s="2">
        <f>SUM(B148:P148)</f>
        <v/>
      </c>
      <c r="S148" s="62">
        <f>(B148/$Q148)</f>
        <v/>
      </c>
      <c r="T148" s="62">
        <f>(C148/$Q148)</f>
        <v/>
      </c>
      <c r="U148" s="62">
        <f>(D148/$Q148)</f>
        <v/>
      </c>
      <c r="V148" s="62">
        <f>(E148/$Q148)</f>
        <v/>
      </c>
      <c r="W148" s="62">
        <f>(F148/$Q148)</f>
        <v/>
      </c>
      <c r="X148" s="62">
        <f>(G148/$Q148)</f>
        <v/>
      </c>
      <c r="Y148" s="62">
        <f>(H148/$Q148)</f>
        <v/>
      </c>
      <c r="Z148" s="62">
        <f>(I148/$Q148)</f>
        <v/>
      </c>
      <c r="AA148" s="62">
        <f>(J148/$Q148)</f>
        <v/>
      </c>
      <c r="AB148" s="62">
        <f>(K148/$Q148)</f>
        <v/>
      </c>
      <c r="AC148" s="62">
        <f>(L148/$Q148)</f>
        <v/>
      </c>
      <c r="AD148" s="62">
        <f>(M148/$Q148)</f>
        <v/>
      </c>
      <c r="AE148" s="62">
        <f>(N148/$Q148)</f>
        <v/>
      </c>
      <c r="AF148" s="62">
        <f>(O148/$Q148)</f>
        <v/>
      </c>
      <c r="AG148" s="62">
        <f>(P148/$Q148)</f>
        <v/>
      </c>
      <c r="AH148" s="78">
        <f>SUM(V148:X148)</f>
        <v/>
      </c>
      <c r="AI148" s="77">
        <f>SUM(Y148:AF148)</f>
        <v/>
      </c>
      <c r="AJ148" s="43">
        <f>SUM(AG148+AI148)</f>
        <v/>
      </c>
      <c r="AK148" s="44">
        <f>AJ148+AH148</f>
        <v/>
      </c>
      <c r="AL148" s="63">
        <f>SUM(V148,Y148:AG148)</f>
        <v/>
      </c>
      <c r="AM148" s="88">
        <f>SUM(W148:X148)</f>
        <v/>
      </c>
      <c r="AN148" s="88">
        <f>SUM(S148:U148)</f>
        <v/>
      </c>
      <c r="AO148" s="2">
        <f>YEAR(A148)</f>
        <v/>
      </c>
      <c r="AP148" s="2">
        <f>MONTH(A148)</f>
        <v/>
      </c>
      <c r="AQ148" s="2">
        <f>AQ147+1</f>
        <v/>
      </c>
    </row>
    <row r="149" ht="20.25" customHeight="1" s="259">
      <c r="A149" s="9" t="n">
        <v>45401</v>
      </c>
      <c r="B149" s="2" t="n">
        <v>9.52</v>
      </c>
      <c r="C149" s="2" t="n">
        <v>0.12</v>
      </c>
      <c r="D149" s="2" t="n">
        <v>0.02</v>
      </c>
      <c r="E149" s="2" t="n">
        <v>0.08</v>
      </c>
      <c r="F149" s="2" t="n">
        <v>0.12</v>
      </c>
      <c r="G149" s="2" t="n">
        <v>0.18</v>
      </c>
      <c r="H149" s="2" t="n">
        <v>0</v>
      </c>
      <c r="I149" s="2" t="n">
        <v>0</v>
      </c>
      <c r="J149" s="2" t="n">
        <v>0</v>
      </c>
      <c r="K149" s="2" t="n">
        <v>0</v>
      </c>
      <c r="L149" s="2" t="n">
        <v>0</v>
      </c>
      <c r="M149" s="2" t="n">
        <v>0</v>
      </c>
      <c r="N149" s="2" t="n">
        <v>0</v>
      </c>
      <c r="O149" s="2" t="n">
        <v>0</v>
      </c>
      <c r="P149" s="2" t="n">
        <v>0.1</v>
      </c>
      <c r="Q149" s="2">
        <f>SUM(B149:P149)</f>
        <v/>
      </c>
      <c r="S149" s="62">
        <f>(B149/$Q149)</f>
        <v/>
      </c>
      <c r="T149" s="62">
        <f>(C149/$Q149)</f>
        <v/>
      </c>
      <c r="U149" s="62">
        <f>(D149/$Q149)</f>
        <v/>
      </c>
      <c r="V149" s="62">
        <f>(E149/$Q149)</f>
        <v/>
      </c>
      <c r="W149" s="62">
        <f>(F149/$Q149)</f>
        <v/>
      </c>
      <c r="X149" s="62">
        <f>(G149/$Q149)</f>
        <v/>
      </c>
      <c r="Y149" s="62">
        <f>(H149/$Q149)</f>
        <v/>
      </c>
      <c r="Z149" s="62">
        <f>(I149/$Q149)</f>
        <v/>
      </c>
      <c r="AA149" s="62">
        <f>(J149/$Q149)</f>
        <v/>
      </c>
      <c r="AB149" s="62">
        <f>(K149/$Q149)</f>
        <v/>
      </c>
      <c r="AC149" s="62">
        <f>(L149/$Q149)</f>
        <v/>
      </c>
      <c r="AD149" s="62">
        <f>(M149/$Q149)</f>
        <v/>
      </c>
      <c r="AE149" s="62">
        <f>(N149/$Q149)</f>
        <v/>
      </c>
      <c r="AF149" s="62">
        <f>(O149/$Q149)</f>
        <v/>
      </c>
      <c r="AG149" s="62">
        <f>(P149/$Q149)</f>
        <v/>
      </c>
      <c r="AH149" s="78">
        <f>SUM(V149:X149)</f>
        <v/>
      </c>
      <c r="AI149" s="77">
        <f>SUM(Y149:AF149)</f>
        <v/>
      </c>
      <c r="AJ149" s="43">
        <f>SUM(AG149+AI149)</f>
        <v/>
      </c>
      <c r="AK149" s="44">
        <f>AJ149+AH149</f>
        <v/>
      </c>
      <c r="AL149" s="63">
        <f>SUM(V149,Y149:AG149)</f>
        <v/>
      </c>
      <c r="AM149" s="88">
        <f>SUM(W149:X149)</f>
        <v/>
      </c>
      <c r="AN149" s="88">
        <f>SUM(S149:U149)</f>
        <v/>
      </c>
      <c r="AO149" s="2">
        <f>YEAR(A149)</f>
        <v/>
      </c>
      <c r="AP149" s="2">
        <f>MONTH(A149)</f>
        <v/>
      </c>
      <c r="AQ149" s="2">
        <f>AQ148+1</f>
        <v/>
      </c>
    </row>
    <row r="150" ht="20.25" customHeight="1" s="259">
      <c r="A150" s="9" t="n">
        <v>45404</v>
      </c>
      <c r="B150" s="2" t="n">
        <v>10.48</v>
      </c>
      <c r="C150" s="2" t="n">
        <v>0.54</v>
      </c>
      <c r="D150" s="2" t="n">
        <v>0.04</v>
      </c>
      <c r="E150" s="2" t="n">
        <v>0.12</v>
      </c>
      <c r="F150" s="2" t="n">
        <v>0.52</v>
      </c>
      <c r="G150" s="2" t="n">
        <v>0.34</v>
      </c>
      <c r="H150" s="2" t="n">
        <v>0</v>
      </c>
      <c r="I150" s="2" t="n">
        <v>0.02</v>
      </c>
      <c r="J150" s="2" t="n">
        <v>0</v>
      </c>
      <c r="K150" s="2" t="n">
        <v>0</v>
      </c>
      <c r="L150" s="2" t="n">
        <v>0</v>
      </c>
      <c r="M150" s="2" t="n">
        <v>0</v>
      </c>
      <c r="N150" s="2" t="n">
        <v>0</v>
      </c>
      <c r="O150" s="2" t="n">
        <v>0</v>
      </c>
      <c r="P150" s="2" t="n">
        <v>0.32</v>
      </c>
      <c r="Q150" s="2">
        <f>SUM(B150:P150)</f>
        <v/>
      </c>
      <c r="S150" s="62">
        <f>(B150/$Q150)</f>
        <v/>
      </c>
      <c r="T150" s="62">
        <f>(C150/$Q150)</f>
        <v/>
      </c>
      <c r="U150" s="62">
        <f>(D150/$Q150)</f>
        <v/>
      </c>
      <c r="V150" s="62">
        <f>(E150/$Q150)</f>
        <v/>
      </c>
      <c r="W150" s="62">
        <f>(F150/$Q150)</f>
        <v/>
      </c>
      <c r="X150" s="62">
        <f>(G150/$Q150)</f>
        <v/>
      </c>
      <c r="Y150" s="62">
        <f>(H150/$Q150)</f>
        <v/>
      </c>
      <c r="Z150" s="62">
        <f>(I150/$Q150)</f>
        <v/>
      </c>
      <c r="AA150" s="62">
        <f>(J150/$Q150)</f>
        <v/>
      </c>
      <c r="AB150" s="62">
        <f>(K150/$Q150)</f>
        <v/>
      </c>
      <c r="AC150" s="62">
        <f>(L150/$Q150)</f>
        <v/>
      </c>
      <c r="AD150" s="62">
        <f>(M150/$Q150)</f>
        <v/>
      </c>
      <c r="AE150" s="62">
        <f>(N150/$Q150)</f>
        <v/>
      </c>
      <c r="AF150" s="62">
        <f>(O150/$Q150)</f>
        <v/>
      </c>
      <c r="AG150" s="62">
        <f>(P150/$Q150)</f>
        <v/>
      </c>
      <c r="AH150" s="78">
        <f>SUM(V150:X150)</f>
        <v/>
      </c>
      <c r="AI150" s="77">
        <f>SUM(Y150:AF150)</f>
        <v/>
      </c>
      <c r="AJ150" s="43">
        <f>SUM(AG150+AI150)</f>
        <v/>
      </c>
      <c r="AK150" s="44">
        <f>AJ150+AH150</f>
        <v/>
      </c>
      <c r="AL150" s="63">
        <f>SUM(V150,Y150:AG150)</f>
        <v/>
      </c>
      <c r="AM150" s="88">
        <f>SUM(W150:X150)</f>
        <v/>
      </c>
      <c r="AN150" s="88">
        <f>SUM(S150:U150)</f>
        <v/>
      </c>
      <c r="AO150" s="2">
        <f>YEAR(A150)</f>
        <v/>
      </c>
      <c r="AP150" s="2">
        <f>MONTH(A150)</f>
        <v/>
      </c>
      <c r="AQ150" s="2">
        <f>AQ149+1</f>
        <v/>
      </c>
    </row>
    <row r="151" ht="20.25" customHeight="1" s="259">
      <c r="A151" s="9" t="n">
        <v>45405</v>
      </c>
      <c r="B151" s="2" t="n">
        <v>17.48</v>
      </c>
      <c r="C151" s="2" t="n">
        <v>0.54</v>
      </c>
      <c r="D151" s="2" t="n">
        <v>0</v>
      </c>
      <c r="E151" s="2" t="n">
        <v>0.22</v>
      </c>
      <c r="F151" s="2" t="n">
        <v>0.54</v>
      </c>
      <c r="G151" s="2" t="n">
        <v>0.38</v>
      </c>
      <c r="H151" s="2" t="n">
        <v>0</v>
      </c>
      <c r="I151" s="2" t="n">
        <v>0.12</v>
      </c>
      <c r="J151" s="2" t="n">
        <v>0</v>
      </c>
      <c r="K151" s="2" t="n">
        <v>0.04</v>
      </c>
      <c r="L151" s="2" t="n">
        <v>0</v>
      </c>
      <c r="M151" s="2" t="n">
        <v>0</v>
      </c>
      <c r="N151" s="2" t="n">
        <v>0</v>
      </c>
      <c r="O151" s="2" t="n">
        <v>0</v>
      </c>
      <c r="P151" s="2" t="n">
        <v>0.78</v>
      </c>
      <c r="Q151" s="2">
        <f>SUM(B151:P151)</f>
        <v/>
      </c>
      <c r="S151" s="62">
        <f>(B151/$Q151)</f>
        <v/>
      </c>
      <c r="T151" s="62">
        <f>(C151/$Q151)</f>
        <v/>
      </c>
      <c r="U151" s="62">
        <f>(D151/$Q151)</f>
        <v/>
      </c>
      <c r="V151" s="62">
        <f>(E151/$Q151)</f>
        <v/>
      </c>
      <c r="W151" s="62">
        <f>(F151/$Q151)</f>
        <v/>
      </c>
      <c r="X151" s="62">
        <f>(G151/$Q151)</f>
        <v/>
      </c>
      <c r="Y151" s="62">
        <f>(H151/$Q151)</f>
        <v/>
      </c>
      <c r="Z151" s="62">
        <f>(I151/$Q151)</f>
        <v/>
      </c>
      <c r="AA151" s="62">
        <f>(J151/$Q151)</f>
        <v/>
      </c>
      <c r="AB151" s="62">
        <f>(K151/$Q151)</f>
        <v/>
      </c>
      <c r="AC151" s="62">
        <f>(L151/$Q151)</f>
        <v/>
      </c>
      <c r="AD151" s="62">
        <f>(M151/$Q151)</f>
        <v/>
      </c>
      <c r="AE151" s="62">
        <f>(N151/$Q151)</f>
        <v/>
      </c>
      <c r="AF151" s="62">
        <f>(O151/$Q151)</f>
        <v/>
      </c>
      <c r="AG151" s="62">
        <f>(P151/$Q151)</f>
        <v/>
      </c>
      <c r="AH151" s="78">
        <f>SUM(V151:X151)</f>
        <v/>
      </c>
      <c r="AI151" s="77">
        <f>SUM(Y151:AF151)</f>
        <v/>
      </c>
      <c r="AJ151" s="43">
        <f>SUM(AG151+AI151)</f>
        <v/>
      </c>
      <c r="AK151" s="44">
        <f>AJ151+AH151</f>
        <v/>
      </c>
      <c r="AL151" s="63">
        <f>SUM(V151,Y151:AG151)</f>
        <v/>
      </c>
      <c r="AM151" s="88">
        <f>SUM(W151:X151)</f>
        <v/>
      </c>
      <c r="AN151" s="88">
        <f>SUM(S151:U151)</f>
        <v/>
      </c>
      <c r="AO151" s="2">
        <f>YEAR(A151)</f>
        <v/>
      </c>
      <c r="AP151" s="2">
        <f>MONTH(A151)</f>
        <v/>
      </c>
      <c r="AQ151" s="2">
        <f>AQ150+1</f>
        <v/>
      </c>
    </row>
    <row r="152" ht="20.25" customHeight="1" s="259">
      <c r="A152" s="8" t="n">
        <v>45406</v>
      </c>
      <c r="B152" s="2" t="n">
        <v>17.24</v>
      </c>
      <c r="C152" s="2" t="n">
        <v>0.46</v>
      </c>
      <c r="D152" s="2" t="n">
        <v>0.04</v>
      </c>
      <c r="E152" s="2" t="n">
        <v>1.22</v>
      </c>
      <c r="F152" s="2" t="n">
        <v>2.18</v>
      </c>
      <c r="G152" s="2" t="n">
        <v>0.44</v>
      </c>
      <c r="H152" s="2" t="n">
        <v>0</v>
      </c>
      <c r="I152" s="2" t="n">
        <v>0.12</v>
      </c>
      <c r="J152" s="2" t="n">
        <v>0</v>
      </c>
      <c r="K152" s="2" t="n">
        <v>0.02</v>
      </c>
      <c r="L152" s="2" t="n">
        <v>0</v>
      </c>
      <c r="M152" s="2" t="n">
        <v>0.04</v>
      </c>
      <c r="N152" s="2" t="n">
        <v>0.02</v>
      </c>
      <c r="O152" s="2" t="n">
        <v>0</v>
      </c>
      <c r="P152" s="2" t="n">
        <v>1.16</v>
      </c>
      <c r="Q152" s="2">
        <f>SUM(B152:P152)</f>
        <v/>
      </c>
      <c r="S152" s="62">
        <f>(B152/$Q152)</f>
        <v/>
      </c>
      <c r="T152" s="62">
        <f>(C152/$Q152)</f>
        <v/>
      </c>
      <c r="U152" s="62">
        <f>(D152/$Q152)</f>
        <v/>
      </c>
      <c r="V152" s="62">
        <f>(E152/$Q152)</f>
        <v/>
      </c>
      <c r="W152" s="62">
        <f>(F152/$Q152)</f>
        <v/>
      </c>
      <c r="X152" s="62">
        <f>(G152/$Q152)</f>
        <v/>
      </c>
      <c r="Y152" s="62">
        <f>(H152/$Q152)</f>
        <v/>
      </c>
      <c r="Z152" s="62">
        <f>(I152/$Q152)</f>
        <v/>
      </c>
      <c r="AA152" s="62">
        <f>(J152/$Q152)</f>
        <v/>
      </c>
      <c r="AB152" s="62">
        <f>(K152/$Q152)</f>
        <v/>
      </c>
      <c r="AC152" s="62">
        <f>(L152/$Q152)</f>
        <v/>
      </c>
      <c r="AD152" s="62">
        <f>(M152/$Q152)</f>
        <v/>
      </c>
      <c r="AE152" s="62">
        <f>(N152/$Q152)</f>
        <v/>
      </c>
      <c r="AF152" s="62">
        <f>(O152/$Q152)</f>
        <v/>
      </c>
      <c r="AG152" s="62">
        <f>(P152/$Q152)</f>
        <v/>
      </c>
      <c r="AH152" s="78">
        <f>SUM(V152:X152)</f>
        <v/>
      </c>
      <c r="AI152" s="77">
        <f>SUM(Y152:AF152)</f>
        <v/>
      </c>
      <c r="AJ152" s="43">
        <f>SUM(AG152+AI152)</f>
        <v/>
      </c>
      <c r="AK152" s="44">
        <f>AJ152+AH152</f>
        <v/>
      </c>
      <c r="AL152" s="63">
        <f>SUM(V152,Y152:AG152)</f>
        <v/>
      </c>
      <c r="AM152" s="88">
        <f>SUM(W152:X152)</f>
        <v/>
      </c>
      <c r="AN152" s="88">
        <f>SUM(S152:U152)</f>
        <v/>
      </c>
      <c r="AO152" s="2">
        <f>YEAR(A152)</f>
        <v/>
      </c>
      <c r="AP152" s="2">
        <f>MONTH(A152)</f>
        <v/>
      </c>
      <c r="AQ152" s="2">
        <f>AQ151+1</f>
        <v/>
      </c>
    </row>
    <row r="153" ht="20.25" customHeight="1" s="259">
      <c r="A153" s="66" t="n">
        <v>45406</v>
      </c>
      <c r="B153" s="2" t="n">
        <v>22.3</v>
      </c>
      <c r="C153" s="2" t="n">
        <v>1.04</v>
      </c>
      <c r="D153" s="2" t="n">
        <v>0.02</v>
      </c>
      <c r="E153" s="2" t="n">
        <v>2.16</v>
      </c>
      <c r="F153" s="2" t="n">
        <v>4.24</v>
      </c>
      <c r="G153" s="2" t="n">
        <v>0.92</v>
      </c>
      <c r="H153" s="2" t="n">
        <v>0</v>
      </c>
      <c r="I153" s="2" t="n">
        <v>0.16</v>
      </c>
      <c r="J153" s="2" t="n">
        <v>0</v>
      </c>
      <c r="K153" s="2" t="n">
        <v>0</v>
      </c>
      <c r="L153" s="2" t="n">
        <v>0</v>
      </c>
      <c r="M153" s="2" t="n">
        <v>0.12</v>
      </c>
      <c r="N153" s="2" t="n">
        <v>0</v>
      </c>
      <c r="O153" s="2" t="n">
        <v>0</v>
      </c>
      <c r="P153" s="2" t="n">
        <v>2.84</v>
      </c>
      <c r="Q153" s="2">
        <f>SUM(B153:P153)</f>
        <v/>
      </c>
      <c r="S153" s="62">
        <f>(B153/$Q153)</f>
        <v/>
      </c>
      <c r="T153" s="62">
        <f>(C153/$Q153)</f>
        <v/>
      </c>
      <c r="U153" s="62">
        <f>(D153/$Q153)</f>
        <v/>
      </c>
      <c r="V153" s="62">
        <f>(E153/$Q153)</f>
        <v/>
      </c>
      <c r="W153" s="62">
        <f>(F153/$Q153)</f>
        <v/>
      </c>
      <c r="X153" s="62">
        <f>(G153/$Q153)</f>
        <v/>
      </c>
      <c r="Y153" s="62">
        <f>(H153/$Q153)</f>
        <v/>
      </c>
      <c r="Z153" s="62">
        <f>(I153/$Q153)</f>
        <v/>
      </c>
      <c r="AA153" s="62">
        <f>(J153/$Q153)</f>
        <v/>
      </c>
      <c r="AB153" s="62">
        <f>(K153/$Q153)</f>
        <v/>
      </c>
      <c r="AC153" s="62">
        <f>(L153/$Q153)</f>
        <v/>
      </c>
      <c r="AD153" s="62">
        <f>(M153/$Q153)</f>
        <v/>
      </c>
      <c r="AE153" s="62">
        <f>(N153/$Q153)</f>
        <v/>
      </c>
      <c r="AF153" s="62">
        <f>(O153/$Q153)</f>
        <v/>
      </c>
      <c r="AG153" s="62">
        <f>(P153/$Q153)</f>
        <v/>
      </c>
      <c r="AH153" s="78">
        <f>SUM(V153:X153)</f>
        <v/>
      </c>
      <c r="AI153" s="77">
        <f>SUM(Y153:AF153)</f>
        <v/>
      </c>
      <c r="AJ153" s="43">
        <f>SUM(AG153+AI153)</f>
        <v/>
      </c>
      <c r="AK153" s="44">
        <f>AJ153+AH153</f>
        <v/>
      </c>
      <c r="AL153" s="63">
        <f>SUM(V153,Y153:AG153)</f>
        <v/>
      </c>
      <c r="AM153" s="88">
        <f>SUM(W153:X153)</f>
        <v/>
      </c>
      <c r="AN153" s="88">
        <f>SUM(S153:U153)</f>
        <v/>
      </c>
      <c r="AO153" s="2">
        <f>YEAR(A153)</f>
        <v/>
      </c>
      <c r="AP153" s="2">
        <f>MONTH(A153)</f>
        <v/>
      </c>
      <c r="AQ153" s="2">
        <f>AQ152+1</f>
        <v/>
      </c>
    </row>
    <row r="154" ht="20.25" customHeight="1" s="259">
      <c r="A154" s="66" t="n">
        <v>45408</v>
      </c>
      <c r="B154" s="2" t="n">
        <v>22.72</v>
      </c>
      <c r="C154" s="2" t="n">
        <v>1.04</v>
      </c>
      <c r="D154" s="2" t="n">
        <v>0</v>
      </c>
      <c r="E154" s="2" t="n">
        <v>0.28</v>
      </c>
      <c r="F154" s="2" t="n">
        <v>1.2</v>
      </c>
      <c r="G154" s="2" t="n">
        <v>0.52</v>
      </c>
      <c r="H154" s="2" t="n">
        <v>0</v>
      </c>
      <c r="I154" s="2" t="n">
        <v>0.02</v>
      </c>
      <c r="J154" s="2" t="n">
        <v>0</v>
      </c>
      <c r="K154" s="2" t="n">
        <v>0</v>
      </c>
      <c r="L154" s="2" t="n">
        <v>0</v>
      </c>
      <c r="M154" s="2" t="n">
        <v>0.04</v>
      </c>
      <c r="N154" s="2" t="n">
        <v>0</v>
      </c>
      <c r="O154" s="2" t="n">
        <v>0</v>
      </c>
      <c r="P154" s="2" t="n">
        <v>0.92</v>
      </c>
      <c r="Q154" s="2">
        <f>SUM(B154:P154)</f>
        <v/>
      </c>
      <c r="R154" s="85" t="n"/>
      <c r="S154" s="62">
        <f>(B154/$Q154)</f>
        <v/>
      </c>
      <c r="T154" s="62">
        <f>(C154/$Q154)</f>
        <v/>
      </c>
      <c r="U154" s="62">
        <f>(D154/$Q154)</f>
        <v/>
      </c>
      <c r="V154" s="62">
        <f>(E154/$Q154)</f>
        <v/>
      </c>
      <c r="W154" s="62">
        <f>(F154/$Q154)</f>
        <v/>
      </c>
      <c r="X154" s="62">
        <f>(G154/$Q154)</f>
        <v/>
      </c>
      <c r="Y154" s="62">
        <f>(H154/$Q154)</f>
        <v/>
      </c>
      <c r="Z154" s="62">
        <f>(I154/$Q154)</f>
        <v/>
      </c>
      <c r="AA154" s="62">
        <f>(J154/$Q154)</f>
        <v/>
      </c>
      <c r="AB154" s="62">
        <f>(K154/$Q154)</f>
        <v/>
      </c>
      <c r="AC154" s="62">
        <f>(L154/$Q154)</f>
        <v/>
      </c>
      <c r="AD154" s="62">
        <f>(M154/$Q154)</f>
        <v/>
      </c>
      <c r="AE154" s="62">
        <f>(N154/$Q154)</f>
        <v/>
      </c>
      <c r="AF154" s="62">
        <f>(O154/$Q154)</f>
        <v/>
      </c>
      <c r="AG154" s="62">
        <f>(P154/$Q154)</f>
        <v/>
      </c>
      <c r="AH154" s="78">
        <f>SUM(V154:X154)</f>
        <v/>
      </c>
      <c r="AI154" s="77">
        <f>SUM(Y154:AF154)</f>
        <v/>
      </c>
      <c r="AJ154" s="43">
        <f>SUM(AG154+AI154)</f>
        <v/>
      </c>
      <c r="AK154" s="44">
        <f>AJ154+AH154</f>
        <v/>
      </c>
      <c r="AL154" s="63">
        <f>SUM(V154,Y154:AG154)</f>
        <v/>
      </c>
      <c r="AM154" s="88">
        <f>SUM(W154:X154)</f>
        <v/>
      </c>
      <c r="AN154" s="88">
        <f>SUM(S154:U154)</f>
        <v/>
      </c>
      <c r="AO154" s="2">
        <f>YEAR(A154)</f>
        <v/>
      </c>
      <c r="AP154" s="2">
        <f>MONTH(A154)</f>
        <v/>
      </c>
      <c r="AQ154" s="2">
        <f>AQ153+1</f>
        <v/>
      </c>
    </row>
    <row r="155" ht="20.25" customHeight="1" s="259">
      <c r="A155" s="9" t="n">
        <v>45411</v>
      </c>
      <c r="B155" s="11" t="n">
        <v>21.6</v>
      </c>
      <c r="C155" s="11" t="n">
        <v>0.5600000000000001</v>
      </c>
      <c r="D155" s="11" t="n">
        <v>0.08</v>
      </c>
      <c r="E155" s="11" t="n">
        <v>2.12</v>
      </c>
      <c r="F155" s="11" t="n">
        <v>4.46</v>
      </c>
      <c r="G155" s="11" t="n">
        <v>0.98</v>
      </c>
      <c r="H155" s="11" t="n">
        <v>0.06</v>
      </c>
      <c r="I155" s="11" t="n">
        <v>0.1</v>
      </c>
      <c r="J155" s="11" t="n">
        <v>0</v>
      </c>
      <c r="K155" s="11" t="n">
        <v>0.08</v>
      </c>
      <c r="L155" s="11" t="n">
        <v>0</v>
      </c>
      <c r="M155" s="11" t="n">
        <v>0</v>
      </c>
      <c r="N155" s="11" t="n">
        <v>0</v>
      </c>
      <c r="O155" s="11" t="n">
        <v>0</v>
      </c>
      <c r="P155" s="11" t="n">
        <v>1.28</v>
      </c>
      <c r="Q155" s="11">
        <f>SUM(B155:P155)</f>
        <v/>
      </c>
      <c r="R155" s="84" t="n"/>
      <c r="S155" s="62">
        <f>(B155/$Q155)</f>
        <v/>
      </c>
      <c r="T155" s="62">
        <f>(C155/$Q155)</f>
        <v/>
      </c>
      <c r="U155" s="62">
        <f>(D155/$Q155)</f>
        <v/>
      </c>
      <c r="V155" s="62">
        <f>(E155/$Q155)</f>
        <v/>
      </c>
      <c r="W155" s="62">
        <f>(F155/$Q155)</f>
        <v/>
      </c>
      <c r="X155" s="62">
        <f>(G155/$Q155)</f>
        <v/>
      </c>
      <c r="Y155" s="62">
        <f>(H155/$Q155)</f>
        <v/>
      </c>
      <c r="Z155" s="62">
        <f>(I155/$Q155)</f>
        <v/>
      </c>
      <c r="AA155" s="62">
        <f>(J155/$Q155)</f>
        <v/>
      </c>
      <c r="AB155" s="62">
        <f>(K155/$Q155)</f>
        <v/>
      </c>
      <c r="AC155" s="62">
        <f>(L155/$Q155)</f>
        <v/>
      </c>
      <c r="AD155" s="62">
        <f>(M155/$Q155)</f>
        <v/>
      </c>
      <c r="AE155" s="62">
        <f>(N155/$Q155)</f>
        <v/>
      </c>
      <c r="AF155" s="62">
        <f>(O155/$Q155)</f>
        <v/>
      </c>
      <c r="AG155" s="62">
        <f>(P155/$Q155)</f>
        <v/>
      </c>
      <c r="AH155" s="78">
        <f>SUM(V155:X155)</f>
        <v/>
      </c>
      <c r="AI155" s="77">
        <f>SUM(Y155:AF155)</f>
        <v/>
      </c>
      <c r="AJ155" s="43">
        <f>SUM(AG155+AI155)</f>
        <v/>
      </c>
      <c r="AK155" s="44">
        <f>AJ155+AH155</f>
        <v/>
      </c>
      <c r="AL155" s="63">
        <f>SUM(V155,Y155:AG155)</f>
        <v/>
      </c>
      <c r="AM155" s="88">
        <f>SUM(W155:X155)</f>
        <v/>
      </c>
      <c r="AN155" s="88">
        <f>SUM(S155:U155)</f>
        <v/>
      </c>
      <c r="AO155" s="2">
        <f>YEAR(A155)</f>
        <v/>
      </c>
      <c r="AP155" s="2">
        <f>MONTH(A155)</f>
        <v/>
      </c>
      <c r="AQ155" s="2">
        <f>AQ154+1</f>
        <v/>
      </c>
    </row>
    <row r="156" ht="20.25" customHeight="1" s="259">
      <c r="A156" s="9" t="n">
        <v>45412</v>
      </c>
      <c r="B156" s="2" t="n">
        <v>18.9</v>
      </c>
      <c r="C156" s="2" t="n">
        <v>0.28</v>
      </c>
      <c r="D156" s="2" t="n">
        <v>0.18</v>
      </c>
      <c r="E156" s="2" t="n">
        <v>1.74</v>
      </c>
      <c r="F156" s="2" t="n">
        <v>3.6</v>
      </c>
      <c r="G156" s="2" t="n">
        <v>1.26</v>
      </c>
      <c r="H156" s="2" t="n">
        <v>0.02</v>
      </c>
      <c r="I156" s="2" t="n">
        <v>0.3</v>
      </c>
      <c r="J156" s="2" t="n">
        <v>0</v>
      </c>
      <c r="K156" s="2" t="n">
        <v>0</v>
      </c>
      <c r="L156" s="2" t="n">
        <v>0</v>
      </c>
      <c r="M156" s="2" t="n">
        <v>0.12</v>
      </c>
      <c r="N156" s="2" t="n">
        <v>0.02</v>
      </c>
      <c r="O156" s="2" t="n">
        <v>0</v>
      </c>
      <c r="P156" s="2" t="n">
        <v>2.8</v>
      </c>
      <c r="Q156" s="2">
        <f>SUM(B156:P156)</f>
        <v/>
      </c>
      <c r="R156" s="84" t="n"/>
      <c r="S156" s="62">
        <f>(B156/$Q156)</f>
        <v/>
      </c>
      <c r="T156" s="62">
        <f>(C156/$Q156)</f>
        <v/>
      </c>
      <c r="U156" s="62">
        <f>(D156/$Q156)</f>
        <v/>
      </c>
      <c r="V156" s="62">
        <f>(E156/$Q156)</f>
        <v/>
      </c>
      <c r="W156" s="62">
        <f>(F156/$Q156)</f>
        <v/>
      </c>
      <c r="X156" s="62">
        <f>(G156/$Q156)</f>
        <v/>
      </c>
      <c r="Y156" s="62">
        <f>(H156/$Q156)</f>
        <v/>
      </c>
      <c r="Z156" s="62">
        <f>(I156/$Q156)</f>
        <v/>
      </c>
      <c r="AA156" s="62">
        <f>(J156/$Q156)</f>
        <v/>
      </c>
      <c r="AB156" s="62">
        <f>(K156/$Q156)</f>
        <v/>
      </c>
      <c r="AC156" s="62">
        <f>(L156/$Q156)</f>
        <v/>
      </c>
      <c r="AD156" s="62">
        <f>(M156/$Q156)</f>
        <v/>
      </c>
      <c r="AE156" s="62">
        <f>(N156/$Q156)</f>
        <v/>
      </c>
      <c r="AF156" s="62">
        <f>(O156/$Q156)</f>
        <v/>
      </c>
      <c r="AG156" s="62">
        <f>(P156/$Q156)</f>
        <v/>
      </c>
      <c r="AH156" s="78">
        <f>SUM(V156:X156)</f>
        <v/>
      </c>
      <c r="AI156" s="77">
        <f>SUM(Y156:AF156)</f>
        <v/>
      </c>
      <c r="AJ156" s="43">
        <f>SUM(AG156+AI156)</f>
        <v/>
      </c>
      <c r="AK156" s="44">
        <f>AJ156+AH156</f>
        <v/>
      </c>
      <c r="AL156" s="63">
        <f>SUM(V156,Y156:AG156)</f>
        <v/>
      </c>
      <c r="AM156" s="88">
        <f>SUM(W156:X156)</f>
        <v/>
      </c>
      <c r="AN156" s="88">
        <f>SUM(S156:U156)</f>
        <v/>
      </c>
      <c r="AO156" s="2">
        <f>YEAR(A156)</f>
        <v/>
      </c>
      <c r="AP156" s="2">
        <f>MONTH(A156)</f>
        <v/>
      </c>
      <c r="AQ156" s="2">
        <f>AQ155+1</f>
        <v/>
      </c>
    </row>
    <row r="157" ht="20.25" customHeight="1" s="259">
      <c r="A157" s="9" t="n">
        <v>45446</v>
      </c>
      <c r="B157" s="2" t="n">
        <v>14.08</v>
      </c>
      <c r="C157" s="2" t="n">
        <v>0.36</v>
      </c>
      <c r="D157" s="2" t="n">
        <v>4.21</v>
      </c>
      <c r="E157" s="2" t="n">
        <v>0.16</v>
      </c>
      <c r="F157" s="2" t="n">
        <v>0.9</v>
      </c>
      <c r="G157" s="2" t="n">
        <v>0.32</v>
      </c>
      <c r="H157" s="2" t="n">
        <v>0</v>
      </c>
      <c r="I157" s="2" t="n">
        <v>0.06</v>
      </c>
      <c r="J157" s="2" t="n">
        <v>0</v>
      </c>
      <c r="K157" s="2" t="n">
        <v>0.08</v>
      </c>
      <c r="L157" s="2" t="n">
        <v>0</v>
      </c>
      <c r="M157" s="2" t="n">
        <v>0</v>
      </c>
      <c r="N157" s="2" t="n">
        <v>0</v>
      </c>
      <c r="O157" s="2" t="n">
        <v>0</v>
      </c>
      <c r="P157" s="2" t="n">
        <v>0.26</v>
      </c>
      <c r="Q157" s="2">
        <f>SUM(B157:P157)</f>
        <v/>
      </c>
      <c r="R157" s="84" t="n"/>
      <c r="S157" s="62">
        <f>(B157/$Q157)</f>
        <v/>
      </c>
      <c r="T157" s="62">
        <f>(C157/$Q157)</f>
        <v/>
      </c>
      <c r="U157" s="62">
        <f>(D157/$Q157)</f>
        <v/>
      </c>
      <c r="V157" s="62">
        <f>(E157/$Q157)</f>
        <v/>
      </c>
      <c r="W157" s="62">
        <f>(F157/$Q157)</f>
        <v/>
      </c>
      <c r="X157" s="62">
        <f>(G157/$Q157)</f>
        <v/>
      </c>
      <c r="Y157" s="62">
        <f>(H157/$Q157)</f>
        <v/>
      </c>
      <c r="Z157" s="62">
        <f>(I157/$Q157)</f>
        <v/>
      </c>
      <c r="AA157" s="62">
        <f>(J157/$Q157)</f>
        <v/>
      </c>
      <c r="AB157" s="62">
        <f>(K157/$Q157)</f>
        <v/>
      </c>
      <c r="AC157" s="62">
        <f>(L157/$Q157)</f>
        <v/>
      </c>
      <c r="AD157" s="62">
        <f>(M157/$Q157)</f>
        <v/>
      </c>
      <c r="AE157" s="62">
        <f>(N157/$Q157)</f>
        <v/>
      </c>
      <c r="AF157" s="62">
        <f>(O157/$Q157)</f>
        <v/>
      </c>
      <c r="AG157" s="62">
        <f>(P157/$Q157)</f>
        <v/>
      </c>
      <c r="AH157" s="78">
        <f>SUM(V157:X157)</f>
        <v/>
      </c>
      <c r="AI157" s="77">
        <f>SUM(Y157:AF157)</f>
        <v/>
      </c>
      <c r="AJ157" s="43">
        <f>SUM(AG157+AI157)</f>
        <v/>
      </c>
      <c r="AK157" s="44">
        <f>AJ157+AH157</f>
        <v/>
      </c>
      <c r="AL157" s="63">
        <f>SUM(V157,Y157:AG157)</f>
        <v/>
      </c>
      <c r="AM157" s="88">
        <f>SUM(W157:X157)</f>
        <v/>
      </c>
      <c r="AN157" s="88">
        <f>SUM(S157:U157)</f>
        <v/>
      </c>
      <c r="AO157" s="2">
        <f>YEAR(A157)</f>
        <v/>
      </c>
      <c r="AP157" s="2">
        <f>MONTH(A157)</f>
        <v/>
      </c>
      <c r="AQ157" s="2">
        <f>AQ156+1</f>
        <v/>
      </c>
    </row>
    <row r="158" ht="20.25" customHeight="1" s="259">
      <c r="A158" s="9" t="n">
        <v>45465</v>
      </c>
      <c r="B158" s="2" t="n">
        <v>20.52</v>
      </c>
      <c r="C158" s="2" t="n">
        <v>0.3</v>
      </c>
      <c r="D158" s="2" t="n">
        <v>4.48</v>
      </c>
      <c r="E158" s="2" t="n">
        <v>0.5600000000000001</v>
      </c>
      <c r="F158" s="2" t="n">
        <v>0.5600000000000001</v>
      </c>
      <c r="G158" s="2" t="n">
        <v>0.46</v>
      </c>
      <c r="H158" s="2" t="n">
        <v>0</v>
      </c>
      <c r="I158" s="2" t="n">
        <v>0.08</v>
      </c>
      <c r="J158" s="2" t="n">
        <v>0</v>
      </c>
      <c r="K158" s="2" t="n">
        <v>0.04</v>
      </c>
      <c r="L158" s="2" t="n">
        <v>0</v>
      </c>
      <c r="M158" s="2" t="n">
        <v>0</v>
      </c>
      <c r="N158" s="2" t="n">
        <v>0</v>
      </c>
      <c r="O158" s="2" t="n">
        <v>0</v>
      </c>
      <c r="P158" s="2" t="n">
        <v>0.52</v>
      </c>
      <c r="Q158" s="2">
        <f>SUM(B158:P158)</f>
        <v/>
      </c>
      <c r="S158" s="62">
        <f>(B158/$Q158)</f>
        <v/>
      </c>
      <c r="T158" s="62">
        <f>(C158/$Q158)</f>
        <v/>
      </c>
      <c r="U158" s="62">
        <f>(D158/$Q158)</f>
        <v/>
      </c>
      <c r="V158" s="62">
        <f>(E158/$Q158)</f>
        <v/>
      </c>
      <c r="W158" s="62">
        <f>(F158/$Q158)</f>
        <v/>
      </c>
      <c r="X158" s="62">
        <f>(G158/$Q158)</f>
        <v/>
      </c>
      <c r="Y158" s="62">
        <f>(H158/$Q158)</f>
        <v/>
      </c>
      <c r="Z158" s="62">
        <f>(I158/$Q158)</f>
        <v/>
      </c>
      <c r="AA158" s="62">
        <f>(J158/$Q158)</f>
        <v/>
      </c>
      <c r="AB158" s="62">
        <f>(K158/$Q158)</f>
        <v/>
      </c>
      <c r="AC158" s="62">
        <f>(L158/$Q158)</f>
        <v/>
      </c>
      <c r="AD158" s="62">
        <f>(M158/$Q158)</f>
        <v/>
      </c>
      <c r="AE158" s="62">
        <f>(N158/$Q158)</f>
        <v/>
      </c>
      <c r="AF158" s="62">
        <f>(O158/$Q158)</f>
        <v/>
      </c>
      <c r="AG158" s="62">
        <f>(P158/$Q158)</f>
        <v/>
      </c>
      <c r="AH158" s="78">
        <f>SUM(V158:X158)</f>
        <v/>
      </c>
      <c r="AI158" s="77">
        <f>SUM(Y158:AF158)</f>
        <v/>
      </c>
      <c r="AJ158" s="43">
        <f>SUM(AG158+AI158)</f>
        <v/>
      </c>
      <c r="AK158" s="44">
        <f>AJ158+AH158</f>
        <v/>
      </c>
      <c r="AL158" s="63">
        <f>SUM(V158,Y158:AG158)</f>
        <v/>
      </c>
      <c r="AM158" s="88">
        <f>SUM(W158:X158)</f>
        <v/>
      </c>
      <c r="AN158" s="88">
        <f>SUM(S158:U158)</f>
        <v/>
      </c>
      <c r="AO158" s="2">
        <f>YEAR(A158)</f>
        <v/>
      </c>
      <c r="AP158" s="2">
        <f>MONTH(A158)</f>
        <v/>
      </c>
      <c r="AQ158" s="2">
        <f>AQ157+1</f>
        <v/>
      </c>
    </row>
    <row r="159" ht="20.25" customHeight="1" s="259">
      <c r="A159" s="9" t="n">
        <v>45496</v>
      </c>
      <c r="B159" s="2" t="n">
        <v>17.54</v>
      </c>
      <c r="C159" s="2" t="n">
        <v>1.48</v>
      </c>
      <c r="D159" s="2" t="n">
        <v>6.3</v>
      </c>
      <c r="E159" s="2" t="n">
        <v>0.5600000000000001</v>
      </c>
      <c r="F159" s="2" t="n">
        <v>0.6</v>
      </c>
      <c r="G159" s="2" t="n">
        <v>0.44</v>
      </c>
      <c r="H159" s="2" t="n">
        <v>0</v>
      </c>
      <c r="I159" s="2" t="n">
        <v>0.22</v>
      </c>
      <c r="J159" s="2" t="n">
        <v>0</v>
      </c>
      <c r="K159" s="2" t="n">
        <v>0.06</v>
      </c>
      <c r="L159" s="2" t="n">
        <v>0</v>
      </c>
      <c r="M159" s="2" t="n">
        <v>0</v>
      </c>
      <c r="N159" s="2" t="n">
        <v>0</v>
      </c>
      <c r="O159" s="2" t="n">
        <v>0</v>
      </c>
      <c r="P159" s="2" t="n">
        <v>0.5600000000000001</v>
      </c>
      <c r="Q159" s="2">
        <f>SUM(B159:P159)</f>
        <v/>
      </c>
      <c r="S159" s="62">
        <f>(B159/$Q159)</f>
        <v/>
      </c>
      <c r="T159" s="62">
        <f>(C159/$Q159)</f>
        <v/>
      </c>
      <c r="U159" s="62">
        <f>(D159/$Q159)</f>
        <v/>
      </c>
      <c r="V159" s="62">
        <f>(E159/$Q159)</f>
        <v/>
      </c>
      <c r="W159" s="62">
        <f>(F159/$Q159)</f>
        <v/>
      </c>
      <c r="X159" s="62">
        <f>(G159/$Q159)</f>
        <v/>
      </c>
      <c r="Y159" s="62">
        <f>(H159/$Q159)</f>
        <v/>
      </c>
      <c r="Z159" s="62">
        <f>(I159/$Q159)</f>
        <v/>
      </c>
      <c r="AA159" s="62">
        <f>(J159/$Q159)</f>
        <v/>
      </c>
      <c r="AB159" s="62">
        <f>(K159/$Q159)</f>
        <v/>
      </c>
      <c r="AC159" s="62">
        <f>(L159/$Q159)</f>
        <v/>
      </c>
      <c r="AD159" s="62">
        <f>(M159/$Q159)</f>
        <v/>
      </c>
      <c r="AE159" s="62">
        <f>(N159/$Q159)</f>
        <v/>
      </c>
      <c r="AF159" s="62">
        <f>(O159/$Q159)</f>
        <v/>
      </c>
      <c r="AG159" s="62">
        <f>(P159/$Q159)</f>
        <v/>
      </c>
      <c r="AH159" s="78">
        <f>SUM(V159:X159)</f>
        <v/>
      </c>
      <c r="AI159" s="77">
        <f>SUM(Y159:AF159)</f>
        <v/>
      </c>
      <c r="AJ159" s="43">
        <f>SUM(AG159+AI159)</f>
        <v/>
      </c>
      <c r="AK159" s="44">
        <f>AJ159+AH159</f>
        <v/>
      </c>
      <c r="AL159" s="63">
        <f>SUM(V159,Y159:AG159)</f>
        <v/>
      </c>
      <c r="AM159" s="88">
        <f>SUM(W159:X159)</f>
        <v/>
      </c>
      <c r="AN159" s="88">
        <f>SUM(S159:U159)</f>
        <v/>
      </c>
      <c r="AO159" s="2">
        <f>YEAR(A159)</f>
        <v/>
      </c>
      <c r="AP159" s="2">
        <f>MONTH(A159)</f>
        <v/>
      </c>
      <c r="AQ159" s="2">
        <f>AQ158+1</f>
        <v/>
      </c>
    </row>
    <row r="160" ht="20.25" customHeight="1" s="259">
      <c r="A160" s="9" t="n">
        <v>45506</v>
      </c>
      <c r="B160" s="2" t="n">
        <v>19.6</v>
      </c>
      <c r="C160" s="2" t="n">
        <v>0</v>
      </c>
      <c r="D160" s="2" t="n">
        <v>9.76</v>
      </c>
      <c r="E160" s="2" t="n">
        <v>2.48</v>
      </c>
      <c r="F160" s="2" t="n">
        <v>1</v>
      </c>
      <c r="G160" s="2" t="n">
        <v>1.66</v>
      </c>
      <c r="H160" s="2" t="n">
        <v>0</v>
      </c>
      <c r="I160" s="2" t="n">
        <v>0</v>
      </c>
      <c r="J160" s="2" t="n">
        <v>0</v>
      </c>
      <c r="K160" s="2" t="n">
        <v>0</v>
      </c>
      <c r="L160" s="2" t="n">
        <v>0</v>
      </c>
      <c r="M160" s="2" t="n">
        <v>0</v>
      </c>
      <c r="N160" s="2" t="n">
        <v>0</v>
      </c>
      <c r="O160" s="2" t="n">
        <v>0</v>
      </c>
      <c r="P160" s="2" t="n">
        <v>0.54</v>
      </c>
      <c r="Q160" s="2">
        <f>SUM(B160:P160)</f>
        <v/>
      </c>
      <c r="S160" s="62">
        <f>(B160/$Q160)</f>
        <v/>
      </c>
      <c r="T160" s="62">
        <f>(C160/$Q160)</f>
        <v/>
      </c>
      <c r="U160" s="62">
        <f>(D160/$Q160)</f>
        <v/>
      </c>
      <c r="V160" s="62">
        <f>(E160/$Q160)</f>
        <v/>
      </c>
      <c r="W160" s="62">
        <f>(F160/$Q160)</f>
        <v/>
      </c>
      <c r="X160" s="62">
        <f>(G160/$Q160)</f>
        <v/>
      </c>
      <c r="Y160" s="62">
        <f>(H160/$Q160)</f>
        <v/>
      </c>
      <c r="Z160" s="62">
        <f>(I160/$Q160)</f>
        <v/>
      </c>
      <c r="AA160" s="62">
        <f>(J160/$Q160)</f>
        <v/>
      </c>
      <c r="AB160" s="62">
        <f>(K160/$Q160)</f>
        <v/>
      </c>
      <c r="AC160" s="62">
        <f>(L160/$Q160)</f>
        <v/>
      </c>
      <c r="AD160" s="62">
        <f>(M160/$Q160)</f>
        <v/>
      </c>
      <c r="AE160" s="62">
        <f>(N160/$Q160)</f>
        <v/>
      </c>
      <c r="AF160" s="62">
        <f>(O160/$Q160)</f>
        <v/>
      </c>
      <c r="AG160" s="62">
        <f>(P160/$Q160)</f>
        <v/>
      </c>
      <c r="AH160" s="78">
        <f>SUM(V160:X160)</f>
        <v/>
      </c>
      <c r="AI160" s="77">
        <f>SUM(Y160:AF160)</f>
        <v/>
      </c>
      <c r="AJ160" s="43">
        <f>SUM(AG160+AI160)</f>
        <v/>
      </c>
      <c r="AK160" s="44">
        <f>AJ160+AH160</f>
        <v/>
      </c>
      <c r="AL160" s="63">
        <f>SUM(V160,Y160:AG160)</f>
        <v/>
      </c>
      <c r="AM160" s="88">
        <f>SUM(W160:X160)</f>
        <v/>
      </c>
      <c r="AN160" s="88">
        <f>SUM(S160:U160)</f>
        <v/>
      </c>
      <c r="AO160" s="2">
        <f>YEAR(A160)</f>
        <v/>
      </c>
      <c r="AP160" s="2">
        <f>MONTH(A160)</f>
        <v/>
      </c>
      <c r="AQ160" s="2">
        <f>AQ159+1</f>
        <v/>
      </c>
    </row>
    <row r="161" ht="20.25" customHeight="1" s="259">
      <c r="A161" s="9" t="n">
        <v>45538</v>
      </c>
      <c r="B161" s="2" t="n">
        <v>13.24</v>
      </c>
      <c r="C161" s="2" t="n">
        <v>0.2</v>
      </c>
      <c r="D161" s="2" t="n">
        <v>7.08</v>
      </c>
      <c r="E161" s="2" t="n">
        <v>1.16</v>
      </c>
      <c r="F161" s="2" t="n">
        <v>1.88</v>
      </c>
      <c r="G161" s="2" t="n">
        <v>1.14</v>
      </c>
      <c r="H161" s="2" t="n">
        <v>0</v>
      </c>
      <c r="I161" s="2" t="n">
        <v>0.14</v>
      </c>
      <c r="J161" s="2" t="n">
        <v>0.04</v>
      </c>
      <c r="K161" s="2" t="n">
        <v>0.04</v>
      </c>
      <c r="L161" s="2" t="n">
        <v>0</v>
      </c>
      <c r="M161" s="2" t="n">
        <v>0</v>
      </c>
      <c r="N161" s="2" t="n">
        <v>0</v>
      </c>
      <c r="O161" s="2" t="n">
        <v>0</v>
      </c>
      <c r="P161" s="2" t="n">
        <v>0.74</v>
      </c>
      <c r="Q161" s="2">
        <f>SUM(B161:P161)</f>
        <v/>
      </c>
      <c r="S161" s="62">
        <f>(B161/$Q161)</f>
        <v/>
      </c>
      <c r="T161" s="62">
        <f>(C161/$Q161)</f>
        <v/>
      </c>
      <c r="U161" s="62">
        <f>(D161/$Q161)</f>
        <v/>
      </c>
      <c r="V161" s="62">
        <f>(E161/$Q161)</f>
        <v/>
      </c>
      <c r="W161" s="62">
        <f>(F161/$Q161)</f>
        <v/>
      </c>
      <c r="X161" s="62">
        <f>(G161/$Q161)</f>
        <v/>
      </c>
      <c r="Y161" s="62">
        <f>(H161/$Q161)</f>
        <v/>
      </c>
      <c r="Z161" s="62">
        <f>(I161/$Q161)</f>
        <v/>
      </c>
      <c r="AA161" s="62">
        <f>(J161/$Q161)</f>
        <v/>
      </c>
      <c r="AB161" s="62">
        <f>(K161/$Q161)</f>
        <v/>
      </c>
      <c r="AC161" s="62">
        <f>(L161/$Q161)</f>
        <v/>
      </c>
      <c r="AD161" s="62">
        <f>(M161/$Q161)</f>
        <v/>
      </c>
      <c r="AE161" s="62">
        <f>(N161/$Q161)</f>
        <v/>
      </c>
      <c r="AF161" s="62">
        <f>(O161/$Q161)</f>
        <v/>
      </c>
      <c r="AG161" s="62">
        <f>(P161/$Q161)</f>
        <v/>
      </c>
      <c r="AH161" s="78">
        <f>SUM(V161:X161)</f>
        <v/>
      </c>
      <c r="AI161" s="77">
        <f>SUM(Y161:AF161)</f>
        <v/>
      </c>
      <c r="AJ161" s="43">
        <f>SUM(AG161+AI161)</f>
        <v/>
      </c>
      <c r="AK161" s="44">
        <f>AJ161+AH161</f>
        <v/>
      </c>
      <c r="AL161" s="63">
        <f>SUM(V161,Y161:AG161)</f>
        <v/>
      </c>
      <c r="AM161" s="88">
        <f>SUM(W161:X161)</f>
        <v/>
      </c>
      <c r="AN161" s="88">
        <f>SUM(S161:U161)</f>
        <v/>
      </c>
      <c r="AO161" s="2">
        <f>YEAR(A161)</f>
        <v/>
      </c>
      <c r="AP161" s="2">
        <f>MONTH(A161)</f>
        <v/>
      </c>
      <c r="AQ161" s="2">
        <f>AQ160+1</f>
        <v/>
      </c>
    </row>
    <row r="162" ht="20.25" customHeight="1" s="259">
      <c r="A162" s="9" t="n">
        <v>45541</v>
      </c>
      <c r="B162" s="2" t="n">
        <v>11.82</v>
      </c>
      <c r="C162" s="2" t="n">
        <v>0.98</v>
      </c>
      <c r="D162" s="2" t="n">
        <v>9.359999999999999</v>
      </c>
      <c r="E162" s="2" t="n">
        <v>1.96</v>
      </c>
      <c r="F162" s="2" t="n">
        <v>1.54</v>
      </c>
      <c r="G162" s="2" t="n">
        <v>1.26</v>
      </c>
      <c r="H162" s="2" t="n">
        <v>0</v>
      </c>
      <c r="I162" s="2" t="n">
        <v>0.16</v>
      </c>
      <c r="J162" s="2" t="n">
        <v>0</v>
      </c>
      <c r="K162" s="2" t="n">
        <v>0.08</v>
      </c>
      <c r="L162" s="2" t="n">
        <v>0</v>
      </c>
      <c r="M162" s="2" t="n">
        <v>0</v>
      </c>
      <c r="N162" s="2" t="n">
        <v>0.02</v>
      </c>
      <c r="O162" s="2" t="n">
        <v>0</v>
      </c>
      <c r="P162" s="2" t="n">
        <v>1.16</v>
      </c>
      <c r="Q162" s="2">
        <f>SUM(B162:P162)</f>
        <v/>
      </c>
      <c r="S162" s="62">
        <f>(B162/$Q162)</f>
        <v/>
      </c>
      <c r="T162" s="62">
        <f>(C162/$Q162)</f>
        <v/>
      </c>
      <c r="U162" s="62">
        <f>(D162/$Q162)</f>
        <v/>
      </c>
      <c r="V162" s="62">
        <f>(E162/$Q162)</f>
        <v/>
      </c>
      <c r="W162" s="62">
        <f>(F162/$Q162)</f>
        <v/>
      </c>
      <c r="X162" s="62">
        <f>(G162/$Q162)</f>
        <v/>
      </c>
      <c r="Y162" s="62">
        <f>(H162/$Q162)</f>
        <v/>
      </c>
      <c r="Z162" s="62">
        <f>(I162/$Q162)</f>
        <v/>
      </c>
      <c r="AA162" s="62">
        <f>(J162/$Q162)</f>
        <v/>
      </c>
      <c r="AB162" s="62">
        <f>(K162/$Q162)</f>
        <v/>
      </c>
      <c r="AC162" s="62">
        <f>(L162/$Q162)</f>
        <v/>
      </c>
      <c r="AD162" s="62">
        <f>(M162/$Q162)</f>
        <v/>
      </c>
      <c r="AE162" s="62">
        <f>(N162/$Q162)</f>
        <v/>
      </c>
      <c r="AF162" s="62">
        <f>(O162/$Q162)</f>
        <v/>
      </c>
      <c r="AG162" s="62">
        <f>(P162/$Q162)</f>
        <v/>
      </c>
      <c r="AH162" s="78">
        <f>SUM(V162:X162)</f>
        <v/>
      </c>
      <c r="AI162" s="77">
        <f>SUM(Y162:AF162)</f>
        <v/>
      </c>
      <c r="AJ162" s="43">
        <f>SUM(AG162+AI162)</f>
        <v/>
      </c>
      <c r="AK162" s="44">
        <f>AJ162+AH162</f>
        <v/>
      </c>
      <c r="AL162" s="63">
        <f>SUM(V162,Y162:AG162)</f>
        <v/>
      </c>
      <c r="AM162" s="88">
        <f>SUM(W162:X162)</f>
        <v/>
      </c>
      <c r="AN162" s="88">
        <f>SUM(S162:U162)</f>
        <v/>
      </c>
      <c r="AO162" s="2">
        <f>YEAR(A162)</f>
        <v/>
      </c>
      <c r="AP162" s="2">
        <f>MONTH(A162)</f>
        <v/>
      </c>
      <c r="AQ162" s="2">
        <f>AQ161+1</f>
        <v/>
      </c>
    </row>
    <row r="163" ht="20.25" customHeight="1" s="259">
      <c r="A163" s="9" t="n">
        <v>45544</v>
      </c>
      <c r="B163" s="2" t="n">
        <v>12.08</v>
      </c>
      <c r="C163" s="2" t="n">
        <v>0.52</v>
      </c>
      <c r="D163" s="2" t="n">
        <v>9.76</v>
      </c>
      <c r="E163" s="2" t="n">
        <v>1.66</v>
      </c>
      <c r="F163" s="2" t="n">
        <v>2.12</v>
      </c>
      <c r="G163" s="2" t="n">
        <v>1.76</v>
      </c>
      <c r="H163" s="2" t="n">
        <v>0.08</v>
      </c>
      <c r="I163" s="2" t="n">
        <v>0.06</v>
      </c>
      <c r="J163" s="2" t="n">
        <v>0</v>
      </c>
      <c r="K163" s="2" t="n">
        <v>0.02</v>
      </c>
      <c r="L163" s="2" t="n">
        <v>0.02</v>
      </c>
      <c r="M163" s="2" t="n">
        <v>0</v>
      </c>
      <c r="N163" s="2" t="n">
        <v>0</v>
      </c>
      <c r="O163" s="2" t="n">
        <v>0</v>
      </c>
      <c r="P163" s="2" t="n">
        <v>1.3</v>
      </c>
      <c r="Q163" s="2">
        <f>SUM(B163:P163)</f>
        <v/>
      </c>
      <c r="S163" s="62">
        <f>(B163/$Q163)</f>
        <v/>
      </c>
      <c r="T163" s="62">
        <f>(C163/$Q163)</f>
        <v/>
      </c>
      <c r="U163" s="62">
        <f>(D163/$Q163)</f>
        <v/>
      </c>
      <c r="V163" s="62">
        <f>(E163/$Q163)</f>
        <v/>
      </c>
      <c r="W163" s="62">
        <f>(F163/$Q163)</f>
        <v/>
      </c>
      <c r="X163" s="62">
        <f>(G163/$Q163)</f>
        <v/>
      </c>
      <c r="Y163" s="62">
        <f>(H163/$Q163)</f>
        <v/>
      </c>
      <c r="Z163" s="62">
        <f>(I163/$Q163)</f>
        <v/>
      </c>
      <c r="AA163" s="62">
        <f>(J163/$Q163)</f>
        <v/>
      </c>
      <c r="AB163" s="62">
        <f>(K163/$Q163)</f>
        <v/>
      </c>
      <c r="AC163" s="62">
        <f>(L163/$Q163)</f>
        <v/>
      </c>
      <c r="AD163" s="62">
        <f>(M163/$Q163)</f>
        <v/>
      </c>
      <c r="AE163" s="62">
        <f>(N163/$Q163)</f>
        <v/>
      </c>
      <c r="AF163" s="62">
        <f>(O163/$Q163)</f>
        <v/>
      </c>
      <c r="AG163" s="62">
        <f>(P163/$Q163)</f>
        <v/>
      </c>
      <c r="AH163" s="78">
        <f>SUM(V163:X163)</f>
        <v/>
      </c>
      <c r="AI163" s="77">
        <f>SUM(Y163:AF163)</f>
        <v/>
      </c>
      <c r="AJ163" s="43">
        <f>SUM(AG163+AI163)</f>
        <v/>
      </c>
      <c r="AK163" s="44">
        <f>AJ163+AH163</f>
        <v/>
      </c>
      <c r="AL163" s="63">
        <f>SUM(V163,Y163:AG163)</f>
        <v/>
      </c>
      <c r="AM163" s="88">
        <f>SUM(W163:X163)</f>
        <v/>
      </c>
      <c r="AN163" s="88">
        <f>SUM(S163:U163)</f>
        <v/>
      </c>
      <c r="AO163" s="2">
        <f>YEAR(A163)</f>
        <v/>
      </c>
      <c r="AP163" s="2">
        <f>MONTH(A163)</f>
        <v/>
      </c>
      <c r="AQ163" s="2">
        <f>AQ162+1</f>
        <v/>
      </c>
    </row>
    <row r="164" ht="20.25" customHeight="1" s="259">
      <c r="A164" s="9" t="n">
        <v>45545</v>
      </c>
      <c r="B164" s="2" t="n">
        <v>14.52</v>
      </c>
      <c r="C164" s="2" t="n">
        <v>0.34</v>
      </c>
      <c r="D164" s="2" t="n">
        <v>8.619999999999999</v>
      </c>
      <c r="E164" s="2" t="n">
        <v>3.22</v>
      </c>
      <c r="F164" s="2" t="n">
        <v>1.7</v>
      </c>
      <c r="G164" s="2" t="n">
        <v>1.36</v>
      </c>
      <c r="H164" s="2" t="n">
        <v>0</v>
      </c>
      <c r="I164" s="2" t="n">
        <v>0.44</v>
      </c>
      <c r="J164" s="2" t="n">
        <v>0</v>
      </c>
      <c r="K164" s="2" t="n">
        <v>0</v>
      </c>
      <c r="L164" s="2" t="n">
        <v>0</v>
      </c>
      <c r="M164" s="2" t="n">
        <v>0.02</v>
      </c>
      <c r="N164" s="2" t="n">
        <v>0</v>
      </c>
      <c r="O164" s="2" t="n">
        <v>0</v>
      </c>
      <c r="P164" s="2" t="n">
        <v>1.02</v>
      </c>
      <c r="Q164" s="2">
        <f>SUM(B164:P164)</f>
        <v/>
      </c>
      <c r="S164" s="62">
        <f>(B164/$Q164)</f>
        <v/>
      </c>
      <c r="T164" s="62">
        <f>(C164/$Q164)</f>
        <v/>
      </c>
      <c r="U164" s="62">
        <f>(D164/$Q164)</f>
        <v/>
      </c>
      <c r="V164" s="62">
        <f>(E164/$Q164)</f>
        <v/>
      </c>
      <c r="W164" s="62">
        <f>(F164/$Q164)</f>
        <v/>
      </c>
      <c r="X164" s="62">
        <f>(G164/$Q164)</f>
        <v/>
      </c>
      <c r="Y164" s="62">
        <f>(H164/$Q164)</f>
        <v/>
      </c>
      <c r="Z164" s="62">
        <f>(I164/$Q164)</f>
        <v/>
      </c>
      <c r="AA164" s="62">
        <f>(J164/$Q164)</f>
        <v/>
      </c>
      <c r="AB164" s="62">
        <f>(K164/$Q164)</f>
        <v/>
      </c>
      <c r="AC164" s="62">
        <f>(L164/$Q164)</f>
        <v/>
      </c>
      <c r="AD164" s="62">
        <f>(M164/$Q164)</f>
        <v/>
      </c>
      <c r="AE164" s="62">
        <f>(N164/$Q164)</f>
        <v/>
      </c>
      <c r="AF164" s="62">
        <f>(O164/$Q164)</f>
        <v/>
      </c>
      <c r="AG164" s="62">
        <f>(P164/$Q164)</f>
        <v/>
      </c>
      <c r="AH164" s="78">
        <f>SUM(V164:X164)</f>
        <v/>
      </c>
      <c r="AI164" s="77">
        <f>SUM(Y164:AF164)</f>
        <v/>
      </c>
      <c r="AJ164" s="43">
        <f>SUM(AG164+AI164)</f>
        <v/>
      </c>
      <c r="AK164" s="44">
        <f>AJ164+AH164</f>
        <v/>
      </c>
      <c r="AL164" s="63">
        <f>SUM(V164,Y164:AG164)</f>
        <v/>
      </c>
      <c r="AM164" s="88">
        <f>SUM(W164:X164)</f>
        <v/>
      </c>
      <c r="AN164" s="88">
        <f>SUM(S164:U164)</f>
        <v/>
      </c>
      <c r="AO164" s="2">
        <f>YEAR(A164)</f>
        <v/>
      </c>
      <c r="AP164" s="2">
        <f>MONTH(A164)</f>
        <v/>
      </c>
      <c r="AQ164" s="2">
        <f>AQ163+1</f>
        <v/>
      </c>
    </row>
    <row r="165" ht="20.25" customHeight="1" s="259">
      <c r="A165" s="9" t="n">
        <v>45546</v>
      </c>
      <c r="B165" s="2" t="n">
        <v>15.56</v>
      </c>
      <c r="C165" s="2" t="n">
        <v>0.96</v>
      </c>
      <c r="D165" s="2" t="n">
        <v>7.42</v>
      </c>
      <c r="E165" s="2" t="n">
        <v>0.5600000000000001</v>
      </c>
      <c r="F165" s="2" t="n">
        <v>0.2</v>
      </c>
      <c r="G165" s="2" t="n">
        <v>0.48</v>
      </c>
      <c r="H165" s="2" t="n">
        <v>0</v>
      </c>
      <c r="I165" s="2" t="n">
        <v>0.12</v>
      </c>
      <c r="J165" s="2" t="n">
        <v>0</v>
      </c>
      <c r="K165" s="2" t="n">
        <v>0</v>
      </c>
      <c r="L165" s="2" t="n">
        <v>0</v>
      </c>
      <c r="M165" s="2" t="n">
        <v>0</v>
      </c>
      <c r="N165" s="2" t="n">
        <v>0</v>
      </c>
      <c r="O165" s="2" t="n">
        <v>0</v>
      </c>
      <c r="P165" s="2" t="n">
        <v>0.5</v>
      </c>
      <c r="Q165" s="2">
        <f>SUM(B165:P165)</f>
        <v/>
      </c>
      <c r="S165" s="62">
        <f>(B165/$Q165)</f>
        <v/>
      </c>
      <c r="T165" s="62">
        <f>(C165/$Q165)</f>
        <v/>
      </c>
      <c r="U165" s="62">
        <f>(D165/$Q165)</f>
        <v/>
      </c>
      <c r="V165" s="62">
        <f>(E165/$Q165)</f>
        <v/>
      </c>
      <c r="W165" s="62">
        <f>(F165/$Q165)</f>
        <v/>
      </c>
      <c r="X165" s="62">
        <f>(G165/$Q165)</f>
        <v/>
      </c>
      <c r="Y165" s="62">
        <f>(H165/$Q165)</f>
        <v/>
      </c>
      <c r="Z165" s="62">
        <f>(I165/$Q165)</f>
        <v/>
      </c>
      <c r="AA165" s="62">
        <f>(J165/$Q165)</f>
        <v/>
      </c>
      <c r="AB165" s="62">
        <f>(K165/$Q165)</f>
        <v/>
      </c>
      <c r="AC165" s="62">
        <f>(L165/$Q165)</f>
        <v/>
      </c>
      <c r="AD165" s="62">
        <f>(M165/$Q165)</f>
        <v/>
      </c>
      <c r="AE165" s="62">
        <f>(N165/$Q165)</f>
        <v/>
      </c>
      <c r="AF165" s="62">
        <f>(O165/$Q165)</f>
        <v/>
      </c>
      <c r="AG165" s="62">
        <f>(P165/$Q165)</f>
        <v/>
      </c>
      <c r="AH165" s="78">
        <f>SUM(V165:X165)</f>
        <v/>
      </c>
      <c r="AI165" s="77">
        <f>SUM(Y165:AF165)</f>
        <v/>
      </c>
      <c r="AJ165" s="43">
        <f>SUM(AG165+AI165)</f>
        <v/>
      </c>
      <c r="AK165" s="44">
        <f>AJ165+AH165</f>
        <v/>
      </c>
      <c r="AL165" s="63">
        <f>SUM(V165,Y165:AG165)</f>
        <v/>
      </c>
      <c r="AM165" s="88">
        <f>SUM(W165:X165)</f>
        <v/>
      </c>
      <c r="AN165" s="88">
        <f>SUM(S165:U165)</f>
        <v/>
      </c>
      <c r="AO165" s="2">
        <f>YEAR(A165)</f>
        <v/>
      </c>
      <c r="AP165" s="2">
        <f>MONTH(A165)</f>
        <v/>
      </c>
      <c r="AQ165" s="2">
        <f>AQ164+1</f>
        <v/>
      </c>
    </row>
    <row r="166" ht="20.25" customHeight="1" s="259">
      <c r="A166" s="9" t="n">
        <v>45551</v>
      </c>
      <c r="B166" s="2" t="n">
        <v>12.24</v>
      </c>
      <c r="C166" s="2" t="n">
        <v>0.68</v>
      </c>
      <c r="D166" s="2" t="n">
        <v>7.74</v>
      </c>
      <c r="E166" s="2" t="n">
        <v>0.32</v>
      </c>
      <c r="F166" s="2" t="n">
        <v>0.34</v>
      </c>
      <c r="G166" s="2" t="n">
        <v>0.42</v>
      </c>
      <c r="H166" s="2" t="n">
        <v>0</v>
      </c>
      <c r="I166" s="2" t="n">
        <v>0</v>
      </c>
      <c r="J166" s="2" t="n">
        <v>0</v>
      </c>
      <c r="K166" s="2" t="n">
        <v>0</v>
      </c>
      <c r="L166" s="2" t="n">
        <v>0</v>
      </c>
      <c r="M166" s="2" t="n">
        <v>0</v>
      </c>
      <c r="N166" s="2" t="n">
        <v>0</v>
      </c>
      <c r="O166" s="2" t="n">
        <v>0</v>
      </c>
      <c r="P166" s="2" t="n">
        <v>0.3</v>
      </c>
      <c r="Q166" s="2">
        <f>SUM(B166:P166)</f>
        <v/>
      </c>
      <c r="S166" s="62">
        <f>(B166/$Q166)</f>
        <v/>
      </c>
      <c r="T166" s="62">
        <f>(C166/$Q166)</f>
        <v/>
      </c>
      <c r="U166" s="62">
        <f>(D166/$Q166)</f>
        <v/>
      </c>
      <c r="V166" s="62">
        <f>(E166/$Q166)</f>
        <v/>
      </c>
      <c r="W166" s="62">
        <f>(F166/$Q166)</f>
        <v/>
      </c>
      <c r="X166" s="62">
        <f>(G166/$Q166)</f>
        <v/>
      </c>
      <c r="Y166" s="62">
        <f>(H166/$Q166)</f>
        <v/>
      </c>
      <c r="Z166" s="62">
        <f>(I166/$Q166)</f>
        <v/>
      </c>
      <c r="AA166" s="62">
        <f>(J166/$Q166)</f>
        <v/>
      </c>
      <c r="AB166" s="62">
        <f>(K166/$Q166)</f>
        <v/>
      </c>
      <c r="AC166" s="62">
        <f>(L166/$Q166)</f>
        <v/>
      </c>
      <c r="AD166" s="62">
        <f>(M166/$Q166)</f>
        <v/>
      </c>
      <c r="AE166" s="62">
        <f>(N166/$Q166)</f>
        <v/>
      </c>
      <c r="AF166" s="62">
        <f>(O166/$Q166)</f>
        <v/>
      </c>
      <c r="AG166" s="62">
        <f>(P166/$Q166)</f>
        <v/>
      </c>
      <c r="AH166" s="78">
        <f>SUM(V166:X166)</f>
        <v/>
      </c>
      <c r="AI166" s="77">
        <f>SUM(Y166:AF166)</f>
        <v/>
      </c>
      <c r="AJ166" s="43">
        <f>SUM(AG166+AI166)</f>
        <v/>
      </c>
      <c r="AK166" s="44">
        <f>AJ166+AH166</f>
        <v/>
      </c>
      <c r="AL166" s="63">
        <f>SUM(V166,Y166:AG166)</f>
        <v/>
      </c>
      <c r="AM166" s="88">
        <f>SUM(W166:X166)</f>
        <v/>
      </c>
      <c r="AN166" s="88">
        <f>SUM(S166:U166)</f>
        <v/>
      </c>
      <c r="AO166" s="2">
        <f>YEAR(A166)</f>
        <v/>
      </c>
      <c r="AP166" s="2">
        <f>MONTH(A166)</f>
        <v/>
      </c>
      <c r="AQ166" s="2">
        <f>AQ165+1</f>
        <v/>
      </c>
    </row>
    <row r="167" ht="20.25" customHeight="1" s="259">
      <c r="A167" s="9" t="n">
        <v>45561</v>
      </c>
      <c r="B167" s="2" t="n">
        <v>13.42</v>
      </c>
      <c r="C167" s="2" t="n">
        <v>1.1</v>
      </c>
      <c r="D167" s="2" t="n">
        <v>6.02</v>
      </c>
      <c r="E167" s="2" t="n">
        <v>0.5600000000000001</v>
      </c>
      <c r="F167" s="2" t="n">
        <v>0.54</v>
      </c>
      <c r="G167" s="2" t="n">
        <v>0.8</v>
      </c>
      <c r="H167" s="2" t="n">
        <v>0.04</v>
      </c>
      <c r="I167" s="2" t="n">
        <v>0.7</v>
      </c>
      <c r="J167" s="2" t="n">
        <v>0</v>
      </c>
      <c r="K167" s="2" t="n">
        <v>0.08</v>
      </c>
      <c r="L167" s="2" t="n">
        <v>0</v>
      </c>
      <c r="M167" s="2" t="n">
        <v>0</v>
      </c>
      <c r="N167" s="2" t="n">
        <v>0</v>
      </c>
      <c r="O167" s="2" t="n">
        <v>0</v>
      </c>
      <c r="P167" s="2" t="n">
        <v>0.78</v>
      </c>
      <c r="Q167" s="2">
        <f>SUM(B167:P167)</f>
        <v/>
      </c>
      <c r="S167" s="62">
        <f>(B167/$Q167)</f>
        <v/>
      </c>
      <c r="T167" s="62">
        <f>(C167/$Q167)</f>
        <v/>
      </c>
      <c r="U167" s="62">
        <f>(D167/$Q167)</f>
        <v/>
      </c>
      <c r="V167" s="62">
        <f>(E167/$Q167)</f>
        <v/>
      </c>
      <c r="W167" s="62">
        <f>(F167/$Q167)</f>
        <v/>
      </c>
      <c r="X167" s="62">
        <f>(G167/$Q167)</f>
        <v/>
      </c>
      <c r="Y167" s="62">
        <f>(H167/$Q167)</f>
        <v/>
      </c>
      <c r="Z167" s="62">
        <f>(I167/$Q167)</f>
        <v/>
      </c>
      <c r="AA167" s="62">
        <f>(J167/$Q167)</f>
        <v/>
      </c>
      <c r="AB167" s="62">
        <f>(K167/$Q167)</f>
        <v/>
      </c>
      <c r="AC167" s="62">
        <f>(L167/$Q167)</f>
        <v/>
      </c>
      <c r="AD167" s="62">
        <f>(M167/$Q167)</f>
        <v/>
      </c>
      <c r="AE167" s="62">
        <f>(N167/$Q167)</f>
        <v/>
      </c>
      <c r="AF167" s="62">
        <f>(O167/$Q167)</f>
        <v/>
      </c>
      <c r="AG167" s="62">
        <f>(P167/$Q167)</f>
        <v/>
      </c>
      <c r="AH167" s="78">
        <f>SUM(V167:X167)</f>
        <v/>
      </c>
      <c r="AI167" s="77">
        <f>SUM(Y167:AF167)</f>
        <v/>
      </c>
      <c r="AJ167" s="43">
        <f>SUM(AG167+AI167)</f>
        <v/>
      </c>
      <c r="AK167" s="44">
        <f>AJ167+AH167</f>
        <v/>
      </c>
      <c r="AL167" s="63">
        <f>SUM(V167,Y167:AG167)</f>
        <v/>
      </c>
      <c r="AM167" s="88">
        <f>SUM(W167:X167)</f>
        <v/>
      </c>
      <c r="AN167" s="88">
        <f>SUM(S167:U167)</f>
        <v/>
      </c>
      <c r="AO167" s="2">
        <f>YEAR(A167)</f>
        <v/>
      </c>
      <c r="AP167" s="2">
        <f>MONTH(A167)</f>
        <v/>
      </c>
      <c r="AQ167" s="2">
        <f>AQ166+1</f>
        <v/>
      </c>
    </row>
    <row r="168" ht="20.25" customHeight="1" s="259">
      <c r="A168" s="9" t="n">
        <v>45562</v>
      </c>
      <c r="B168" s="2" t="n">
        <v>12.88</v>
      </c>
      <c r="C168" s="2" t="n">
        <v>0.4</v>
      </c>
      <c r="D168" s="2" t="n">
        <v>6.1</v>
      </c>
      <c r="E168" s="2" t="n">
        <v>0.5600000000000001</v>
      </c>
      <c r="F168" s="2" t="n">
        <v>0.48</v>
      </c>
      <c r="G168" s="2" t="n">
        <v>0.52</v>
      </c>
      <c r="H168" s="2" t="n">
        <v>0</v>
      </c>
      <c r="I168" s="2" t="n">
        <v>0.11</v>
      </c>
      <c r="J168" s="2" t="n">
        <v>0.48</v>
      </c>
      <c r="K168" s="2" t="n">
        <v>0.06</v>
      </c>
      <c r="L168" s="2" t="n">
        <v>0</v>
      </c>
      <c r="M168" s="2" t="n">
        <v>0</v>
      </c>
      <c r="N168" s="2" t="n">
        <v>0</v>
      </c>
      <c r="O168" s="2" t="n">
        <v>0.02</v>
      </c>
      <c r="P168" s="2" t="n">
        <v>0.5</v>
      </c>
      <c r="Q168" s="2">
        <f>SUM(B168:P168)</f>
        <v/>
      </c>
      <c r="S168" s="62">
        <f>(B168/$Q168)</f>
        <v/>
      </c>
      <c r="T168" s="62">
        <f>(C168/$Q168)</f>
        <v/>
      </c>
      <c r="U168" s="62">
        <f>(D168/$Q168)</f>
        <v/>
      </c>
      <c r="V168" s="62">
        <f>(E168/$Q168)</f>
        <v/>
      </c>
      <c r="W168" s="62">
        <f>(F168/$Q168)</f>
        <v/>
      </c>
      <c r="X168" s="62">
        <f>(G168/$Q168)</f>
        <v/>
      </c>
      <c r="Y168" s="62">
        <f>(H168/$Q168)</f>
        <v/>
      </c>
      <c r="Z168" s="62">
        <f>(I168/$Q168)</f>
        <v/>
      </c>
      <c r="AA168" s="62">
        <f>(J168/$Q168)</f>
        <v/>
      </c>
      <c r="AB168" s="62">
        <f>(K168/$Q168)</f>
        <v/>
      </c>
      <c r="AC168" s="62">
        <f>(L168/$Q168)</f>
        <v/>
      </c>
      <c r="AD168" s="62">
        <f>(M168/$Q168)</f>
        <v/>
      </c>
      <c r="AE168" s="62">
        <f>(N168/$Q168)</f>
        <v/>
      </c>
      <c r="AF168" s="62">
        <f>(O168/$Q168)</f>
        <v/>
      </c>
      <c r="AG168" s="62">
        <f>(P168/$Q168)</f>
        <v/>
      </c>
      <c r="AH168" s="78">
        <f>SUM(V168:X168)</f>
        <v/>
      </c>
      <c r="AI168" s="77">
        <f>SUM(Y168:AF168)</f>
        <v/>
      </c>
      <c r="AJ168" s="43">
        <f>SUM(AG168+AI168)</f>
        <v/>
      </c>
      <c r="AK168" s="44">
        <f>AJ168+AH168</f>
        <v/>
      </c>
      <c r="AL168" s="63">
        <f>SUM(V168,Y168:AG168)</f>
        <v/>
      </c>
      <c r="AM168" s="88">
        <f>SUM(W168:X168)</f>
        <v/>
      </c>
      <c r="AN168" s="88">
        <f>SUM(S168:U168)</f>
        <v/>
      </c>
      <c r="AO168" s="2">
        <f>YEAR(A168)</f>
        <v/>
      </c>
      <c r="AP168" s="2">
        <f>MONTH(A168)</f>
        <v/>
      </c>
      <c r="AQ168" s="2">
        <f>AQ167+1</f>
        <v/>
      </c>
    </row>
    <row r="169" ht="20.25" customHeight="1" s="259">
      <c r="A169" s="9" t="n">
        <v>45565</v>
      </c>
      <c r="B169" s="2" t="n">
        <v>17.72</v>
      </c>
      <c r="C169" s="2" t="n">
        <v>0.4</v>
      </c>
      <c r="D169" s="2" t="n">
        <v>4.48</v>
      </c>
      <c r="E169" s="2" t="n">
        <v>0.14</v>
      </c>
      <c r="F169" s="2" t="n">
        <v>0.24</v>
      </c>
      <c r="G169" s="2" t="n">
        <v>0.43</v>
      </c>
      <c r="H169" s="2" t="n">
        <v>0</v>
      </c>
      <c r="I169" s="2" t="n">
        <v>0.22</v>
      </c>
      <c r="J169" s="2" t="n">
        <v>0</v>
      </c>
      <c r="K169" s="2" t="n">
        <v>0</v>
      </c>
      <c r="L169" s="2" t="n">
        <v>0.02</v>
      </c>
      <c r="M169" s="2" t="n">
        <v>0</v>
      </c>
      <c r="N169" s="2" t="n">
        <v>0</v>
      </c>
      <c r="O169" s="2" t="n">
        <v>0</v>
      </c>
      <c r="P169" s="2" t="n">
        <v>0.38</v>
      </c>
      <c r="Q169" s="2">
        <f>SUM(B169:P169)</f>
        <v/>
      </c>
      <c r="S169" s="62">
        <f>(B169/$Q169)</f>
        <v/>
      </c>
      <c r="T169" s="62">
        <f>(C169/$Q169)</f>
        <v/>
      </c>
      <c r="U169" s="62">
        <f>(D169/$Q169)</f>
        <v/>
      </c>
      <c r="V169" s="62">
        <f>(E169/$Q169)</f>
        <v/>
      </c>
      <c r="W169" s="62">
        <f>(F169/$Q169)</f>
        <v/>
      </c>
      <c r="X169" s="62">
        <f>(G169/$Q169)</f>
        <v/>
      </c>
      <c r="Y169" s="62">
        <f>(H169/$Q169)</f>
        <v/>
      </c>
      <c r="Z169" s="62">
        <f>(I169/$Q169)</f>
        <v/>
      </c>
      <c r="AA169" s="62">
        <f>(J169/$Q169)</f>
        <v/>
      </c>
      <c r="AB169" s="62">
        <f>(K169/$Q169)</f>
        <v/>
      </c>
      <c r="AC169" s="62">
        <f>(L169/$Q169)</f>
        <v/>
      </c>
      <c r="AD169" s="62">
        <f>(M169/$Q169)</f>
        <v/>
      </c>
      <c r="AE169" s="62">
        <f>(N169/$Q169)</f>
        <v/>
      </c>
      <c r="AF169" s="62">
        <f>(O169/$Q169)</f>
        <v/>
      </c>
      <c r="AG169" s="62">
        <f>(P169/$Q169)</f>
        <v/>
      </c>
      <c r="AH169" s="78">
        <f>SUM(V169:X169)</f>
        <v/>
      </c>
      <c r="AI169" s="77">
        <f>SUM(Y169:AF169)</f>
        <v/>
      </c>
      <c r="AJ169" s="43">
        <f>SUM(AG169+AI169)</f>
        <v/>
      </c>
      <c r="AK169" s="44">
        <f>AJ169+AH169</f>
        <v/>
      </c>
      <c r="AL169" s="63">
        <f>SUM(V169,Y169:AG169)</f>
        <v/>
      </c>
      <c r="AM169" s="88">
        <f>SUM(W169:X169)</f>
        <v/>
      </c>
      <c r="AN169" s="88">
        <f>SUM(S169:U169)</f>
        <v/>
      </c>
      <c r="AO169" s="2">
        <f>YEAR(A169)</f>
        <v/>
      </c>
      <c r="AP169" s="2">
        <f>MONTH(A169)</f>
        <v/>
      </c>
      <c r="AQ169" s="2">
        <f>AQ168+1</f>
        <v/>
      </c>
    </row>
    <row r="170" ht="20.25" customHeight="1" s="259">
      <c r="A170" s="9" t="n">
        <v>45569</v>
      </c>
      <c r="B170" s="2" t="n">
        <v>15.44</v>
      </c>
      <c r="C170" s="2" t="n">
        <v>0.72</v>
      </c>
      <c r="D170" s="2" t="n">
        <v>4.5</v>
      </c>
      <c r="E170" s="2" t="n">
        <v>0.5600000000000001</v>
      </c>
      <c r="F170" s="2" t="n">
        <v>0.48</v>
      </c>
      <c r="G170" s="2" t="n">
        <v>0.46</v>
      </c>
      <c r="H170" s="2" t="n">
        <v>0</v>
      </c>
      <c r="I170" s="2" t="n">
        <v>0.1</v>
      </c>
      <c r="J170" s="2" t="n">
        <v>0</v>
      </c>
      <c r="K170" s="2" t="n">
        <v>0.1</v>
      </c>
      <c r="L170" s="2" t="n">
        <v>0</v>
      </c>
      <c r="M170" s="2" t="n">
        <v>0</v>
      </c>
      <c r="N170" s="2" t="n">
        <v>0</v>
      </c>
      <c r="O170" s="2" t="n">
        <v>0</v>
      </c>
      <c r="P170" s="2" t="n">
        <v>0.54</v>
      </c>
      <c r="Q170" s="2">
        <f>SUM(B170:P170)</f>
        <v/>
      </c>
      <c r="S170" s="62">
        <f>(B170/$Q170)</f>
        <v/>
      </c>
      <c r="T170" s="62">
        <f>(C170/$Q170)</f>
        <v/>
      </c>
      <c r="U170" s="62">
        <f>(D170/$Q170)</f>
        <v/>
      </c>
      <c r="V170" s="62">
        <f>(E170/$Q170)</f>
        <v/>
      </c>
      <c r="W170" s="62">
        <f>(F170/$Q170)</f>
        <v/>
      </c>
      <c r="X170" s="62">
        <f>(G170/$Q170)</f>
        <v/>
      </c>
      <c r="Y170" s="62">
        <f>(H170/$Q170)</f>
        <v/>
      </c>
      <c r="Z170" s="62">
        <f>(I170/$Q170)</f>
        <v/>
      </c>
      <c r="AA170" s="62">
        <f>(J170/$Q170)</f>
        <v/>
      </c>
      <c r="AB170" s="62">
        <f>(K170/$Q170)</f>
        <v/>
      </c>
      <c r="AC170" s="62">
        <f>(L170/$Q170)</f>
        <v/>
      </c>
      <c r="AD170" s="62">
        <f>(M170/$Q170)</f>
        <v/>
      </c>
      <c r="AE170" s="62">
        <f>(N170/$Q170)</f>
        <v/>
      </c>
      <c r="AF170" s="62">
        <f>(O170/$Q170)</f>
        <v/>
      </c>
      <c r="AG170" s="62">
        <f>(P170/$Q170)</f>
        <v/>
      </c>
      <c r="AH170" s="78">
        <f>SUM(V170:X170)</f>
        <v/>
      </c>
      <c r="AI170" s="77">
        <f>SUM(Y170:AF170)</f>
        <v/>
      </c>
      <c r="AJ170" s="43">
        <f>SUM(AG170+AI170)</f>
        <v/>
      </c>
      <c r="AK170" s="44">
        <f>AJ170+AH170</f>
        <v/>
      </c>
      <c r="AL170" s="63">
        <f>SUM(V170,Y170:AG170)</f>
        <v/>
      </c>
      <c r="AM170" s="88">
        <f>SUM(W170:X170)</f>
        <v/>
      </c>
      <c r="AN170" s="88">
        <f>SUM(S170:U170)</f>
        <v/>
      </c>
      <c r="AO170" s="2">
        <f>YEAR(A170)</f>
        <v/>
      </c>
      <c r="AP170" s="2">
        <f>MONTH(A170)</f>
        <v/>
      </c>
      <c r="AQ170" s="2">
        <f>AQ169+1</f>
        <v/>
      </c>
    </row>
    <row r="171" ht="20.25" customHeight="1" s="259">
      <c r="A171" s="9" t="n">
        <v>45572</v>
      </c>
      <c r="B171" s="2" t="n">
        <v>14.16</v>
      </c>
      <c r="C171" s="2" t="n">
        <v>0.54</v>
      </c>
      <c r="D171" s="2" t="n">
        <v>9.640000000000001</v>
      </c>
      <c r="E171" s="2" t="n">
        <v>0.88</v>
      </c>
      <c r="F171" s="2" t="n">
        <v>0.68</v>
      </c>
      <c r="G171" s="2" t="n">
        <v>0.44</v>
      </c>
      <c r="H171" s="2" t="n">
        <v>0</v>
      </c>
      <c r="I171" s="2" t="n">
        <v>0.08</v>
      </c>
      <c r="J171" s="2" t="n">
        <v>0</v>
      </c>
      <c r="K171" s="2" t="n">
        <v>0.12</v>
      </c>
      <c r="L171" s="2" t="n">
        <v>0</v>
      </c>
      <c r="M171" s="2" t="n">
        <v>0.04</v>
      </c>
      <c r="N171" s="2" t="n">
        <v>0.04</v>
      </c>
      <c r="O171" s="2" t="n">
        <v>0</v>
      </c>
      <c r="P171" s="2" t="n">
        <v>0.74</v>
      </c>
      <c r="Q171" s="2">
        <f>SUM(B171:P171)</f>
        <v/>
      </c>
      <c r="S171" s="62">
        <f>(B171/$Q171)</f>
        <v/>
      </c>
      <c r="T171" s="62">
        <f>(C171/$Q171)</f>
        <v/>
      </c>
      <c r="U171" s="62">
        <f>(D171/$Q171)</f>
        <v/>
      </c>
      <c r="V171" s="62">
        <f>(E171/$Q171)</f>
        <v/>
      </c>
      <c r="W171" s="62">
        <f>(F171/$Q171)</f>
        <v/>
      </c>
      <c r="X171" s="62">
        <f>(G171/$Q171)</f>
        <v/>
      </c>
      <c r="Y171" s="62">
        <f>(H171/$Q171)</f>
        <v/>
      </c>
      <c r="Z171" s="62">
        <f>(I171/$Q171)</f>
        <v/>
      </c>
      <c r="AA171" s="62">
        <f>(J171/$Q171)</f>
        <v/>
      </c>
      <c r="AB171" s="62">
        <f>(K171/$Q171)</f>
        <v/>
      </c>
      <c r="AC171" s="62">
        <f>(L171/$Q171)</f>
        <v/>
      </c>
      <c r="AD171" s="62">
        <f>(M171/$Q171)</f>
        <v/>
      </c>
      <c r="AE171" s="62">
        <f>(N171/$Q171)</f>
        <v/>
      </c>
      <c r="AF171" s="62">
        <f>(O171/$Q171)</f>
        <v/>
      </c>
      <c r="AG171" s="62">
        <f>(P171/$Q171)</f>
        <v/>
      </c>
      <c r="AH171" s="78">
        <f>SUM(V171:X171)</f>
        <v/>
      </c>
      <c r="AI171" s="77">
        <f>SUM(Y171:AF171)</f>
        <v/>
      </c>
      <c r="AJ171" s="43">
        <f>SUM(AG171+AI171)</f>
        <v/>
      </c>
      <c r="AK171" s="44">
        <f>AJ171+AH171</f>
        <v/>
      </c>
      <c r="AL171" s="63">
        <f>SUM(V171,Y171:AG171)</f>
        <v/>
      </c>
      <c r="AM171" s="88">
        <f>SUM(W171:X171)</f>
        <v/>
      </c>
      <c r="AN171" s="88">
        <f>SUM(S171:U171)</f>
        <v/>
      </c>
      <c r="AO171" s="2">
        <f>YEAR(A171)</f>
        <v/>
      </c>
      <c r="AP171" s="2">
        <f>MONTH(A171)</f>
        <v/>
      </c>
      <c r="AQ171" s="2">
        <f>AQ170+1</f>
        <v/>
      </c>
    </row>
    <row r="172" ht="20.25" customHeight="1" s="259">
      <c r="A172" s="9" t="n">
        <v>45574</v>
      </c>
      <c r="B172" s="2" t="n">
        <v>13.86</v>
      </c>
      <c r="C172" s="2" t="n">
        <v>0.28</v>
      </c>
      <c r="D172" s="2" t="n">
        <v>8.08</v>
      </c>
      <c r="E172" s="2" t="n">
        <v>0.5600000000000001</v>
      </c>
      <c r="F172" s="2" t="n">
        <v>1.48</v>
      </c>
      <c r="G172" s="2" t="n">
        <v>1.04</v>
      </c>
      <c r="H172" s="2" t="n">
        <v>0</v>
      </c>
      <c r="I172" s="2" t="n">
        <v>0.02</v>
      </c>
      <c r="J172" s="2" t="n">
        <v>0</v>
      </c>
      <c r="K172" s="2" t="n">
        <v>0.04</v>
      </c>
      <c r="L172" s="2" t="n">
        <v>0</v>
      </c>
      <c r="M172" s="2" t="n">
        <v>0</v>
      </c>
      <c r="N172" s="2" t="n">
        <v>0</v>
      </c>
      <c r="O172" s="2" t="n">
        <v>0.02</v>
      </c>
      <c r="P172" s="2" t="n">
        <v>0.5</v>
      </c>
      <c r="Q172" s="2">
        <f>SUM(B172:P172)</f>
        <v/>
      </c>
      <c r="S172" s="62">
        <f>(B172/$Q172)</f>
        <v/>
      </c>
      <c r="T172" s="62">
        <f>(C172/$Q172)</f>
        <v/>
      </c>
      <c r="U172" s="62">
        <f>(D172/$Q172)</f>
        <v/>
      </c>
      <c r="V172" s="62">
        <f>(E172/$Q172)</f>
        <v/>
      </c>
      <c r="W172" s="62">
        <f>(F172/$Q172)</f>
        <v/>
      </c>
      <c r="X172" s="62">
        <f>(G172/$Q172)</f>
        <v/>
      </c>
      <c r="Y172" s="62">
        <f>(H172/$Q172)</f>
        <v/>
      </c>
      <c r="Z172" s="62">
        <f>(I172/$Q172)</f>
        <v/>
      </c>
      <c r="AA172" s="62">
        <f>(J172/$Q172)</f>
        <v/>
      </c>
      <c r="AB172" s="62">
        <f>(K172/$Q172)</f>
        <v/>
      </c>
      <c r="AC172" s="62">
        <f>(L172/$Q172)</f>
        <v/>
      </c>
      <c r="AD172" s="62">
        <f>(M172/$Q172)</f>
        <v/>
      </c>
      <c r="AE172" s="62">
        <f>(N172/$Q172)</f>
        <v/>
      </c>
      <c r="AF172" s="62">
        <f>(O172/$Q172)</f>
        <v/>
      </c>
      <c r="AG172" s="62">
        <f>(P172/$Q172)</f>
        <v/>
      </c>
      <c r="AH172" s="78">
        <f>SUM(V172:X172)</f>
        <v/>
      </c>
      <c r="AI172" s="77">
        <f>SUM(Y172:AF172)</f>
        <v/>
      </c>
      <c r="AJ172" s="43">
        <f>SUM(AG172+AI172)</f>
        <v/>
      </c>
      <c r="AK172" s="44">
        <f>AJ172+AH172</f>
        <v/>
      </c>
      <c r="AL172" s="63">
        <f>SUM(V172,Y172:AG172)</f>
        <v/>
      </c>
      <c r="AM172" s="88">
        <f>SUM(W172:X172)</f>
        <v/>
      </c>
      <c r="AN172" s="88">
        <f>SUM(S172:U172)</f>
        <v/>
      </c>
      <c r="AO172" s="2">
        <f>YEAR(A172)</f>
        <v/>
      </c>
      <c r="AP172" s="2">
        <f>MONTH(A172)</f>
        <v/>
      </c>
      <c r="AQ172" s="2">
        <f>AQ171+1</f>
        <v/>
      </c>
    </row>
    <row r="173" ht="20.25" customHeight="1" s="259">
      <c r="A173" s="9" t="n">
        <v>45584</v>
      </c>
      <c r="B173" s="2" t="n">
        <v>16.02</v>
      </c>
      <c r="C173" s="2" t="n">
        <v>2.32</v>
      </c>
      <c r="D173" s="2" t="n">
        <v>7.04</v>
      </c>
      <c r="E173" s="2" t="n">
        <v>0.86</v>
      </c>
      <c r="F173" s="2" t="n">
        <v>0.9399999999999999</v>
      </c>
      <c r="G173" s="2" t="n">
        <v>0.5600000000000001</v>
      </c>
      <c r="H173" s="2" t="n">
        <v>0.06</v>
      </c>
      <c r="I173" s="2" t="n">
        <v>0.08</v>
      </c>
      <c r="J173" s="2" t="n">
        <v>0</v>
      </c>
      <c r="K173" s="2" t="n">
        <v>0.04</v>
      </c>
      <c r="L173" s="2" t="n">
        <v>0</v>
      </c>
      <c r="M173" s="2" t="n">
        <v>0</v>
      </c>
      <c r="N173" s="2" t="n">
        <v>0.04</v>
      </c>
      <c r="O173" s="2" t="n">
        <v>0</v>
      </c>
      <c r="P173" s="2" t="n">
        <v>0.6</v>
      </c>
      <c r="Q173" s="2">
        <f>SUM(B173:P173)</f>
        <v/>
      </c>
      <c r="S173" s="62">
        <f>(B173/$Q173)</f>
        <v/>
      </c>
      <c r="T173" s="62">
        <f>(C173/$Q173)</f>
        <v/>
      </c>
      <c r="U173" s="62">
        <f>(D173/$Q173)</f>
        <v/>
      </c>
      <c r="V173" s="62">
        <f>(E173/$Q173)</f>
        <v/>
      </c>
      <c r="W173" s="62">
        <f>(F173/$Q173)</f>
        <v/>
      </c>
      <c r="X173" s="62">
        <f>(G173/$Q173)</f>
        <v/>
      </c>
      <c r="Y173" s="62">
        <f>(H173/$Q173)</f>
        <v/>
      </c>
      <c r="Z173" s="62">
        <f>(I173/$Q173)</f>
        <v/>
      </c>
      <c r="AA173" s="62">
        <f>(J173/$Q173)</f>
        <v/>
      </c>
      <c r="AB173" s="62">
        <f>(K173/$Q173)</f>
        <v/>
      </c>
      <c r="AC173" s="62">
        <f>(L173/$Q173)</f>
        <v/>
      </c>
      <c r="AD173" s="62">
        <f>(M173/$Q173)</f>
        <v/>
      </c>
      <c r="AE173" s="62">
        <f>(N173/$Q173)</f>
        <v/>
      </c>
      <c r="AF173" s="62">
        <f>(O173/$Q173)</f>
        <v/>
      </c>
      <c r="AG173" s="62">
        <f>(P173/$Q173)</f>
        <v/>
      </c>
      <c r="AH173" s="78">
        <f>SUM(V173:X173)</f>
        <v/>
      </c>
      <c r="AI173" s="77">
        <f>SUM(Y173:AF173)</f>
        <v/>
      </c>
      <c r="AJ173" s="43">
        <f>SUM(AG173+AI173)</f>
        <v/>
      </c>
      <c r="AK173" s="44">
        <f>AJ173+AH173</f>
        <v/>
      </c>
      <c r="AL173" s="63">
        <f>SUM(V173,Y173:AG173)</f>
        <v/>
      </c>
      <c r="AM173" s="88">
        <f>SUM(W173:X173)</f>
        <v/>
      </c>
      <c r="AN173" s="88">
        <f>SUM(S173:U173)</f>
        <v/>
      </c>
      <c r="AO173" s="2">
        <f>YEAR(A173)</f>
        <v/>
      </c>
      <c r="AP173" s="2">
        <f>MONTH(A173)</f>
        <v/>
      </c>
      <c r="AQ173" s="2">
        <f>AQ172+1</f>
        <v/>
      </c>
    </row>
    <row r="174" ht="20.25" customHeight="1" s="259">
      <c r="A174" s="9" t="n">
        <v>45586</v>
      </c>
      <c r="B174" s="2" t="n">
        <v>17.04</v>
      </c>
      <c r="C174" s="2" t="n">
        <v>0.62</v>
      </c>
      <c r="D174" s="2" t="n">
        <v>6.86</v>
      </c>
      <c r="E174" s="2" t="n">
        <v>0.9</v>
      </c>
      <c r="F174" s="2" t="n">
        <v>0.38</v>
      </c>
      <c r="G174" s="2" t="n">
        <v>0.66</v>
      </c>
      <c r="H174" s="2" t="n">
        <v>0</v>
      </c>
      <c r="I174" s="2" t="n">
        <v>0</v>
      </c>
      <c r="J174" s="2" t="n">
        <v>0</v>
      </c>
      <c r="K174" s="2" t="n">
        <v>0</v>
      </c>
      <c r="L174" s="2" t="n">
        <v>0</v>
      </c>
      <c r="M174" s="2" t="n">
        <v>0</v>
      </c>
      <c r="N174" s="2" t="n">
        <v>0</v>
      </c>
      <c r="O174" s="2" t="n">
        <v>0</v>
      </c>
      <c r="P174" s="2" t="n">
        <v>0.76</v>
      </c>
      <c r="Q174" s="2">
        <f>SUM(B174:P174)</f>
        <v/>
      </c>
      <c r="S174" s="62">
        <f>(B174/$Q174)</f>
        <v/>
      </c>
      <c r="T174" s="62">
        <f>(C174/$Q174)</f>
        <v/>
      </c>
      <c r="U174" s="62">
        <f>(D174/$Q174)</f>
        <v/>
      </c>
      <c r="V174" s="62">
        <f>(E174/$Q174)</f>
        <v/>
      </c>
      <c r="W174" s="62">
        <f>(F174/$Q174)</f>
        <v/>
      </c>
      <c r="X174" s="62">
        <f>(G174/$Q174)</f>
        <v/>
      </c>
      <c r="Y174" s="62">
        <f>(H174/$Q174)</f>
        <v/>
      </c>
      <c r="Z174" s="62">
        <f>(I174/$Q174)</f>
        <v/>
      </c>
      <c r="AA174" s="62">
        <f>(J174/$Q174)</f>
        <v/>
      </c>
      <c r="AB174" s="62">
        <f>(K174/$Q174)</f>
        <v/>
      </c>
      <c r="AC174" s="62">
        <f>(L174/$Q174)</f>
        <v/>
      </c>
      <c r="AD174" s="62">
        <f>(M174/$Q174)</f>
        <v/>
      </c>
      <c r="AE174" s="62">
        <f>(N174/$Q174)</f>
        <v/>
      </c>
      <c r="AF174" s="62">
        <f>(O174/$Q174)</f>
        <v/>
      </c>
      <c r="AG174" s="62">
        <f>(P174/$Q174)</f>
        <v/>
      </c>
      <c r="AH174" s="78">
        <f>SUM(V174:X174)</f>
        <v/>
      </c>
      <c r="AI174" s="77">
        <f>SUM(Y174:AF174)</f>
        <v/>
      </c>
      <c r="AJ174" s="43">
        <f>SUM(AG174+AI174)</f>
        <v/>
      </c>
      <c r="AK174" s="44">
        <f>AJ174+AH174</f>
        <v/>
      </c>
      <c r="AL174" s="63">
        <f>SUM(V174,Y174:AG174)</f>
        <v/>
      </c>
      <c r="AM174" s="88">
        <f>SUM(W174:X174)</f>
        <v/>
      </c>
      <c r="AN174" s="88">
        <f>SUM(S174:U174)</f>
        <v/>
      </c>
      <c r="AO174" s="2">
        <f>YEAR(A174)</f>
        <v/>
      </c>
      <c r="AP174" s="2">
        <f>MONTH(A174)</f>
        <v/>
      </c>
      <c r="AQ174" s="2">
        <f>AQ173+1</f>
        <v/>
      </c>
    </row>
    <row r="175" ht="20.25" customHeight="1" s="259">
      <c r="A175" s="9" t="n">
        <v>45590</v>
      </c>
      <c r="B175" s="2" t="n">
        <v>13.66</v>
      </c>
      <c r="C175" s="2" t="n">
        <v>1.34</v>
      </c>
      <c r="D175" s="2" t="n">
        <v>5.46</v>
      </c>
      <c r="E175" s="2" t="n">
        <v>0.58</v>
      </c>
      <c r="F175" s="2" t="n">
        <v>1.16</v>
      </c>
      <c r="G175" s="2" t="n">
        <v>0.74</v>
      </c>
      <c r="H175" s="2" t="n">
        <v>0.18</v>
      </c>
      <c r="I175" s="2" t="n">
        <v>0.18</v>
      </c>
      <c r="J175" s="2" t="n">
        <v>0.02</v>
      </c>
      <c r="K175" s="2" t="n">
        <v>0.08</v>
      </c>
      <c r="L175" s="2" t="n">
        <v>0</v>
      </c>
      <c r="M175" s="2" t="n">
        <v>0.04</v>
      </c>
      <c r="N175" s="2" t="n">
        <v>0.06</v>
      </c>
      <c r="O175" s="2" t="n">
        <v>0</v>
      </c>
      <c r="P175" s="2" t="n">
        <v>0.68</v>
      </c>
      <c r="Q175" s="2">
        <f>SUM(B175:P175)</f>
        <v/>
      </c>
      <c r="S175" s="62">
        <f>(B175/$Q175)</f>
        <v/>
      </c>
      <c r="T175" s="62">
        <f>(C175/$Q175)</f>
        <v/>
      </c>
      <c r="U175" s="62">
        <f>(D175/$Q175)</f>
        <v/>
      </c>
      <c r="V175" s="62">
        <f>(E175/$Q175)</f>
        <v/>
      </c>
      <c r="W175" s="62">
        <f>(F175/$Q175)</f>
        <v/>
      </c>
      <c r="X175" s="62">
        <f>(G175/$Q175)</f>
        <v/>
      </c>
      <c r="Y175" s="62">
        <f>(H175/$Q175)</f>
        <v/>
      </c>
      <c r="Z175" s="62">
        <f>(I175/$Q175)</f>
        <v/>
      </c>
      <c r="AA175" s="62">
        <f>(J175/$Q175)</f>
        <v/>
      </c>
      <c r="AB175" s="62">
        <f>(K175/$Q175)</f>
        <v/>
      </c>
      <c r="AC175" s="62">
        <f>(L175/$Q175)</f>
        <v/>
      </c>
      <c r="AD175" s="62">
        <f>(M175/$Q175)</f>
        <v/>
      </c>
      <c r="AE175" s="62">
        <f>(N175/$Q175)</f>
        <v/>
      </c>
      <c r="AF175" s="62">
        <f>(O175/$Q175)</f>
        <v/>
      </c>
      <c r="AG175" s="62">
        <f>(P175/$Q175)</f>
        <v/>
      </c>
      <c r="AH175" s="78">
        <f>SUM(V175:X175)</f>
        <v/>
      </c>
      <c r="AI175" s="77">
        <f>SUM(Y175:AF175)</f>
        <v/>
      </c>
      <c r="AJ175" s="43">
        <f>SUM(AG175+AI175)</f>
        <v/>
      </c>
      <c r="AK175" s="44">
        <f>AJ175+AH175</f>
        <v/>
      </c>
      <c r="AL175" s="63">
        <f>SUM(V175,Y175:AG175)</f>
        <v/>
      </c>
      <c r="AM175" s="88">
        <f>SUM(W175:X175)</f>
        <v/>
      </c>
      <c r="AN175" s="88">
        <f>SUM(S175:U175)</f>
        <v/>
      </c>
      <c r="AO175" s="2">
        <f>YEAR(A175)</f>
        <v/>
      </c>
      <c r="AP175" s="2">
        <f>MONTH(A175)</f>
        <v/>
      </c>
      <c r="AQ175" s="2">
        <f>AQ174+1</f>
        <v/>
      </c>
    </row>
    <row r="176" ht="20.25" customHeight="1" s="259">
      <c r="A176" s="9" t="n">
        <v>45600</v>
      </c>
      <c r="B176" s="2" t="n">
        <v>14.18</v>
      </c>
      <c r="C176" s="2" t="n">
        <v>2.28</v>
      </c>
      <c r="D176" s="2" t="n">
        <v>5.68</v>
      </c>
      <c r="E176" s="2" t="n">
        <v>1.44</v>
      </c>
      <c r="F176" s="2" t="n">
        <v>0.6</v>
      </c>
      <c r="G176" s="2" t="n">
        <v>0.48</v>
      </c>
      <c r="H176" s="2" t="n">
        <v>0.24</v>
      </c>
      <c r="I176" s="2" t="n">
        <v>0.1</v>
      </c>
      <c r="J176" s="2" t="n">
        <v>0</v>
      </c>
      <c r="K176" s="2" t="n">
        <v>0.06</v>
      </c>
      <c r="L176" s="2" t="n">
        <v>0</v>
      </c>
      <c r="M176" s="2" t="n">
        <v>0</v>
      </c>
      <c r="N176" s="2" t="n">
        <v>0.04</v>
      </c>
      <c r="O176" s="2" t="n">
        <v>0.02</v>
      </c>
      <c r="P176" s="2" t="n">
        <v>0.7</v>
      </c>
      <c r="Q176" s="2">
        <f>SUM(B176:P176)</f>
        <v/>
      </c>
      <c r="S176" s="62">
        <f>(B176/$Q176)</f>
        <v/>
      </c>
      <c r="T176" s="62">
        <f>(C176/$Q176)</f>
        <v/>
      </c>
      <c r="U176" s="62">
        <f>(D176/$Q176)</f>
        <v/>
      </c>
      <c r="V176" s="62">
        <f>(E176/$Q176)</f>
        <v/>
      </c>
      <c r="W176" s="62">
        <f>(F176/$Q176)</f>
        <v/>
      </c>
      <c r="X176" s="62">
        <f>(G176/$Q176)</f>
        <v/>
      </c>
      <c r="Y176" s="62">
        <f>(H176/$Q176)</f>
        <v/>
      </c>
      <c r="Z176" s="62">
        <f>(I176/$Q176)</f>
        <v/>
      </c>
      <c r="AA176" s="62">
        <f>(J176/$Q176)</f>
        <v/>
      </c>
      <c r="AB176" s="62">
        <f>(K176/$Q176)</f>
        <v/>
      </c>
      <c r="AC176" s="62">
        <f>(L176/$Q176)</f>
        <v/>
      </c>
      <c r="AD176" s="62">
        <f>(M176/$Q176)</f>
        <v/>
      </c>
      <c r="AE176" s="62">
        <f>(N176/$Q176)</f>
        <v/>
      </c>
      <c r="AF176" s="62">
        <f>(O176/$Q176)</f>
        <v/>
      </c>
      <c r="AG176" s="62">
        <f>(P176/$Q176)</f>
        <v/>
      </c>
      <c r="AH176" s="78">
        <f>SUM(V176:X176)</f>
        <v/>
      </c>
      <c r="AI176" s="77">
        <f>SUM(Y176:AF176)</f>
        <v/>
      </c>
      <c r="AJ176" s="43">
        <f>SUM(AG176+AI176)</f>
        <v/>
      </c>
      <c r="AK176" s="44">
        <f>AJ176+AH176</f>
        <v/>
      </c>
      <c r="AL176" s="63">
        <f>SUM(V176,Y176:AG176)</f>
        <v/>
      </c>
      <c r="AM176" s="88">
        <f>SUM(W176:X176)</f>
        <v/>
      </c>
      <c r="AN176" s="88">
        <f>SUM(S176:U176)</f>
        <v/>
      </c>
      <c r="AO176" s="2">
        <f>YEAR(A176)</f>
        <v/>
      </c>
      <c r="AP176" s="2">
        <f>MONTH(A176)</f>
        <v/>
      </c>
      <c r="AQ176" s="2">
        <f>AQ175+1</f>
        <v/>
      </c>
    </row>
    <row r="177" ht="20.25" customHeight="1" s="259">
      <c r="A177" s="9" t="n">
        <v>45610</v>
      </c>
      <c r="B177" s="2" t="n">
        <v>15.34</v>
      </c>
      <c r="C177" s="2" t="n">
        <v>1.5</v>
      </c>
      <c r="D177" s="2" t="n">
        <v>7.2</v>
      </c>
      <c r="E177" s="2" t="n">
        <v>0.86</v>
      </c>
      <c r="F177" s="2" t="n">
        <v>1</v>
      </c>
      <c r="G177" s="2" t="n">
        <v>1.1</v>
      </c>
      <c r="H177" s="2" t="n">
        <v>0</v>
      </c>
      <c r="I177" s="2" t="n">
        <v>0.06</v>
      </c>
      <c r="J177" s="2" t="n">
        <v>0</v>
      </c>
      <c r="K177" s="2" t="n">
        <v>0</v>
      </c>
      <c r="L177" s="2" t="n">
        <v>0</v>
      </c>
      <c r="M177" s="2" t="n">
        <v>0</v>
      </c>
      <c r="N177" s="2" t="n">
        <v>0.08</v>
      </c>
      <c r="O177" s="2" t="n">
        <v>0</v>
      </c>
      <c r="P177" s="2" t="n">
        <v>0.7</v>
      </c>
      <c r="Q177" s="2">
        <f>SUM(B177:P177)</f>
        <v/>
      </c>
      <c r="S177" s="62">
        <f>(B177/$Q177)</f>
        <v/>
      </c>
      <c r="T177" s="62">
        <f>(C177/$Q177)</f>
        <v/>
      </c>
      <c r="U177" s="62">
        <f>(D177/$Q177)</f>
        <v/>
      </c>
      <c r="V177" s="62">
        <f>(E177/$Q177)</f>
        <v/>
      </c>
      <c r="W177" s="62">
        <f>(F177/$Q177)</f>
        <v/>
      </c>
      <c r="X177" s="62">
        <f>(G177/$Q177)</f>
        <v/>
      </c>
      <c r="Y177" s="62">
        <f>(H177/$Q177)</f>
        <v/>
      </c>
      <c r="Z177" s="62">
        <f>(I177/$Q177)</f>
        <v/>
      </c>
      <c r="AA177" s="62">
        <f>(J177/$Q177)</f>
        <v/>
      </c>
      <c r="AB177" s="62">
        <f>(K177/$Q177)</f>
        <v/>
      </c>
      <c r="AC177" s="62">
        <f>(L177/$Q177)</f>
        <v/>
      </c>
      <c r="AD177" s="62">
        <f>(M177/$Q177)</f>
        <v/>
      </c>
      <c r="AE177" s="62">
        <f>(N177/$Q177)</f>
        <v/>
      </c>
      <c r="AF177" s="62">
        <f>(O177/$Q177)</f>
        <v/>
      </c>
      <c r="AG177" s="62">
        <f>(P177/$Q177)</f>
        <v/>
      </c>
      <c r="AH177" s="78">
        <f>SUM(V177:X177)</f>
        <v/>
      </c>
      <c r="AI177" s="77">
        <f>SUM(Y177:AF177)</f>
        <v/>
      </c>
      <c r="AJ177" s="43">
        <f>SUM(AG177+AI177)</f>
        <v/>
      </c>
      <c r="AK177" s="44">
        <f>AJ177+AH177</f>
        <v/>
      </c>
      <c r="AL177" s="63">
        <f>SUM(V177,Y177:AG177)</f>
        <v/>
      </c>
      <c r="AM177" s="88">
        <f>SUM(W177:X177)</f>
        <v/>
      </c>
      <c r="AN177" s="88">
        <f>SUM(S177:U177)</f>
        <v/>
      </c>
      <c r="AO177" s="2">
        <f>YEAR(A177)</f>
        <v/>
      </c>
      <c r="AP177" s="2">
        <f>MONTH(A177)</f>
        <v/>
      </c>
      <c r="AQ177" s="2">
        <f>AQ176+1</f>
        <v/>
      </c>
    </row>
    <row r="178" ht="20.25" customHeight="1" s="259">
      <c r="A178" s="9" t="n">
        <v>45616</v>
      </c>
      <c r="B178" s="2" t="n">
        <v>26.44</v>
      </c>
      <c r="C178" s="2" t="n">
        <v>0.54</v>
      </c>
      <c r="D178" s="2" t="n">
        <v>9.18</v>
      </c>
      <c r="E178" s="2" t="n">
        <v>2.48</v>
      </c>
      <c r="F178" s="2" t="n">
        <v>2.1</v>
      </c>
      <c r="G178" s="2" t="n">
        <v>1.38</v>
      </c>
      <c r="H178" s="2" t="n">
        <v>0.08</v>
      </c>
      <c r="I178" s="2" t="n">
        <v>0</v>
      </c>
      <c r="J178" s="2" t="n">
        <v>0</v>
      </c>
      <c r="K178" s="2" t="n">
        <v>0</v>
      </c>
      <c r="L178" s="2" t="n">
        <v>0</v>
      </c>
      <c r="M178" s="2" t="n">
        <v>0</v>
      </c>
      <c r="N178" s="2" t="n">
        <v>0</v>
      </c>
      <c r="O178" s="2" t="n">
        <v>0</v>
      </c>
      <c r="P178" s="2" t="n">
        <v>1.32</v>
      </c>
      <c r="Q178" s="2">
        <f>SUM(B178:P178)</f>
        <v/>
      </c>
      <c r="S178" s="62">
        <f>(B178/$Q178)</f>
        <v/>
      </c>
      <c r="T178" s="62">
        <f>(C178/$Q178)</f>
        <v/>
      </c>
      <c r="U178" s="62">
        <f>(D178/$Q178)</f>
        <v/>
      </c>
      <c r="V178" s="62">
        <f>(E178/$Q178)</f>
        <v/>
      </c>
      <c r="W178" s="62">
        <f>(F178/$Q178)</f>
        <v/>
      </c>
      <c r="X178" s="62">
        <f>(G178/$Q178)</f>
        <v/>
      </c>
      <c r="Y178" s="62">
        <f>(H178/$Q178)</f>
        <v/>
      </c>
      <c r="Z178" s="62">
        <f>(I178/$Q178)</f>
        <v/>
      </c>
      <c r="AA178" s="62">
        <f>(J178/$Q178)</f>
        <v/>
      </c>
      <c r="AB178" s="62">
        <f>(K178/$Q178)</f>
        <v/>
      </c>
      <c r="AC178" s="62">
        <f>(L178/$Q178)</f>
        <v/>
      </c>
      <c r="AD178" s="62">
        <f>(M178/$Q178)</f>
        <v/>
      </c>
      <c r="AE178" s="62">
        <f>(N178/$Q178)</f>
        <v/>
      </c>
      <c r="AF178" s="62">
        <f>(O178/$Q178)</f>
        <v/>
      </c>
      <c r="AG178" s="62">
        <f>(P178/$Q178)</f>
        <v/>
      </c>
      <c r="AH178" s="78">
        <f>SUM(V178:X178)</f>
        <v/>
      </c>
      <c r="AI178" s="77">
        <f>SUM(Y178:AF178)</f>
        <v/>
      </c>
      <c r="AJ178" s="43">
        <f>SUM(AG178+AI178)</f>
        <v/>
      </c>
      <c r="AK178" s="44">
        <f>AJ178+AH178</f>
        <v/>
      </c>
      <c r="AL178" s="63">
        <f>SUM(V178,Y178:AG178)</f>
        <v/>
      </c>
      <c r="AM178" s="88">
        <f>SUM(W178:X178)</f>
        <v/>
      </c>
      <c r="AN178" s="88">
        <f>SUM(S178:U178)</f>
        <v/>
      </c>
      <c r="AO178" s="2">
        <f>YEAR(A178)</f>
        <v/>
      </c>
      <c r="AP178" s="2">
        <f>MONTH(A178)</f>
        <v/>
      </c>
      <c r="AQ178" s="2">
        <f>AQ177+1</f>
        <v/>
      </c>
    </row>
    <row r="179" ht="20.25" customHeight="1" s="259">
      <c r="A179" s="9" t="n">
        <v>45647</v>
      </c>
      <c r="B179" s="2" t="n">
        <v>41.64</v>
      </c>
      <c r="C179" s="2" t="n">
        <v>0</v>
      </c>
      <c r="D179" s="2" t="n">
        <v>2.4</v>
      </c>
      <c r="E179" s="2" t="n">
        <v>0.74</v>
      </c>
      <c r="F179" s="2" t="n">
        <v>0.16</v>
      </c>
      <c r="G179" s="2" t="n">
        <v>0.04</v>
      </c>
      <c r="H179" s="2" t="n">
        <v>0.04</v>
      </c>
      <c r="I179" s="2" t="n">
        <v>0</v>
      </c>
      <c r="J179" s="2" t="n">
        <v>0</v>
      </c>
      <c r="K179" s="2" t="n">
        <v>0</v>
      </c>
      <c r="L179" s="2" t="n">
        <v>0</v>
      </c>
      <c r="M179" s="2" t="n">
        <v>0</v>
      </c>
      <c r="N179" s="2" t="n">
        <v>0</v>
      </c>
      <c r="O179" s="2" t="n">
        <v>0</v>
      </c>
      <c r="P179" s="2" t="n">
        <v>0.66</v>
      </c>
      <c r="Q179" s="2">
        <f>SUM(B179:P179)</f>
        <v/>
      </c>
      <c r="S179" s="62">
        <f>(B179/$Q179)</f>
        <v/>
      </c>
      <c r="T179" s="62">
        <f>(C179/$Q179)</f>
        <v/>
      </c>
      <c r="U179" s="62">
        <f>(D179/$Q179)</f>
        <v/>
      </c>
      <c r="V179" s="62">
        <f>(E179/$Q179)</f>
        <v/>
      </c>
      <c r="W179" s="62">
        <f>(F179/$Q179)</f>
        <v/>
      </c>
      <c r="X179" s="62">
        <f>(G179/$Q179)</f>
        <v/>
      </c>
      <c r="Y179" s="62">
        <f>(H179/$Q179)</f>
        <v/>
      </c>
      <c r="Z179" s="62">
        <f>(I179/$Q179)</f>
        <v/>
      </c>
      <c r="AA179" s="62">
        <f>(J179/$Q179)</f>
        <v/>
      </c>
      <c r="AB179" s="62">
        <f>(K179/$Q179)</f>
        <v/>
      </c>
      <c r="AC179" s="62">
        <f>(L179/$Q179)</f>
        <v/>
      </c>
      <c r="AD179" s="62">
        <f>(M179/$Q179)</f>
        <v/>
      </c>
      <c r="AE179" s="62">
        <f>(N179/$Q179)</f>
        <v/>
      </c>
      <c r="AF179" s="62">
        <f>(O179/$Q179)</f>
        <v/>
      </c>
      <c r="AG179" s="62">
        <f>(P179/$Q179)</f>
        <v/>
      </c>
      <c r="AH179" s="78">
        <f>SUM(V179:X179)</f>
        <v/>
      </c>
      <c r="AI179" s="77">
        <f>SUM(Y179:AF179)</f>
        <v/>
      </c>
      <c r="AJ179" s="43">
        <f>SUM(AG179+AI179)</f>
        <v/>
      </c>
      <c r="AK179" s="44">
        <f>AJ179+AH179</f>
        <v/>
      </c>
      <c r="AL179" s="63">
        <f>SUM(V179,Y179:AG179)</f>
        <v/>
      </c>
      <c r="AM179" s="88">
        <f>SUM(W179:X179)</f>
        <v/>
      </c>
      <c r="AN179" s="88">
        <f>SUM(S179:U179)</f>
        <v/>
      </c>
      <c r="AO179" s="2">
        <f>YEAR(A179)</f>
        <v/>
      </c>
      <c r="AP179" s="2">
        <f>MONTH(A179)</f>
        <v/>
      </c>
      <c r="AQ179" s="2">
        <f>AQ178+1</f>
        <v/>
      </c>
    </row>
    <row r="180" ht="20.25" customHeight="1" s="259">
      <c r="A180" s="9" t="n">
        <v>45663</v>
      </c>
      <c r="B180" s="127" t="n">
        <v>15.92</v>
      </c>
      <c r="C180" s="127" t="n">
        <v>0.22</v>
      </c>
      <c r="D180" s="2" t="n">
        <v>5.7</v>
      </c>
      <c r="E180" s="2" t="n">
        <v>0.38</v>
      </c>
      <c r="F180" s="2" t="n">
        <v>0.62</v>
      </c>
      <c r="G180" s="2" t="n">
        <v>1</v>
      </c>
      <c r="H180" s="2" t="n">
        <v>0</v>
      </c>
      <c r="I180" s="2" t="n">
        <v>0</v>
      </c>
      <c r="J180" s="2" t="n">
        <v>0</v>
      </c>
      <c r="K180" s="2" t="n">
        <v>0</v>
      </c>
      <c r="L180" s="2" t="n">
        <v>0</v>
      </c>
      <c r="M180" s="2" t="n">
        <v>0</v>
      </c>
      <c r="N180" s="2" t="n">
        <v>0</v>
      </c>
      <c r="O180" s="2" t="n">
        <v>0.02</v>
      </c>
      <c r="P180" s="2" t="n">
        <v>0.52</v>
      </c>
      <c r="Q180" s="2">
        <f>SUM(B180:P180)</f>
        <v/>
      </c>
      <c r="S180" s="62">
        <f>(B180/$Q180)</f>
        <v/>
      </c>
      <c r="T180" s="62">
        <f>(C180/$Q180)</f>
        <v/>
      </c>
      <c r="U180" s="62">
        <f>(D180/$Q180)</f>
        <v/>
      </c>
      <c r="V180" s="62">
        <f>(E180/$Q180)</f>
        <v/>
      </c>
      <c r="W180" s="62">
        <f>(F180/$Q180)</f>
        <v/>
      </c>
      <c r="X180" s="62">
        <f>(G180/$Q180)</f>
        <v/>
      </c>
      <c r="Y180" s="62">
        <f>(H180/$Q180)</f>
        <v/>
      </c>
      <c r="Z180" s="62">
        <f>(I180/$Q180)</f>
        <v/>
      </c>
      <c r="AA180" s="62">
        <f>(J180/$Q180)</f>
        <v/>
      </c>
      <c r="AB180" s="62">
        <f>(K180/$Q180)</f>
        <v/>
      </c>
      <c r="AC180" s="62">
        <f>(L180/$Q180)</f>
        <v/>
      </c>
      <c r="AD180" s="62">
        <f>(M180/$Q180)</f>
        <v/>
      </c>
      <c r="AE180" s="62">
        <f>(N180/$Q180)</f>
        <v/>
      </c>
      <c r="AF180" s="62">
        <f>(O180/$Q180)</f>
        <v/>
      </c>
      <c r="AG180" s="62">
        <f>(P180/$Q180)</f>
        <v/>
      </c>
      <c r="AH180" s="78">
        <f>SUM(V180:X180)</f>
        <v/>
      </c>
      <c r="AI180" s="77">
        <f>SUM(Y180:AF180)</f>
        <v/>
      </c>
      <c r="AJ180" s="43">
        <f>SUM(AG180+AI180)</f>
        <v/>
      </c>
      <c r="AK180" s="44">
        <f>AJ180+AH180</f>
        <v/>
      </c>
      <c r="AL180" s="63">
        <f>SUM(V180,Y180:AG180)</f>
        <v/>
      </c>
      <c r="AM180" s="88">
        <f>SUM(W180:X180)</f>
        <v/>
      </c>
      <c r="AN180" s="88">
        <f>SUM(S180:U180)</f>
        <v/>
      </c>
      <c r="AO180" s="2">
        <f>YEAR(A180)</f>
        <v/>
      </c>
      <c r="AP180" s="2">
        <f>MONTH(A180)</f>
        <v/>
      </c>
      <c r="AQ180" s="2">
        <f>AQ179+1</f>
        <v/>
      </c>
    </row>
    <row r="181" ht="20.25" customHeight="1" s="259">
      <c r="A181" s="9" t="n">
        <v>45671</v>
      </c>
      <c r="B181" s="2" t="n">
        <v>13.9</v>
      </c>
      <c r="C181" s="2" t="n">
        <v>2.36</v>
      </c>
      <c r="D181" s="2" t="n">
        <v>3.86</v>
      </c>
      <c r="E181" s="2" t="n">
        <v>0.66</v>
      </c>
      <c r="F181" s="2" t="n">
        <v>0.78</v>
      </c>
      <c r="G181" s="2" t="n">
        <v>0.62</v>
      </c>
      <c r="H181" s="2" t="n">
        <v>0</v>
      </c>
      <c r="I181" s="2" t="n">
        <v>0.04</v>
      </c>
      <c r="J181" s="2" t="n">
        <v>0.04</v>
      </c>
      <c r="K181" s="2" t="n">
        <v>0</v>
      </c>
      <c r="L181" s="2" t="n">
        <v>0</v>
      </c>
      <c r="M181" s="2" t="n">
        <v>0</v>
      </c>
      <c r="N181" s="2" t="n">
        <v>0</v>
      </c>
      <c r="O181" s="2" t="n">
        <v>0</v>
      </c>
      <c r="P181" s="2" t="n">
        <v>1.12</v>
      </c>
      <c r="Q181" s="2">
        <f>SUM(B181:P181)</f>
        <v/>
      </c>
      <c r="S181" s="62">
        <f>(B181/$Q181)</f>
        <v/>
      </c>
      <c r="T181" s="62">
        <f>(C181/$Q181)</f>
        <v/>
      </c>
      <c r="U181" s="62">
        <f>(D181/$Q181)</f>
        <v/>
      </c>
      <c r="V181" s="62">
        <f>(E181/$Q181)</f>
        <v/>
      </c>
      <c r="W181" s="62">
        <f>(F181/$Q181)</f>
        <v/>
      </c>
      <c r="X181" s="62">
        <f>(G181/$Q181)</f>
        <v/>
      </c>
      <c r="Y181" s="62">
        <f>(H181/$Q181)</f>
        <v/>
      </c>
      <c r="Z181" s="62">
        <f>(I181/$Q181)</f>
        <v/>
      </c>
      <c r="AA181" s="62">
        <f>(J181/$Q181)</f>
        <v/>
      </c>
      <c r="AB181" s="62">
        <f>(K181/$Q181)</f>
        <v/>
      </c>
      <c r="AC181" s="62">
        <f>(L181/$Q181)</f>
        <v/>
      </c>
      <c r="AD181" s="62">
        <f>(M181/$Q181)</f>
        <v/>
      </c>
      <c r="AE181" s="62">
        <f>(N181/$Q181)</f>
        <v/>
      </c>
      <c r="AF181" s="62">
        <f>(O181/$Q181)</f>
        <v/>
      </c>
      <c r="AG181" s="62">
        <f>(P181/$Q181)</f>
        <v/>
      </c>
      <c r="AH181" s="78">
        <f>SUM(V181:X181)</f>
        <v/>
      </c>
      <c r="AI181" s="77">
        <f>SUM(Y181:AF181)</f>
        <v/>
      </c>
      <c r="AJ181" s="43">
        <f>SUM(AG181+AI181)</f>
        <v/>
      </c>
      <c r="AK181" s="44">
        <f>AJ181+AH181</f>
        <v/>
      </c>
      <c r="AL181" s="63">
        <f>SUM(V181,Y181:AG181)</f>
        <v/>
      </c>
      <c r="AM181" s="88">
        <f>SUM(W181:X181)</f>
        <v/>
      </c>
      <c r="AN181" s="88">
        <f>SUM(S181:U181)</f>
        <v/>
      </c>
      <c r="AO181" s="2">
        <f>YEAR(A181)</f>
        <v/>
      </c>
      <c r="AP181" s="2">
        <f>MONTH(A181)</f>
        <v/>
      </c>
      <c r="AQ181" s="2">
        <f>AQ180+1</f>
        <v/>
      </c>
    </row>
    <row r="182" ht="20.25" customHeight="1" s="259">
      <c r="A182" s="2" t="n"/>
      <c r="S182" s="62">
        <f>(B182/$Q182)</f>
        <v/>
      </c>
      <c r="T182" s="62">
        <f>(C182/$Q182)</f>
        <v/>
      </c>
      <c r="U182" s="62">
        <f>(D182/$Q182)</f>
        <v/>
      </c>
      <c r="V182" s="62">
        <f>(E182/$Q182)</f>
        <v/>
      </c>
      <c r="W182" s="62">
        <f>(F182/$Q182)</f>
        <v/>
      </c>
      <c r="X182" s="62">
        <f>(G182/$Q182)</f>
        <v/>
      </c>
      <c r="Y182" s="62">
        <f>(H182/$Q182)</f>
        <v/>
      </c>
      <c r="Z182" s="62">
        <f>(I182/$Q182)</f>
        <v/>
      </c>
      <c r="AA182" s="62">
        <f>(J182/$Q182)</f>
        <v/>
      </c>
      <c r="AB182" s="62">
        <f>(K182/$Q182)</f>
        <v/>
      </c>
      <c r="AC182" s="62">
        <f>(L182/$Q182)</f>
        <v/>
      </c>
      <c r="AD182" s="62">
        <f>(M182/$Q182)</f>
        <v/>
      </c>
      <c r="AE182" s="62">
        <f>(N182/$Q182)</f>
        <v/>
      </c>
      <c r="AF182" s="62">
        <f>(O182/$Q182)</f>
        <v/>
      </c>
      <c r="AG182" s="62">
        <f>(P182/$Q182)</f>
        <v/>
      </c>
      <c r="AH182" s="78">
        <f>SUM(V182:X182)</f>
        <v/>
      </c>
      <c r="AI182" s="77">
        <f>SUM(Y182:AF182)</f>
        <v/>
      </c>
      <c r="AJ182" s="43">
        <f>SUM(AG182+AI182)</f>
        <v/>
      </c>
      <c r="AK182" s="44">
        <f>AJ182+AH182</f>
        <v/>
      </c>
      <c r="AL182" s="63">
        <f>SUM(V182,Y182:AG182)</f>
        <v/>
      </c>
      <c r="AM182" s="88">
        <f>SUM(W182:X182)</f>
        <v/>
      </c>
      <c r="AN182" s="88">
        <f>SUM(S182:U182)</f>
        <v/>
      </c>
      <c r="AO182" s="2">
        <f>YEAR(A182)</f>
        <v/>
      </c>
      <c r="AP182" s="2">
        <f>MONTH(A182)</f>
        <v/>
      </c>
      <c r="AQ182" s="2">
        <f>AQ181+1</f>
        <v/>
      </c>
    </row>
    <row r="183" ht="15" customHeight="1" s="259">
      <c r="A183" s="2" t="n"/>
    </row>
    <row r="184" ht="15" customHeight="1" s="259">
      <c r="A184" s="2" t="n"/>
    </row>
    <row r="185" ht="15" customHeight="1" s="259">
      <c r="A185" s="2" t="n"/>
    </row>
    <row r="186" ht="20.25" customHeight="1" s="259">
      <c r="A186" s="2" t="n"/>
      <c r="R186" s="85" t="inlineStr">
        <is>
          <t>JRM</t>
        </is>
      </c>
      <c r="S186" s="54">
        <f>AVERAGE(S35:S172)</f>
        <v/>
      </c>
      <c r="T186" s="54">
        <f>AVERAGE(T35:T172)</f>
        <v/>
      </c>
      <c r="U186" s="54">
        <f>AVERAGE(U35:U172)</f>
        <v/>
      </c>
      <c r="V186" s="50">
        <f>AVERAGE(V35:V172)</f>
        <v/>
      </c>
      <c r="W186" s="50">
        <f>AVERAGE(W35:W172)</f>
        <v/>
      </c>
      <c r="X186" s="50">
        <f>AVERAGE(X35:X172)</f>
        <v/>
      </c>
      <c r="Y186" s="55">
        <f>AVERAGE(Y35:Y172)</f>
        <v/>
      </c>
      <c r="Z186" s="55">
        <f>AVERAGE(Z35:Z172)</f>
        <v/>
      </c>
      <c r="AA186" s="55">
        <f>AVERAGE(AA35:AA172)</f>
        <v/>
      </c>
      <c r="AB186" s="55">
        <f>AVERAGE(AB35:AB172)</f>
        <v/>
      </c>
      <c r="AC186" s="55">
        <f>AVERAGE(AC35:AC172)</f>
        <v/>
      </c>
      <c r="AD186" s="55">
        <f>AVERAGE(AD35:AD172)</f>
        <v/>
      </c>
      <c r="AE186" s="55">
        <f>AVERAGE(AE35:AE172)</f>
        <v/>
      </c>
      <c r="AF186" s="55">
        <f>AVERAGE(AF35:AF172)</f>
        <v/>
      </c>
      <c r="AG186" s="49">
        <f>AVERAGE(AG35:AG172)</f>
        <v/>
      </c>
      <c r="AH186" s="50">
        <f>AVERAGE(AH35:AH172)</f>
        <v/>
      </c>
      <c r="AI186" s="55">
        <f>AVERAGE(AI35:AI172)</f>
        <v/>
      </c>
      <c r="AJ186" s="49">
        <f>AVERAGE(AJ35:AJ172)</f>
        <v/>
      </c>
      <c r="AK186" s="49">
        <f>AVERAGE(AK35:AK172)</f>
        <v/>
      </c>
      <c r="AL186" s="49">
        <f>AVERAGE(AL35:AL172)</f>
        <v/>
      </c>
      <c r="AM186" s="49">
        <f>AVERAGE(AM35:AM172)</f>
        <v/>
      </c>
      <c r="AN186" s="49" t="n"/>
      <c r="AO186" s="49" t="n"/>
    </row>
    <row r="187" ht="15" customHeight="1" s="259">
      <c r="A187" s="2" t="n"/>
      <c r="S187" s="75" t="n"/>
      <c r="T187" s="75" t="n"/>
      <c r="U187" s="75" t="n"/>
      <c r="V187" s="75" t="n"/>
      <c r="W187" s="75" t="n"/>
      <c r="X187" s="75" t="n"/>
      <c r="Y187" s="75" t="n"/>
      <c r="Z187" s="75" t="n"/>
      <c r="AA187" s="75" t="n"/>
      <c r="AB187" s="75" t="n"/>
      <c r="AC187" s="75" t="n"/>
      <c r="AD187" s="75" t="n"/>
      <c r="AE187" s="75" t="n"/>
      <c r="AF187" s="75" t="n"/>
      <c r="AG187" s="75" t="n"/>
      <c r="AH187" s="75" t="n"/>
      <c r="AI187" s="75" t="n"/>
      <c r="AJ187" s="75" t="n"/>
      <c r="AK187" s="75" t="n"/>
    </row>
    <row r="188" ht="20.25" customHeight="1" s="259">
      <c r="A188" s="2" t="n"/>
      <c r="R188" s="85" t="n">
        <v>2024</v>
      </c>
      <c r="S188" s="86">
        <f>AVERAGE(S126:S179)</f>
        <v/>
      </c>
      <c r="T188" s="86">
        <f>AVERAGE(T126:T179)</f>
        <v/>
      </c>
      <c r="U188" s="86">
        <f>AVERAGE(U126:U179)</f>
        <v/>
      </c>
      <c r="V188" s="86">
        <f>AVERAGE(V126:V179)</f>
        <v/>
      </c>
      <c r="W188" s="86">
        <f>AVERAGE(W126:W179)</f>
        <v/>
      </c>
      <c r="X188" s="86">
        <f>AVERAGE(X126:X179)</f>
        <v/>
      </c>
      <c r="Y188" s="86">
        <f>AVERAGE(Y126:Y179)</f>
        <v/>
      </c>
      <c r="Z188" s="86">
        <f>AVERAGE(Z126:Z179)</f>
        <v/>
      </c>
      <c r="AA188" s="86">
        <f>AVERAGE(AA126:AA179)</f>
        <v/>
      </c>
      <c r="AB188" s="86">
        <f>AVERAGE(AB126:AB179)</f>
        <v/>
      </c>
      <c r="AC188" s="86">
        <f>AVERAGE(AC126:AC179)</f>
        <v/>
      </c>
      <c r="AD188" s="86">
        <f>AVERAGE(AD126:AD179)</f>
        <v/>
      </c>
      <c r="AE188" s="86">
        <f>AVERAGE(AE126:AE179)</f>
        <v/>
      </c>
      <c r="AF188" s="86">
        <f>AVERAGE(AF126:AF179)</f>
        <v/>
      </c>
      <c r="AG188" s="86">
        <f>AVERAGE(AG126:AG179)</f>
        <v/>
      </c>
      <c r="AH188" s="86">
        <f>AVERAGE(AH126:AH179)</f>
        <v/>
      </c>
      <c r="AI188" s="86">
        <f>AVERAGE(AI126:AI179)</f>
        <v/>
      </c>
      <c r="AJ188" s="86">
        <f>AVERAGE(AJ126:AJ179)</f>
        <v/>
      </c>
      <c r="AK188" s="86">
        <f>AVERAGE(AK126:AK179)</f>
        <v/>
      </c>
      <c r="AL188" s="86">
        <f>AVERAGE(AL126:AL179)</f>
        <v/>
      </c>
      <c r="AM188" s="86">
        <f>AVERAGE(AM126:AM179)</f>
        <v/>
      </c>
      <c r="AN188" s="86" t="n"/>
      <c r="AO188" s="86" t="n"/>
    </row>
    <row r="189" ht="15.75" customHeight="1" s="259">
      <c r="A189" s="2" t="n"/>
      <c r="R189" s="84" t="inlineStr">
        <is>
          <t>Janvier</t>
        </is>
      </c>
      <c r="S189" s="87">
        <f>AVERAGE(S126:S134)</f>
        <v/>
      </c>
      <c r="T189" s="87">
        <f>AVERAGE(T126:T134)</f>
        <v/>
      </c>
      <c r="U189" s="87">
        <f>AVERAGE(U126:U134)</f>
        <v/>
      </c>
      <c r="V189" s="87">
        <f>AVERAGE(V126:V134)</f>
        <v/>
      </c>
      <c r="W189" s="87">
        <f>AVERAGE(W126:W134)</f>
        <v/>
      </c>
      <c r="X189" s="87">
        <f>AVERAGE(X126:X134)</f>
        <v/>
      </c>
      <c r="Y189" s="87">
        <f>AVERAGE(Y126:Y134)</f>
        <v/>
      </c>
      <c r="Z189" s="87">
        <f>AVERAGE(Z126:Z134)</f>
        <v/>
      </c>
      <c r="AA189" s="87">
        <f>AVERAGE(AA126:AA134)</f>
        <v/>
      </c>
      <c r="AB189" s="87">
        <f>AVERAGE(AB126:AB134)</f>
        <v/>
      </c>
      <c r="AC189" s="87">
        <f>AVERAGE(AC126:AC134)</f>
        <v/>
      </c>
      <c r="AD189" s="87">
        <f>AVERAGE(AD126:AD134)</f>
        <v/>
      </c>
      <c r="AE189" s="87">
        <f>AVERAGE(AE126:AE134)</f>
        <v/>
      </c>
      <c r="AF189" s="87">
        <f>AVERAGE(AF126:AF134)</f>
        <v/>
      </c>
      <c r="AG189" s="87">
        <f>AVERAGE(AG126:AG134)</f>
        <v/>
      </c>
      <c r="AH189" s="87">
        <f>AVERAGE(AH126:AH134)</f>
        <v/>
      </c>
      <c r="AI189" s="87">
        <f>AVERAGE(AI126:AI134)</f>
        <v/>
      </c>
      <c r="AJ189" s="87">
        <f>AVERAGE(AJ126:AJ134)</f>
        <v/>
      </c>
      <c r="AK189" s="87">
        <f>AVERAGE(AK126:AK134)</f>
        <v/>
      </c>
      <c r="AL189" s="87">
        <f>AVERAGE(AL126:AL134)</f>
        <v/>
      </c>
      <c r="AM189" s="87">
        <f>AVERAGE(AM126:AM134)</f>
        <v/>
      </c>
      <c r="AN189" s="87" t="n"/>
      <c r="AO189" s="87" t="n"/>
    </row>
    <row r="190" ht="15.75" customHeight="1" s="259">
      <c r="A190" s="2" t="n"/>
      <c r="R190" s="84" t="inlineStr">
        <is>
          <t>Février</t>
        </is>
      </c>
      <c r="S190" s="87">
        <f>AVERAGE(S135:S141)</f>
        <v/>
      </c>
      <c r="T190" s="87">
        <f>AVERAGE(T135:T141)</f>
        <v/>
      </c>
      <c r="U190" s="87">
        <f>AVERAGE(U135:U141)</f>
        <v/>
      </c>
      <c r="V190" s="87">
        <f>AVERAGE(V135:V141)</f>
        <v/>
      </c>
      <c r="W190" s="87">
        <f>AVERAGE(W135:W141)</f>
        <v/>
      </c>
      <c r="X190" s="87">
        <f>AVERAGE(X135:X141)</f>
        <v/>
      </c>
      <c r="Y190" s="87">
        <f>AVERAGE(Y135:Y141)</f>
        <v/>
      </c>
      <c r="Z190" s="87">
        <f>AVERAGE(Z135:Z141)</f>
        <v/>
      </c>
      <c r="AA190" s="87">
        <f>AVERAGE(AA135:AA141)</f>
        <v/>
      </c>
      <c r="AB190" s="87">
        <f>AVERAGE(AB135:AB141)</f>
        <v/>
      </c>
      <c r="AC190" s="87">
        <f>AVERAGE(AC135:AC141)</f>
        <v/>
      </c>
      <c r="AD190" s="87">
        <f>AVERAGE(AD135:AD141)</f>
        <v/>
      </c>
      <c r="AE190" s="87">
        <f>AVERAGE(AE135:AE141)</f>
        <v/>
      </c>
      <c r="AF190" s="87">
        <f>AVERAGE(AF135:AF141)</f>
        <v/>
      </c>
      <c r="AG190" s="87">
        <f>AVERAGE(AG135:AG141)</f>
        <v/>
      </c>
      <c r="AH190" s="87">
        <f>AVERAGE(AH135:AH141)</f>
        <v/>
      </c>
      <c r="AI190" s="87">
        <f>AVERAGE(AI135:AI141)</f>
        <v/>
      </c>
      <c r="AJ190" s="87">
        <f>AVERAGE(AJ135:AJ141)</f>
        <v/>
      </c>
      <c r="AK190" s="87">
        <f>AVERAGE(AK135:AK141)</f>
        <v/>
      </c>
      <c r="AL190" s="87">
        <f>AVERAGE(AL135:AL141)</f>
        <v/>
      </c>
      <c r="AM190" s="87">
        <f>AVERAGE(AM135:AM141)</f>
        <v/>
      </c>
      <c r="AN190" s="87" t="n"/>
      <c r="AO190" s="87" t="n"/>
    </row>
    <row r="191" ht="15.75" customHeight="1" s="259">
      <c r="A191" s="2" t="n"/>
      <c r="R191" s="84" t="inlineStr">
        <is>
          <t>Mars</t>
        </is>
      </c>
      <c r="S191" s="87">
        <f>AVERAGE(S142:S145)</f>
        <v/>
      </c>
      <c r="T191" s="87">
        <f>AVERAGE(T142:T145)</f>
        <v/>
      </c>
      <c r="U191" s="87">
        <f>AVERAGE(U142:U145)</f>
        <v/>
      </c>
      <c r="V191" s="87">
        <f>AVERAGE(V142:V145)</f>
        <v/>
      </c>
      <c r="W191" s="87">
        <f>AVERAGE(W142:W145)</f>
        <v/>
      </c>
      <c r="X191" s="87">
        <f>AVERAGE(X142:X145)</f>
        <v/>
      </c>
      <c r="Y191" s="87">
        <f>AVERAGE(Y142:Y145)</f>
        <v/>
      </c>
      <c r="Z191" s="87">
        <f>AVERAGE(Z142:Z145)</f>
        <v/>
      </c>
      <c r="AA191" s="87">
        <f>AVERAGE(AA142:AA145)</f>
        <v/>
      </c>
      <c r="AB191" s="87">
        <f>AVERAGE(AB142:AB145)</f>
        <v/>
      </c>
      <c r="AC191" s="87">
        <f>AVERAGE(AC142:AC145)</f>
        <v/>
      </c>
      <c r="AD191" s="87">
        <f>AVERAGE(AD142:AD145)</f>
        <v/>
      </c>
      <c r="AE191" s="87">
        <f>AVERAGE(AE142:AE145)</f>
        <v/>
      </c>
      <c r="AF191" s="87">
        <f>AVERAGE(AF142:AF145)</f>
        <v/>
      </c>
      <c r="AG191" s="87">
        <f>AVERAGE(AG142:AG145)</f>
        <v/>
      </c>
      <c r="AH191" s="87">
        <f>AVERAGE(AH142:AH145)</f>
        <v/>
      </c>
      <c r="AI191" s="87">
        <f>AVERAGE(AI142:AI145)</f>
        <v/>
      </c>
      <c r="AJ191" s="87">
        <f>AVERAGE(AJ142:AJ145)</f>
        <v/>
      </c>
      <c r="AK191" s="87">
        <f>AVERAGE(AK142:AK145)</f>
        <v/>
      </c>
      <c r="AL191" s="87">
        <f>AVERAGE(AL142:AL145)</f>
        <v/>
      </c>
      <c r="AM191" s="87">
        <f>AVERAGE(AM142:AM145)</f>
        <v/>
      </c>
      <c r="AN191" s="87" t="n"/>
      <c r="AO191" s="87" t="n"/>
    </row>
    <row r="192" ht="15.75" customHeight="1" s="259">
      <c r="A192" s="2" t="n"/>
      <c r="R192" s="84" t="inlineStr">
        <is>
          <t>Avril</t>
        </is>
      </c>
      <c r="S192" s="87">
        <f>AVERAGE(S146:S156)</f>
        <v/>
      </c>
      <c r="T192" s="87">
        <f>AVERAGE(T146:T156)</f>
        <v/>
      </c>
      <c r="U192" s="87">
        <f>AVERAGE(U146:U156)</f>
        <v/>
      </c>
      <c r="V192" s="87">
        <f>AVERAGE(V146:V156)</f>
        <v/>
      </c>
      <c r="W192" s="87">
        <f>AVERAGE(W146:W156)</f>
        <v/>
      </c>
      <c r="X192" s="87">
        <f>AVERAGE(X146:X156)</f>
        <v/>
      </c>
      <c r="Y192" s="87">
        <f>AVERAGE(Y146:Y156)</f>
        <v/>
      </c>
      <c r="Z192" s="87">
        <f>AVERAGE(Z146:Z156)</f>
        <v/>
      </c>
      <c r="AA192" s="87">
        <f>AVERAGE(AA146:AA156)</f>
        <v/>
      </c>
      <c r="AB192" s="87">
        <f>AVERAGE(AB146:AB156)</f>
        <v/>
      </c>
      <c r="AC192" s="87">
        <f>AVERAGE(AC146:AC156)</f>
        <v/>
      </c>
      <c r="AD192" s="87">
        <f>AVERAGE(AD146:AD156)</f>
        <v/>
      </c>
      <c r="AE192" s="87">
        <f>AVERAGE(AE146:AE156)</f>
        <v/>
      </c>
      <c r="AF192" s="87">
        <f>AVERAGE(AF146:AF156)</f>
        <v/>
      </c>
      <c r="AG192" s="87">
        <f>AVERAGE(AG146:AG156)</f>
        <v/>
      </c>
      <c r="AH192" s="87">
        <f>AVERAGE(AH146:AH156)</f>
        <v/>
      </c>
      <c r="AI192" s="87">
        <f>AVERAGE(AI146:AI156)</f>
        <v/>
      </c>
      <c r="AJ192" s="87">
        <f>AVERAGE(AJ146:AJ156)</f>
        <v/>
      </c>
      <c r="AK192" s="87">
        <f>AVERAGE(AK146:AK156)</f>
        <v/>
      </c>
      <c r="AL192" s="87">
        <f>AVERAGE(AL146:AL156)</f>
        <v/>
      </c>
      <c r="AM192" s="87">
        <f>AVERAGE(AM146:AM156)</f>
        <v/>
      </c>
      <c r="AN192" s="87" t="n"/>
      <c r="AO192" s="87" t="n"/>
    </row>
    <row r="193" ht="15.75" customHeight="1" s="259">
      <c r="A193" s="2" t="n"/>
      <c r="R193" s="84" t="inlineStr">
        <is>
          <t>Mai</t>
        </is>
      </c>
      <c r="S193" s="87" t="inlineStr">
        <is>
          <t>/</t>
        </is>
      </c>
      <c r="T193" s="87" t="inlineStr">
        <is>
          <t>/</t>
        </is>
      </c>
      <c r="U193" s="87" t="inlineStr">
        <is>
          <t>/</t>
        </is>
      </c>
      <c r="V193" s="87" t="inlineStr">
        <is>
          <t>/</t>
        </is>
      </c>
      <c r="W193" s="87" t="inlineStr">
        <is>
          <t>/</t>
        </is>
      </c>
      <c r="X193" s="87" t="inlineStr">
        <is>
          <t>/</t>
        </is>
      </c>
      <c r="Y193" s="87" t="inlineStr">
        <is>
          <t>/</t>
        </is>
      </c>
      <c r="Z193" s="87" t="inlineStr">
        <is>
          <t>/</t>
        </is>
      </c>
      <c r="AA193" s="87" t="inlineStr">
        <is>
          <t>/</t>
        </is>
      </c>
      <c r="AB193" s="87" t="inlineStr">
        <is>
          <t>/</t>
        </is>
      </c>
      <c r="AC193" s="87" t="inlineStr">
        <is>
          <t>/</t>
        </is>
      </c>
      <c r="AD193" s="87" t="inlineStr">
        <is>
          <t>/</t>
        </is>
      </c>
      <c r="AE193" s="87" t="inlineStr">
        <is>
          <t>/</t>
        </is>
      </c>
      <c r="AF193" s="87" t="inlineStr">
        <is>
          <t>/</t>
        </is>
      </c>
      <c r="AG193" s="87" t="inlineStr">
        <is>
          <t>/</t>
        </is>
      </c>
      <c r="AH193" s="87" t="inlineStr">
        <is>
          <t>/</t>
        </is>
      </c>
      <c r="AI193" s="87" t="inlineStr">
        <is>
          <t>/</t>
        </is>
      </c>
      <c r="AJ193" s="87" t="inlineStr">
        <is>
          <t>/</t>
        </is>
      </c>
      <c r="AK193" s="87" t="inlineStr">
        <is>
          <t>/</t>
        </is>
      </c>
      <c r="AL193" s="87" t="inlineStr">
        <is>
          <t>/</t>
        </is>
      </c>
      <c r="AM193" s="87" t="inlineStr">
        <is>
          <t>/</t>
        </is>
      </c>
    </row>
    <row r="194" ht="15.75" customHeight="1" s="259">
      <c r="A194" s="2" t="n"/>
      <c r="R194" s="84" t="inlineStr">
        <is>
          <t>Juin</t>
        </is>
      </c>
      <c r="S194" s="87">
        <f>AVERAGE(S157:S158)</f>
        <v/>
      </c>
      <c r="T194" s="87">
        <f>AVERAGE(T157:T158)</f>
        <v/>
      </c>
      <c r="U194" s="87">
        <f>AVERAGE(U157:U158)</f>
        <v/>
      </c>
      <c r="V194" s="87">
        <f>AVERAGE(V157:V158)</f>
        <v/>
      </c>
      <c r="W194" s="87">
        <f>AVERAGE(W157:W158)</f>
        <v/>
      </c>
      <c r="X194" s="87">
        <f>AVERAGE(X157:X158)</f>
        <v/>
      </c>
      <c r="Y194" s="87">
        <f>AVERAGE(Y157:Y158)</f>
        <v/>
      </c>
      <c r="Z194" s="87">
        <f>AVERAGE(Z157:Z158)</f>
        <v/>
      </c>
      <c r="AA194" s="87">
        <f>AVERAGE(AA157:AA158)</f>
        <v/>
      </c>
      <c r="AB194" s="87">
        <f>AVERAGE(AB157:AB158)</f>
        <v/>
      </c>
      <c r="AC194" s="87">
        <f>AVERAGE(AC157:AC158)</f>
        <v/>
      </c>
      <c r="AD194" s="87">
        <f>AVERAGE(AD157:AD158)</f>
        <v/>
      </c>
      <c r="AE194" s="87">
        <f>AVERAGE(AE157:AE158)</f>
        <v/>
      </c>
      <c r="AF194" s="87">
        <f>AVERAGE(AF157:AF158)</f>
        <v/>
      </c>
      <c r="AG194" s="87">
        <f>AVERAGE(AG157:AG158)</f>
        <v/>
      </c>
      <c r="AH194" s="87">
        <f>AVERAGE(AH157:AH158)</f>
        <v/>
      </c>
      <c r="AI194" s="87">
        <f>AVERAGE(AI157:AI158)</f>
        <v/>
      </c>
      <c r="AJ194" s="87">
        <f>AVERAGE(AJ157:AJ158)</f>
        <v/>
      </c>
      <c r="AK194" s="87">
        <f>AVERAGE(AK157:AK158)</f>
        <v/>
      </c>
      <c r="AL194" s="87">
        <f>AVERAGE(AL157:AL158)</f>
        <v/>
      </c>
      <c r="AM194" s="87">
        <f>AVERAGE(AM157:AM158)</f>
        <v/>
      </c>
    </row>
    <row r="195" ht="15.75" customHeight="1" s="259">
      <c r="A195" s="2" t="n"/>
      <c r="R195" s="84" t="inlineStr">
        <is>
          <t>Juillet</t>
        </is>
      </c>
      <c r="S195" s="87">
        <f>AVERAGE(S159)</f>
        <v/>
      </c>
      <c r="T195" s="87">
        <f>AVERAGE(T159)</f>
        <v/>
      </c>
      <c r="U195" s="87">
        <f>AVERAGE(U159)</f>
        <v/>
      </c>
      <c r="V195" s="87">
        <f>AVERAGE(V159)</f>
        <v/>
      </c>
      <c r="W195" s="87">
        <f>AVERAGE(W159)</f>
        <v/>
      </c>
      <c r="X195" s="87">
        <f>AVERAGE(X159)</f>
        <v/>
      </c>
      <c r="Y195" s="87">
        <f>AVERAGE(Y159)</f>
        <v/>
      </c>
      <c r="Z195" s="87">
        <f>AVERAGE(Z159)</f>
        <v/>
      </c>
      <c r="AA195" s="87">
        <f>AVERAGE(AA159)</f>
        <v/>
      </c>
      <c r="AB195" s="87">
        <f>AVERAGE(AB159)</f>
        <v/>
      </c>
      <c r="AC195" s="87">
        <f>AVERAGE(AC159)</f>
        <v/>
      </c>
      <c r="AD195" s="87">
        <f>AVERAGE(AD159)</f>
        <v/>
      </c>
      <c r="AE195" s="87">
        <f>AVERAGE(AE159)</f>
        <v/>
      </c>
      <c r="AF195" s="87">
        <f>AVERAGE(AF159)</f>
        <v/>
      </c>
      <c r="AG195" s="87">
        <f>AVERAGE(AG159)</f>
        <v/>
      </c>
      <c r="AH195" s="87">
        <f>AVERAGE(AH159)</f>
        <v/>
      </c>
      <c r="AI195" s="87">
        <f>AVERAGE(AI159)</f>
        <v/>
      </c>
      <c r="AJ195" s="87">
        <f>AVERAGE(AJ159)</f>
        <v/>
      </c>
      <c r="AK195" s="87">
        <f>AVERAGE(AK159)</f>
        <v/>
      </c>
      <c r="AL195" s="87">
        <f>AVERAGE(AL159)</f>
        <v/>
      </c>
      <c r="AM195" s="87">
        <f>AVERAGE(AM159)</f>
        <v/>
      </c>
    </row>
    <row r="196" ht="15.75" customHeight="1" s="259">
      <c r="A196" s="2" t="n"/>
      <c r="R196" s="84" t="inlineStr">
        <is>
          <t>Aout</t>
        </is>
      </c>
      <c r="S196" s="87">
        <f>AVERAGE(S160)</f>
        <v/>
      </c>
      <c r="T196" s="87">
        <f>AVERAGE(T160)</f>
        <v/>
      </c>
      <c r="U196" s="87">
        <f>AVERAGE(U160)</f>
        <v/>
      </c>
      <c r="V196" s="87">
        <f>AVERAGE(V160)</f>
        <v/>
      </c>
      <c r="W196" s="87">
        <f>AVERAGE(W160)</f>
        <v/>
      </c>
      <c r="X196" s="87">
        <f>AVERAGE(X160)</f>
        <v/>
      </c>
      <c r="Y196" s="87">
        <f>AVERAGE(Y160)</f>
        <v/>
      </c>
      <c r="Z196" s="87">
        <f>AVERAGE(Z160)</f>
        <v/>
      </c>
      <c r="AA196" s="87">
        <f>AVERAGE(AA160)</f>
        <v/>
      </c>
      <c r="AB196" s="87">
        <f>AVERAGE(AB160)</f>
        <v/>
      </c>
      <c r="AC196" s="87">
        <f>AVERAGE(AC160)</f>
        <v/>
      </c>
      <c r="AD196" s="87">
        <f>AVERAGE(AD160)</f>
        <v/>
      </c>
      <c r="AE196" s="87">
        <f>AVERAGE(AE160)</f>
        <v/>
      </c>
      <c r="AF196" s="87">
        <f>AVERAGE(AF160)</f>
        <v/>
      </c>
      <c r="AG196" s="87">
        <f>AVERAGE(AG160)</f>
        <v/>
      </c>
      <c r="AH196" s="87">
        <f>AVERAGE(AH160)</f>
        <v/>
      </c>
      <c r="AI196" s="87">
        <f>AVERAGE(AI160)</f>
        <v/>
      </c>
      <c r="AJ196" s="87">
        <f>AVERAGE(AJ160)</f>
        <v/>
      </c>
      <c r="AK196" s="87">
        <f>AVERAGE(AK160)</f>
        <v/>
      </c>
      <c r="AL196" s="87">
        <f>AVERAGE(AL160)</f>
        <v/>
      </c>
      <c r="AM196" s="87">
        <f>AVERAGE(AM160)</f>
        <v/>
      </c>
    </row>
    <row r="197" ht="15.75" customHeight="1" s="259">
      <c r="A197" s="2" t="n"/>
      <c r="R197" s="84" t="inlineStr">
        <is>
          <t>Septembre</t>
        </is>
      </c>
      <c r="S197" s="87">
        <f>AVERAGE(S161:S169)</f>
        <v/>
      </c>
      <c r="T197" s="87">
        <f>AVERAGE(T161:T169)</f>
        <v/>
      </c>
      <c r="U197" s="87">
        <f>AVERAGE(U161:U169)</f>
        <v/>
      </c>
      <c r="V197" s="87">
        <f>AVERAGE(V161:V169)</f>
        <v/>
      </c>
      <c r="W197" s="87">
        <f>AVERAGE(W161:W169)</f>
        <v/>
      </c>
      <c r="X197" s="87">
        <f>AVERAGE(X161:X169)</f>
        <v/>
      </c>
      <c r="Y197" s="87">
        <f>AVERAGE(Y161:Y169)</f>
        <v/>
      </c>
      <c r="Z197" s="87">
        <f>AVERAGE(Z161:Z169)</f>
        <v/>
      </c>
      <c r="AA197" s="87">
        <f>AVERAGE(AA161:AA169)</f>
        <v/>
      </c>
      <c r="AB197" s="87">
        <f>AVERAGE(AB161:AB169)</f>
        <v/>
      </c>
      <c r="AC197" s="87">
        <f>AVERAGE(AC161:AC169)</f>
        <v/>
      </c>
      <c r="AD197" s="87">
        <f>AVERAGE(AD161:AD169)</f>
        <v/>
      </c>
      <c r="AE197" s="87">
        <f>AVERAGE(AE161:AE169)</f>
        <v/>
      </c>
      <c r="AF197" s="87">
        <f>AVERAGE(AF161:AF169)</f>
        <v/>
      </c>
      <c r="AG197" s="87">
        <f>AVERAGE(AG161:AG169)</f>
        <v/>
      </c>
      <c r="AH197" s="87">
        <f>AVERAGE(AH161:AH169)</f>
        <v/>
      </c>
      <c r="AI197" s="87">
        <f>AVERAGE(AI161:AI169)</f>
        <v/>
      </c>
      <c r="AJ197" s="87">
        <f>AVERAGE(AJ161:AJ169)</f>
        <v/>
      </c>
      <c r="AK197" s="87">
        <f>AVERAGE(AK161:AK169)</f>
        <v/>
      </c>
      <c r="AL197" s="87">
        <f>AVERAGE(AL161:AL169)</f>
        <v/>
      </c>
      <c r="AM197" s="87">
        <f>AVERAGE(AM161:AM169)</f>
        <v/>
      </c>
    </row>
    <row r="198" ht="15.75" customHeight="1" s="259">
      <c r="A198" s="2" t="n"/>
      <c r="R198" s="84" t="inlineStr">
        <is>
          <t>Octobre</t>
        </is>
      </c>
      <c r="S198" s="87">
        <f>AVERAGE(S170:S172)</f>
        <v/>
      </c>
      <c r="T198" s="87">
        <f>AVERAGE(T170:T172)</f>
        <v/>
      </c>
      <c r="U198" s="87">
        <f>AVERAGE(U170:U172)</f>
        <v/>
      </c>
      <c r="V198" s="87">
        <f>AVERAGE(V170:V172)</f>
        <v/>
      </c>
      <c r="W198" s="87">
        <f>AVERAGE(W170:W172)</f>
        <v/>
      </c>
      <c r="X198" s="87">
        <f>AVERAGE(X170:X172)</f>
        <v/>
      </c>
      <c r="Y198" s="87">
        <f>AVERAGE(Y170:Y172)</f>
        <v/>
      </c>
      <c r="Z198" s="87">
        <f>AVERAGE(Z170:Z172)</f>
        <v/>
      </c>
      <c r="AA198" s="87">
        <f>AVERAGE(AA170:AA172)</f>
        <v/>
      </c>
      <c r="AB198" s="87">
        <f>AVERAGE(AB170:AB172)</f>
        <v/>
      </c>
      <c r="AC198" s="87">
        <f>AVERAGE(AC170:AC172)</f>
        <v/>
      </c>
      <c r="AD198" s="87">
        <f>AVERAGE(AD170:AD172)</f>
        <v/>
      </c>
      <c r="AE198" s="87">
        <f>AVERAGE(AE170:AE172)</f>
        <v/>
      </c>
      <c r="AF198" s="87">
        <f>AVERAGE(AF170:AF172)</f>
        <v/>
      </c>
      <c r="AG198" s="87">
        <f>AVERAGE(AG170:AG172)</f>
        <v/>
      </c>
      <c r="AH198" s="87">
        <f>AVERAGE(AH170:AH172)</f>
        <v/>
      </c>
      <c r="AI198" s="87">
        <f>AVERAGE(AI170:AI172)</f>
        <v/>
      </c>
      <c r="AJ198" s="87">
        <f>AVERAGE(AJ170:AJ172)</f>
        <v/>
      </c>
      <c r="AK198" s="87">
        <f>AVERAGE(AK170:AK172)</f>
        <v/>
      </c>
      <c r="AL198" s="87">
        <f>AVERAGE(AL170:AL172)</f>
        <v/>
      </c>
      <c r="AM198" s="87">
        <f>AVERAGE(AM170:AM172)</f>
        <v/>
      </c>
    </row>
    <row r="199" ht="15" customHeight="1" s="259">
      <c r="A199" s="2" t="n"/>
    </row>
    <row r="200" ht="15" customHeight="1" s="259">
      <c r="A200" s="2" t="n"/>
    </row>
    <row r="201" ht="15" customHeight="1" s="259">
      <c r="A201" s="2" t="n"/>
    </row>
    <row r="202" ht="15" customHeight="1" s="259">
      <c r="A202" s="2" t="n"/>
    </row>
    <row r="203" ht="15" customHeight="1" s="259">
      <c r="A203" s="2" t="n"/>
    </row>
    <row r="204" ht="15" customHeight="1" s="259">
      <c r="A204" s="2" t="n"/>
    </row>
    <row r="205" ht="15" customHeight="1" s="259">
      <c r="A205" s="2" t="n"/>
    </row>
  </sheetData>
  <autoFilter ref="A2:Q181">
    <filterColumn colId="0" hiddenButton="0" showButton="1">
      <filters>
        <dateGroupItem year="2025" dateTimeGrouping="year"/>
        <dateGroupItem year="2024" dateTimeGrouping="year"/>
      </filters>
    </filterColumn>
  </autoFilter>
  <mergeCells count="2">
    <mergeCell ref="B1:Q1"/>
    <mergeCell ref="S1:AK1"/>
  </mergeCells>
  <printOptions horizontalCentered="1"/>
  <pageMargins left="0.2362204724409449" right="0.2362204724409449" top="0.7480314960629921" bottom="0.7480314960629921" header="0.3149606299212598" footer="0.3149606299212598"/>
  <pageSetup orientation="landscape" paperSize="9" scale="21" fitToHeight="0"/>
  <headerFooter alignWithMargins="0">
    <oddHeader/>
    <oddFooter>&amp;LFICHE DE CARACTERISATION V8 (08/03/2017).xls</oddFooter>
    <evenHeader/>
    <evenFooter/>
    <firstHeader/>
    <firstFooter/>
  </headerFooter>
</worksheet>
</file>

<file path=xl/worksheets/sheet9.xml><?xml version="1.0" encoding="utf-8"?>
<worksheet xmlns="http://schemas.openxmlformats.org/spreadsheetml/2006/main">
  <sheetPr codeName="Feuil7" filterMode="1">
    <tabColor rgb="FF00B0F0"/>
    <outlinePr summaryBelow="1" summaryRight="1"/>
    <pageSetUpPr fitToPage="1"/>
  </sheetPr>
  <dimension ref="A1:AO116"/>
  <sheetViews>
    <sheetView zoomScale="70" zoomScaleNormal="70" workbookViewId="0">
      <pane ySplit="1" topLeftCell="A95" activePane="bottomLeft" state="frozen"/>
      <selection activeCell="H12" sqref="H12"/>
      <selection pane="bottomLeft" activeCell="H12" sqref="H12"/>
    </sheetView>
  </sheetViews>
  <sheetFormatPr baseColWidth="10" defaultRowHeight="12.75"/>
  <cols>
    <col width="18.42578125" customWidth="1" style="259" min="1" max="1"/>
    <col width="13.7109375" customWidth="1" style="259" min="3" max="3"/>
    <col width="18.7109375" customWidth="1" style="259" min="4" max="4"/>
    <col width="15.42578125" customWidth="1" style="259" min="5" max="5"/>
    <col width="15.7109375" customWidth="1" style="259" min="8" max="10"/>
    <col width="20.28515625" customWidth="1" style="259" min="12" max="12"/>
    <col width="19" customWidth="1" style="259" min="14" max="14"/>
    <col width="11.42578125" customWidth="1" style="25" min="17" max="17"/>
    <col width="12.28515625" bestFit="1" customWidth="1" style="259" min="18" max="18"/>
    <col width="11.7109375" bestFit="1" customWidth="1" style="259" min="19" max="20"/>
    <col width="18.28515625" customWidth="1" style="259" min="21" max="21"/>
    <col width="11.7109375" bestFit="1" customWidth="1" style="259" min="22" max="23"/>
    <col width="15.7109375" customWidth="1" style="259" min="24" max="26"/>
    <col width="11.7109375" bestFit="1" customWidth="1" style="259" min="27" max="27"/>
    <col width="19.7109375" customWidth="1" style="259" min="28" max="28"/>
    <col width="11.7109375" bestFit="1" customWidth="1" style="259" min="29" max="29"/>
    <col width="18.42578125" customWidth="1" style="259" min="30" max="30"/>
    <col width="12.42578125" customWidth="1" style="259" min="31" max="31"/>
    <col hidden="1" width="13.7109375" customWidth="1" style="259" min="32" max="32"/>
    <col width="16.28515625" customWidth="1" style="259" min="33" max="33"/>
    <col width="17" customWidth="1" style="259" min="34" max="34"/>
    <col width="11.7109375" bestFit="1" customWidth="1" style="259" min="35" max="36"/>
    <col width="11.7109375" customWidth="1" style="259" min="37" max="38"/>
    <col width="16.42578125" customWidth="1" style="259" min="39" max="39"/>
    <col width="16.28515625" customWidth="1" style="259" min="41" max="41"/>
  </cols>
  <sheetData>
    <row r="1" ht="90" customFormat="1" customHeight="1" s="15">
      <c r="A1" s="34" t="inlineStr">
        <is>
          <t>Date</t>
        </is>
      </c>
      <c r="B1" s="30" t="inlineStr">
        <is>
          <t>Cartons 1.05</t>
        </is>
      </c>
      <c r="C1" s="30" t="inlineStr">
        <is>
          <t>Cartons 1.04</t>
        </is>
      </c>
      <c r="D1" s="31" t="inlineStr">
        <is>
          <t>JRM</t>
        </is>
      </c>
      <c r="E1" s="31" t="inlineStr">
        <is>
          <t>papier emballage et teintés (écrit couleurs)</t>
        </is>
      </c>
      <c r="F1" s="31" t="inlineStr">
        <is>
          <t>GM</t>
        </is>
      </c>
      <c r="G1" s="32" t="inlineStr">
        <is>
          <t>ELA</t>
        </is>
      </c>
      <c r="H1" s="32" t="inlineStr">
        <is>
          <t>PET Q7 (dont barquettes)</t>
        </is>
      </c>
      <c r="I1" s="32" t="inlineStr">
        <is>
          <t>PET Q8 (dont barquettes)</t>
        </is>
      </c>
      <c r="J1" s="32" t="inlineStr">
        <is>
          <t>PEPPPS (dont barquettes)</t>
        </is>
      </c>
      <c r="K1" s="32" t="inlineStr">
        <is>
          <t>films</t>
        </is>
      </c>
      <c r="L1" s="32" t="inlineStr">
        <is>
          <t>acier</t>
        </is>
      </c>
      <c r="M1" s="32" t="inlineStr">
        <is>
          <t>alu</t>
        </is>
      </c>
      <c r="N1" s="32" t="inlineStr">
        <is>
          <t>petits alu</t>
        </is>
      </c>
      <c r="O1" s="33" t="inlineStr">
        <is>
          <t>refus indésirables</t>
        </is>
      </c>
      <c r="P1" s="32" t="inlineStr">
        <is>
          <t>TOTAL</t>
        </is>
      </c>
      <c r="Q1" s="40" t="n"/>
      <c r="R1" s="30" t="inlineStr">
        <is>
          <t>carton brun (1.05)</t>
        </is>
      </c>
      <c r="S1" s="30" t="inlineStr">
        <is>
          <t>EMR 5,02 / 1.04</t>
        </is>
      </c>
      <c r="T1" s="31" t="inlineStr">
        <is>
          <t>JRM</t>
        </is>
      </c>
      <c r="U1" s="31" t="inlineStr">
        <is>
          <t>papier emballage et teintés (écrit couleurs)</t>
        </is>
      </c>
      <c r="V1" s="31" t="inlineStr">
        <is>
          <t>GM</t>
        </is>
      </c>
      <c r="W1" s="32" t="inlineStr">
        <is>
          <t>ELA</t>
        </is>
      </c>
      <c r="X1" s="32" t="inlineStr">
        <is>
          <t>PET Q7 (dont barquettes)</t>
        </is>
      </c>
      <c r="Y1" s="32" t="inlineStr">
        <is>
          <t>PET Q8 (dont barquettes)</t>
        </is>
      </c>
      <c r="Z1" s="32" t="inlineStr">
        <is>
          <t>PEPPPS (dont barquettes)</t>
        </is>
      </c>
      <c r="AA1" s="32" t="inlineStr">
        <is>
          <t>films</t>
        </is>
      </c>
      <c r="AB1" s="32" t="inlineStr">
        <is>
          <t>acier</t>
        </is>
      </c>
      <c r="AC1" s="32" t="inlineStr">
        <is>
          <t>alu</t>
        </is>
      </c>
      <c r="AD1" s="32" t="inlineStr">
        <is>
          <t>petits alu</t>
        </is>
      </c>
      <c r="AE1" s="33" t="inlineStr">
        <is>
          <t>refus indésirables</t>
        </is>
      </c>
      <c r="AF1" s="32" t="inlineStr">
        <is>
          <t>TOTAL</t>
        </is>
      </c>
      <c r="AG1" s="31" t="inlineStr">
        <is>
          <t>TOTAL refus fibreux valorisables</t>
        </is>
      </c>
      <c r="AH1" s="32" t="inlineStr">
        <is>
          <t>TOTAL refus non fibreux valorisables</t>
        </is>
      </c>
      <c r="AI1" s="33" t="inlineStr">
        <is>
          <t>TOTAL REFUS hors fibreux</t>
        </is>
      </c>
      <c r="AJ1" s="31" t="inlineStr">
        <is>
          <t>TOTAL REFUS + refus fibreux</t>
        </is>
      </c>
      <c r="AK1" s="112" t="inlineStr">
        <is>
          <t>EMR Pureté</t>
        </is>
      </c>
      <c r="AL1" s="112" t="inlineStr">
        <is>
          <t>RefusCC</t>
        </is>
      </c>
      <c r="AM1" s="113" t="inlineStr">
        <is>
          <t>Année</t>
        </is>
      </c>
      <c r="AN1" s="113" t="inlineStr">
        <is>
          <t>Mois</t>
        </is>
      </c>
      <c r="AO1" s="113" t="inlineStr">
        <is>
          <t>Nb Caract</t>
        </is>
      </c>
    </row>
    <row r="2" hidden="1" ht="15.75" customHeight="1" s="259">
      <c r="A2" s="7" t="n">
        <v>44593</v>
      </c>
      <c r="B2" t="n">
        <v>11.95</v>
      </c>
      <c r="C2" t="n">
        <v>3.45</v>
      </c>
      <c r="D2" t="n">
        <v>5.04</v>
      </c>
      <c r="F2" t="n">
        <v>3.66</v>
      </c>
      <c r="H2" t="n">
        <v>0.11</v>
      </c>
      <c r="O2" t="n">
        <v>0.45</v>
      </c>
      <c r="P2">
        <f>SUM(B2:O2)</f>
        <v/>
      </c>
      <c r="R2" s="41">
        <f>(B2/$P2)</f>
        <v/>
      </c>
      <c r="S2" s="41">
        <f>(C2/$P2)</f>
        <v/>
      </c>
      <c r="T2" s="41">
        <f>(D2/$P2)</f>
        <v/>
      </c>
      <c r="U2" s="41">
        <f>(E2/$P2)</f>
        <v/>
      </c>
      <c r="V2" s="41">
        <f>(F2/$P2)</f>
        <v/>
      </c>
      <c r="W2" s="41">
        <f>(G2/$P2)</f>
        <v/>
      </c>
      <c r="X2" s="41">
        <f>(H2/$P2)</f>
        <v/>
      </c>
      <c r="Y2" s="41">
        <f>(I2/$P2)</f>
        <v/>
      </c>
      <c r="Z2" s="41">
        <f>(J2/$P2)</f>
        <v/>
      </c>
      <c r="AA2" s="41">
        <f>(K2/P2)</f>
        <v/>
      </c>
      <c r="AB2" s="41">
        <f>(L2/$P2)</f>
        <v/>
      </c>
      <c r="AC2" s="41">
        <f>(M2/$P2)</f>
        <v/>
      </c>
      <c r="AD2" s="41">
        <f>(N2/$P2)</f>
        <v/>
      </c>
      <c r="AE2" s="41">
        <f>(O2/$P2)</f>
        <v/>
      </c>
      <c r="AF2" s="60">
        <f>SUM(R2:AE2)</f>
        <v/>
      </c>
      <c r="AG2" s="41">
        <f>T2+U2+V2</f>
        <v/>
      </c>
      <c r="AH2" s="41">
        <f>SUM(W2:AD2)</f>
        <v/>
      </c>
      <c r="AI2" s="42">
        <f>AE2+AH2</f>
        <v/>
      </c>
      <c r="AJ2" s="41">
        <f>AI2+AG2</f>
        <v/>
      </c>
      <c r="AK2" s="41" t="n"/>
      <c r="AL2" s="41" t="n"/>
    </row>
    <row r="3" hidden="1" ht="15.75" customHeight="1" s="259">
      <c r="A3" s="8" t="n">
        <v>44622</v>
      </c>
      <c r="B3" t="n">
        <v>2.58</v>
      </c>
      <c r="C3" t="n">
        <v>2.58</v>
      </c>
      <c r="D3" t="n">
        <v>6</v>
      </c>
      <c r="F3" t="n">
        <v>2.02</v>
      </c>
      <c r="H3" t="n">
        <v>0.5</v>
      </c>
      <c r="J3" t="n">
        <v>0.06</v>
      </c>
      <c r="K3" t="n">
        <v>0.38</v>
      </c>
      <c r="L3" t="n">
        <v>0.1</v>
      </c>
      <c r="M3" t="n">
        <v>0.07000000000000001</v>
      </c>
      <c r="O3" t="n">
        <v>0.62</v>
      </c>
      <c r="P3">
        <f>SUM(B3:O3)</f>
        <v/>
      </c>
      <c r="R3" s="41">
        <f>(B3/$P3)</f>
        <v/>
      </c>
      <c r="S3" s="41">
        <f>(C3/$P3)</f>
        <v/>
      </c>
      <c r="T3" s="41">
        <f>(D3/$P3)</f>
        <v/>
      </c>
      <c r="U3" s="41">
        <f>(E3/$P3)</f>
        <v/>
      </c>
      <c r="V3" s="41">
        <f>(F3/$P3)</f>
        <v/>
      </c>
      <c r="W3" s="41">
        <f>(G3/$P3)</f>
        <v/>
      </c>
      <c r="X3" s="41">
        <f>(H3/$P3)</f>
        <v/>
      </c>
      <c r="Y3" s="41">
        <f>(I3/$P3)</f>
        <v/>
      </c>
      <c r="Z3" s="41">
        <f>(J3/$P3)</f>
        <v/>
      </c>
      <c r="AA3" s="41">
        <f>(K3/P3)</f>
        <v/>
      </c>
      <c r="AB3" s="41">
        <f>(L3/$P3)</f>
        <v/>
      </c>
      <c r="AC3" s="41">
        <f>(M3/$P3)</f>
        <v/>
      </c>
      <c r="AD3" s="41">
        <f>(N3/$P3)</f>
        <v/>
      </c>
      <c r="AE3" s="41">
        <f>(O3/$P3)</f>
        <v/>
      </c>
      <c r="AF3" s="60">
        <f>SUM(R3:AE3)</f>
        <v/>
      </c>
      <c r="AG3" s="41">
        <f>T3+U3+V3</f>
        <v/>
      </c>
      <c r="AH3" s="41">
        <f>SUM(W3:AD3)</f>
        <v/>
      </c>
      <c r="AI3" s="42">
        <f>AE3+AH3</f>
        <v/>
      </c>
      <c r="AJ3" s="41">
        <f>AI3+AG3</f>
        <v/>
      </c>
      <c r="AK3" s="41" t="n"/>
      <c r="AL3" s="41" t="n"/>
    </row>
    <row r="4" hidden="1" ht="15.75" customHeight="1" s="259">
      <c r="A4" s="8" t="n">
        <v>44624</v>
      </c>
      <c r="B4" t="n">
        <v>9.42</v>
      </c>
      <c r="C4" t="n">
        <v>2.78</v>
      </c>
      <c r="D4" t="n">
        <v>15.22</v>
      </c>
      <c r="F4" t="n">
        <v>3.78</v>
      </c>
      <c r="H4" t="n">
        <v>0.34</v>
      </c>
      <c r="J4" t="n">
        <v>0.04</v>
      </c>
      <c r="K4" t="n">
        <v>0.22</v>
      </c>
      <c r="L4" t="n">
        <v>0.06</v>
      </c>
      <c r="M4" t="n">
        <v>0.02</v>
      </c>
      <c r="O4" t="n">
        <v>0.54</v>
      </c>
      <c r="P4">
        <f>SUM(B4:O4)</f>
        <v/>
      </c>
      <c r="R4" s="41">
        <f>(B4/$P4)</f>
        <v/>
      </c>
      <c r="S4" s="41">
        <f>(C4/$P4)</f>
        <v/>
      </c>
      <c r="T4" s="41">
        <f>(D4/$P4)</f>
        <v/>
      </c>
      <c r="U4" s="41">
        <f>(E4/$P4)</f>
        <v/>
      </c>
      <c r="V4" s="41">
        <f>(F4/$P4)</f>
        <v/>
      </c>
      <c r="W4" s="41">
        <f>(G4/$P4)</f>
        <v/>
      </c>
      <c r="X4" s="41">
        <f>(H4/$P4)</f>
        <v/>
      </c>
      <c r="Y4" s="41">
        <f>(I4/$P4)</f>
        <v/>
      </c>
      <c r="Z4" s="41">
        <f>(J4/$P4)</f>
        <v/>
      </c>
      <c r="AA4" s="41">
        <f>(K4/P4)</f>
        <v/>
      </c>
      <c r="AB4" s="41">
        <f>(L4/$P4)</f>
        <v/>
      </c>
      <c r="AC4" s="41">
        <f>(M4/$P4)</f>
        <v/>
      </c>
      <c r="AD4" s="41">
        <f>(N4/$P4)</f>
        <v/>
      </c>
      <c r="AE4" s="41">
        <f>(O4/$P4)</f>
        <v/>
      </c>
      <c r="AF4" s="60">
        <f>SUM(R4:AE4)</f>
        <v/>
      </c>
      <c r="AG4" s="41">
        <f>T4+U4+V4</f>
        <v/>
      </c>
      <c r="AH4" s="41">
        <f>SUM(W4:AD4)</f>
        <v/>
      </c>
      <c r="AI4" s="42">
        <f>AE4+AH4</f>
        <v/>
      </c>
      <c r="AJ4" s="41">
        <f>AI4+AG4</f>
        <v/>
      </c>
      <c r="AK4" s="41" t="n"/>
      <c r="AL4" s="41" t="n"/>
    </row>
    <row r="5" hidden="1" ht="15.75" customHeight="1" s="259">
      <c r="A5" s="8" t="n">
        <v>44627</v>
      </c>
      <c r="B5" t="n">
        <v>17.62</v>
      </c>
      <c r="C5" t="n">
        <v>0.88</v>
      </c>
      <c r="D5" t="n">
        <v>0.36</v>
      </c>
      <c r="E5" t="n">
        <v>1.1</v>
      </c>
      <c r="F5" t="n">
        <v>0.1</v>
      </c>
      <c r="H5" t="n">
        <v>0.14</v>
      </c>
      <c r="I5" t="n">
        <v>0.04</v>
      </c>
      <c r="O5" t="n">
        <v>0.52</v>
      </c>
      <c r="P5">
        <f>SUM(B5:O5)</f>
        <v/>
      </c>
      <c r="R5" s="41">
        <f>(B5/$P5)</f>
        <v/>
      </c>
      <c r="S5" s="41">
        <f>(C5/$P5)</f>
        <v/>
      </c>
      <c r="T5" s="41">
        <f>(D5/$P5)</f>
        <v/>
      </c>
      <c r="U5" s="41">
        <f>(E5/$P5)</f>
        <v/>
      </c>
      <c r="V5" s="41">
        <f>(F5/$P5)</f>
        <v/>
      </c>
      <c r="W5" s="41">
        <f>(G5/$P5)</f>
        <v/>
      </c>
      <c r="X5" s="41">
        <f>(H5/$P5)</f>
        <v/>
      </c>
      <c r="Y5" s="41">
        <f>(I5/$P5)</f>
        <v/>
      </c>
      <c r="Z5" s="41">
        <f>(J5/$P5)</f>
        <v/>
      </c>
      <c r="AA5" s="41">
        <f>(K5/P5)</f>
        <v/>
      </c>
      <c r="AB5" s="41">
        <f>(L5/$P5)</f>
        <v/>
      </c>
      <c r="AC5" s="41">
        <f>(M5/$P5)</f>
        <v/>
      </c>
      <c r="AD5" s="41">
        <f>(N5/$P5)</f>
        <v/>
      </c>
      <c r="AE5" s="41">
        <f>(O5/$P5)</f>
        <v/>
      </c>
      <c r="AF5" s="60">
        <f>SUM(R5:AE5)</f>
        <v/>
      </c>
      <c r="AG5" s="41">
        <f>T5+U5+V5</f>
        <v/>
      </c>
      <c r="AH5" s="41">
        <f>SUM(W5:AD5)</f>
        <v/>
      </c>
      <c r="AI5" s="42">
        <f>AE5+AH5</f>
        <v/>
      </c>
      <c r="AJ5" s="41">
        <f>AI5+AG5</f>
        <v/>
      </c>
      <c r="AK5" s="41" t="n"/>
      <c r="AL5" s="41" t="n"/>
    </row>
    <row r="6" hidden="1" ht="15.75" customHeight="1" s="259">
      <c r="A6" s="8" t="n">
        <v>44641</v>
      </c>
      <c r="B6" t="n">
        <v>22.9</v>
      </c>
      <c r="C6" t="n">
        <v>0.86</v>
      </c>
      <c r="D6" t="n">
        <v>0.62</v>
      </c>
      <c r="F6" t="n">
        <v>0.28</v>
      </c>
      <c r="G6" t="n">
        <v>0.06</v>
      </c>
      <c r="H6" t="n">
        <v>0.14</v>
      </c>
      <c r="J6" t="n">
        <v>0.08</v>
      </c>
      <c r="N6" t="n">
        <v>0.1</v>
      </c>
      <c r="O6" t="n">
        <v>0.16</v>
      </c>
      <c r="P6">
        <f>SUM(B6:O6)</f>
        <v/>
      </c>
      <c r="R6" s="41">
        <f>(B6/$P6)</f>
        <v/>
      </c>
      <c r="S6" s="41">
        <f>(C6/$P6)</f>
        <v/>
      </c>
      <c r="T6" s="41">
        <f>(D6/$P6)</f>
        <v/>
      </c>
      <c r="U6" s="41">
        <f>(E6/$P6)</f>
        <v/>
      </c>
      <c r="V6" s="41">
        <f>(F6/$P6)</f>
        <v/>
      </c>
      <c r="W6" s="41">
        <f>(G6/$P6)</f>
        <v/>
      </c>
      <c r="X6" s="41">
        <f>(H6/$P6)</f>
        <v/>
      </c>
      <c r="Y6" s="41">
        <f>(I6/$P6)</f>
        <v/>
      </c>
      <c r="Z6" s="41">
        <f>(J6/$P6)</f>
        <v/>
      </c>
      <c r="AA6" s="41">
        <f>(K6/P6)</f>
        <v/>
      </c>
      <c r="AB6" s="41">
        <f>(L6/$P6)</f>
        <v/>
      </c>
      <c r="AC6" s="41">
        <f>(M6/$P6)</f>
        <v/>
      </c>
      <c r="AD6" s="41">
        <f>(N6/$P6)</f>
        <v/>
      </c>
      <c r="AE6" s="41">
        <f>(O6/$P6)</f>
        <v/>
      </c>
      <c r="AF6" s="60">
        <f>SUM(R6:AE6)</f>
        <v/>
      </c>
      <c r="AG6" s="41">
        <f>T6+U6+V6</f>
        <v/>
      </c>
      <c r="AH6" s="41">
        <f>SUM(W6:AD6)</f>
        <v/>
      </c>
      <c r="AI6" s="42">
        <f>AE6+AH6</f>
        <v/>
      </c>
      <c r="AJ6" s="41">
        <f>AI6+AG6</f>
        <v/>
      </c>
      <c r="AK6" s="41" t="n"/>
      <c r="AL6" s="41" t="n"/>
    </row>
    <row r="7" hidden="1" ht="15.75" customHeight="1" s="259">
      <c r="A7" s="8" t="n">
        <v>44645</v>
      </c>
      <c r="B7" t="n">
        <v>20.48</v>
      </c>
      <c r="C7" t="n">
        <v>0.96</v>
      </c>
      <c r="D7" t="n">
        <v>0.28</v>
      </c>
      <c r="E7" t="n">
        <v>0.5</v>
      </c>
      <c r="F7" t="n">
        <v>0.04</v>
      </c>
      <c r="G7" t="n">
        <v>0.08</v>
      </c>
      <c r="H7" t="n">
        <v>0.04</v>
      </c>
      <c r="N7" t="n">
        <v>0.06</v>
      </c>
      <c r="O7" t="n">
        <v>0.08</v>
      </c>
      <c r="P7">
        <f>SUM(B7:O7)</f>
        <v/>
      </c>
      <c r="R7" s="41">
        <f>(B7/$P7)</f>
        <v/>
      </c>
      <c r="S7" s="41">
        <f>(C7/$P7)</f>
        <v/>
      </c>
      <c r="T7" s="41">
        <f>(D7/$P7)</f>
        <v/>
      </c>
      <c r="U7" s="41">
        <f>(E7/$P7)</f>
        <v/>
      </c>
      <c r="V7" s="41">
        <f>(F7/$P7)</f>
        <v/>
      </c>
      <c r="W7" s="41">
        <f>(G7/$P7)</f>
        <v/>
      </c>
      <c r="X7" s="41">
        <f>(H7/$P7)</f>
        <v/>
      </c>
      <c r="Y7" s="41">
        <f>(I7/$P7)</f>
        <v/>
      </c>
      <c r="Z7" s="41">
        <f>(J7/$P7)</f>
        <v/>
      </c>
      <c r="AA7" s="41">
        <f>(K7/P7)</f>
        <v/>
      </c>
      <c r="AB7" s="41">
        <f>(L7/$P7)</f>
        <v/>
      </c>
      <c r="AC7" s="41">
        <f>(M7/$P7)</f>
        <v/>
      </c>
      <c r="AD7" s="41">
        <f>(N7/$P7)</f>
        <v/>
      </c>
      <c r="AE7" s="41">
        <f>(O7/$P7)</f>
        <v/>
      </c>
      <c r="AF7" s="60">
        <f>SUM(R7:AE7)</f>
        <v/>
      </c>
      <c r="AG7" s="41">
        <f>T7+U7+V7</f>
        <v/>
      </c>
      <c r="AH7" s="41">
        <f>SUM(W7:AD7)</f>
        <v/>
      </c>
      <c r="AI7" s="42">
        <f>AE7+AH7</f>
        <v/>
      </c>
      <c r="AJ7" s="41">
        <f>AI7+AG7</f>
        <v/>
      </c>
      <c r="AK7" s="41" t="n"/>
      <c r="AL7" s="41" t="n"/>
    </row>
    <row r="8" hidden="1" ht="15.75" customHeight="1" s="259">
      <c r="A8" s="8" t="n">
        <v>44655</v>
      </c>
      <c r="B8" t="n">
        <v>21.12</v>
      </c>
      <c r="C8" t="n">
        <v>2.86</v>
      </c>
      <c r="D8" t="n">
        <v>0.64</v>
      </c>
      <c r="E8" t="n">
        <v>1.68</v>
      </c>
      <c r="F8" t="n">
        <v>0.18</v>
      </c>
      <c r="G8" t="n">
        <v>0.02</v>
      </c>
      <c r="H8" t="n">
        <v>0.12</v>
      </c>
      <c r="N8" t="n">
        <v>0.18</v>
      </c>
      <c r="O8" t="n">
        <v>0.2</v>
      </c>
      <c r="P8">
        <f>SUM(B8:O8)</f>
        <v/>
      </c>
      <c r="R8" s="41">
        <f>(B8/$P8)</f>
        <v/>
      </c>
      <c r="S8" s="41">
        <f>(C8/$P8)</f>
        <v/>
      </c>
      <c r="T8" s="41">
        <f>(D8/$P8)</f>
        <v/>
      </c>
      <c r="U8" s="41">
        <f>(E8/$P8)</f>
        <v/>
      </c>
      <c r="V8" s="41">
        <f>(F8/$P8)</f>
        <v/>
      </c>
      <c r="W8" s="41">
        <f>(G8/$P8)</f>
        <v/>
      </c>
      <c r="X8" s="41">
        <f>(H8/$P8)</f>
        <v/>
      </c>
      <c r="Y8" s="41">
        <f>(I8/$P8)</f>
        <v/>
      </c>
      <c r="Z8" s="41">
        <f>(J8/$P8)</f>
        <v/>
      </c>
      <c r="AA8" s="41">
        <f>(K8/P8)</f>
        <v/>
      </c>
      <c r="AB8" s="41">
        <f>(L8/$P8)</f>
        <v/>
      </c>
      <c r="AC8" s="41">
        <f>(M8/$P8)</f>
        <v/>
      </c>
      <c r="AD8" s="41">
        <f>(N8/$P8)</f>
        <v/>
      </c>
      <c r="AE8" s="41">
        <f>(O8/$P8)</f>
        <v/>
      </c>
      <c r="AF8" s="60">
        <f>SUM(R8:AE8)</f>
        <v/>
      </c>
      <c r="AG8" s="41">
        <f>T8+U8+V8</f>
        <v/>
      </c>
      <c r="AH8" s="41">
        <f>SUM(W8:AD8)</f>
        <v/>
      </c>
      <c r="AI8" s="42">
        <f>AE8+AH8</f>
        <v/>
      </c>
      <c r="AJ8" s="41">
        <f>AI8+AG8</f>
        <v/>
      </c>
      <c r="AK8" s="41" t="n"/>
      <c r="AL8" s="41" t="n"/>
    </row>
    <row r="9" hidden="1" ht="15.75" customHeight="1" s="259">
      <c r="A9" s="8" t="n">
        <v>44662</v>
      </c>
      <c r="B9" t="n">
        <v>21.88</v>
      </c>
      <c r="C9" t="n">
        <v>0.48</v>
      </c>
      <c r="D9" t="n">
        <v>0.54</v>
      </c>
      <c r="E9" t="n">
        <v>1.6</v>
      </c>
      <c r="F9" t="n">
        <v>0.05</v>
      </c>
      <c r="H9" t="n">
        <v>0.16</v>
      </c>
      <c r="J9" t="n">
        <v>0.04</v>
      </c>
      <c r="K9" t="n">
        <v>0.04</v>
      </c>
      <c r="N9" t="n">
        <v>0.14</v>
      </c>
      <c r="O9" t="n">
        <v>1.9</v>
      </c>
      <c r="P9">
        <f>SUM(B9:O9)</f>
        <v/>
      </c>
      <c r="R9" s="41">
        <f>(B9/$P9)</f>
        <v/>
      </c>
      <c r="S9" s="41">
        <f>(C9/$P9)</f>
        <v/>
      </c>
      <c r="T9" s="41">
        <f>(D9/$P9)</f>
        <v/>
      </c>
      <c r="U9" s="41">
        <f>(E9/$P9)</f>
        <v/>
      </c>
      <c r="V9" s="41">
        <f>(F9/$P9)</f>
        <v/>
      </c>
      <c r="W9" s="41">
        <f>(G9/$P9)</f>
        <v/>
      </c>
      <c r="X9" s="41">
        <f>(H9/$P9)</f>
        <v/>
      </c>
      <c r="Y9" s="41">
        <f>(I9/$P9)</f>
        <v/>
      </c>
      <c r="Z9" s="41">
        <f>(J9/$P9)</f>
        <v/>
      </c>
      <c r="AA9" s="41">
        <f>(K9/P9)</f>
        <v/>
      </c>
      <c r="AB9" s="41">
        <f>(L9/$P9)</f>
        <v/>
      </c>
      <c r="AC9" s="41">
        <f>(M9/$P9)</f>
        <v/>
      </c>
      <c r="AD9" s="41">
        <f>(N9/$P9)</f>
        <v/>
      </c>
      <c r="AE9" s="41">
        <f>(O9/$P9)</f>
        <v/>
      </c>
      <c r="AF9" s="60">
        <f>SUM(R9:AE9)</f>
        <v/>
      </c>
      <c r="AG9" s="41">
        <f>T9+U9+V9</f>
        <v/>
      </c>
      <c r="AH9" s="41">
        <f>SUM(W9:AD9)</f>
        <v/>
      </c>
      <c r="AI9" s="42">
        <f>AE9+AH9</f>
        <v/>
      </c>
      <c r="AJ9" s="41">
        <f>AI9+AG9</f>
        <v/>
      </c>
      <c r="AK9" s="41" t="n"/>
      <c r="AL9" s="41" t="n"/>
    </row>
    <row r="10" hidden="1" ht="15.75" customHeight="1" s="259">
      <c r="A10" s="8" t="n">
        <v>44674</v>
      </c>
      <c r="B10" t="n">
        <v>20.24</v>
      </c>
      <c r="C10" t="n">
        <v>0.64</v>
      </c>
      <c r="D10" t="n">
        <v>0.22</v>
      </c>
      <c r="E10" t="n">
        <v>0.38</v>
      </c>
      <c r="F10" t="n">
        <v>0.06</v>
      </c>
      <c r="G10" t="n">
        <v>0.1</v>
      </c>
      <c r="H10" t="n">
        <v>0.08</v>
      </c>
      <c r="N10" t="n">
        <v>0.14</v>
      </c>
      <c r="O10" t="n">
        <v>0.06</v>
      </c>
      <c r="P10">
        <f>SUM(B10:O10)</f>
        <v/>
      </c>
      <c r="R10" s="41">
        <f>(B10/$P10)</f>
        <v/>
      </c>
      <c r="S10" s="41">
        <f>(C10/$P10)</f>
        <v/>
      </c>
      <c r="T10" s="41">
        <f>(D10/$P10)</f>
        <v/>
      </c>
      <c r="U10" s="41">
        <f>(E10/$P10)</f>
        <v/>
      </c>
      <c r="V10" s="41">
        <f>(F10/$P10)</f>
        <v/>
      </c>
      <c r="W10" s="41">
        <f>(G10/$P10)</f>
        <v/>
      </c>
      <c r="X10" s="41">
        <f>(H10/$P10)</f>
        <v/>
      </c>
      <c r="Y10" s="41">
        <f>(I10/$P10)</f>
        <v/>
      </c>
      <c r="Z10" s="41">
        <f>(J10/$P10)</f>
        <v/>
      </c>
      <c r="AA10" s="41">
        <f>(K10/P10)</f>
        <v/>
      </c>
      <c r="AB10" s="41">
        <f>(L10/$P10)</f>
        <v/>
      </c>
      <c r="AC10" s="41">
        <f>(M10/$P10)</f>
        <v/>
      </c>
      <c r="AD10" s="41">
        <f>(N10/$P10)</f>
        <v/>
      </c>
      <c r="AE10" s="41">
        <f>(O10/$P10)</f>
        <v/>
      </c>
      <c r="AF10" s="60">
        <f>SUM(R10:AE10)</f>
        <v/>
      </c>
      <c r="AG10" s="41">
        <f>T10+U10+V10</f>
        <v/>
      </c>
      <c r="AH10" s="41">
        <f>SUM(W10:AD10)</f>
        <v/>
      </c>
      <c r="AI10" s="42">
        <f>AE10+AH10</f>
        <v/>
      </c>
      <c r="AJ10" s="41">
        <f>AI10+AG10</f>
        <v/>
      </c>
      <c r="AK10" s="41" t="n"/>
      <c r="AL10" s="41" t="n"/>
    </row>
    <row r="11" hidden="1" ht="15.75" customHeight="1" s="259">
      <c r="A11" s="8" t="n">
        <v>44677</v>
      </c>
      <c r="B11" t="n">
        <v>15.02</v>
      </c>
      <c r="C11" t="n">
        <v>1.04</v>
      </c>
      <c r="D11" t="n">
        <v>0.16</v>
      </c>
      <c r="E11" t="n">
        <v>0.9399999999999999</v>
      </c>
      <c r="F11" t="n">
        <v>0.28</v>
      </c>
      <c r="H11" t="n">
        <v>0.04</v>
      </c>
      <c r="L11" t="n">
        <v>0.02</v>
      </c>
      <c r="N11" t="n">
        <v>0.08</v>
      </c>
      <c r="O11" t="n">
        <v>0.04</v>
      </c>
      <c r="P11">
        <f>SUM(B11:O11)</f>
        <v/>
      </c>
      <c r="R11" s="41">
        <f>(B11/$P11)</f>
        <v/>
      </c>
      <c r="S11" s="41">
        <f>(C11/$P11)</f>
        <v/>
      </c>
      <c r="T11" s="41">
        <f>(D11/$P11)</f>
        <v/>
      </c>
      <c r="U11" s="41">
        <f>(E11/$P11)</f>
        <v/>
      </c>
      <c r="V11" s="41">
        <f>(F11/$P11)</f>
        <v/>
      </c>
      <c r="W11" s="41">
        <f>(G11/$P11)</f>
        <v/>
      </c>
      <c r="X11" s="41">
        <f>(H11/$P11)</f>
        <v/>
      </c>
      <c r="Y11" s="41">
        <f>(I11/$P11)</f>
        <v/>
      </c>
      <c r="Z11" s="41">
        <f>(J11/$P11)</f>
        <v/>
      </c>
      <c r="AA11" s="41">
        <f>(K11/P11)</f>
        <v/>
      </c>
      <c r="AB11" s="41">
        <f>(L11/$P11)</f>
        <v/>
      </c>
      <c r="AC11" s="41">
        <f>(M11/$P11)</f>
        <v/>
      </c>
      <c r="AD11" s="41">
        <f>(N11/$P11)</f>
        <v/>
      </c>
      <c r="AE11" s="41">
        <f>(O11/$P11)</f>
        <v/>
      </c>
      <c r="AF11" s="60">
        <f>SUM(R11:AE11)</f>
        <v/>
      </c>
      <c r="AG11" s="41">
        <f>T11+U11+V11</f>
        <v/>
      </c>
      <c r="AH11" s="41">
        <f>SUM(W11:AD11)</f>
        <v/>
      </c>
      <c r="AI11" s="42">
        <f>AE11+AH11</f>
        <v/>
      </c>
      <c r="AJ11" s="41">
        <f>AI11+AG11</f>
        <v/>
      </c>
      <c r="AK11" s="41" t="n"/>
      <c r="AL11" s="41" t="n"/>
    </row>
    <row r="12" hidden="1" ht="15.75" customHeight="1" s="259">
      <c r="A12" s="8" t="n">
        <v>44687</v>
      </c>
      <c r="B12" t="n">
        <v>18.34</v>
      </c>
      <c r="C12" t="n">
        <v>1</v>
      </c>
      <c r="D12" t="n">
        <v>0.18</v>
      </c>
      <c r="E12" t="n">
        <v>1.24</v>
      </c>
      <c r="G12" t="n">
        <v>0.08</v>
      </c>
      <c r="H12" t="n">
        <v>0.08</v>
      </c>
      <c r="N12" t="n">
        <v>0.06</v>
      </c>
      <c r="O12" t="n">
        <v>0.24</v>
      </c>
      <c r="P12">
        <f>SUM(B12:O12)</f>
        <v/>
      </c>
      <c r="R12" s="41">
        <f>(B12/$P12)</f>
        <v/>
      </c>
      <c r="S12" s="41">
        <f>(C12/$P12)</f>
        <v/>
      </c>
      <c r="T12" s="41">
        <f>(D12/$P12)</f>
        <v/>
      </c>
      <c r="U12" s="41">
        <f>(E12/$P12)</f>
        <v/>
      </c>
      <c r="V12" s="41">
        <f>(F12/$P12)</f>
        <v/>
      </c>
      <c r="W12" s="41">
        <f>(G12/$P12)</f>
        <v/>
      </c>
      <c r="X12" s="41">
        <f>(H12/$P12)</f>
        <v/>
      </c>
      <c r="Y12" s="41">
        <f>(I12/$P12)</f>
        <v/>
      </c>
      <c r="Z12" s="41">
        <f>(J12/$P12)</f>
        <v/>
      </c>
      <c r="AA12" s="41">
        <f>(K12/P12)</f>
        <v/>
      </c>
      <c r="AB12" s="41">
        <f>(L12/$P12)</f>
        <v/>
      </c>
      <c r="AC12" s="41">
        <f>(M12/$P12)</f>
        <v/>
      </c>
      <c r="AD12" s="41">
        <f>(N12/$P12)</f>
        <v/>
      </c>
      <c r="AE12" s="41">
        <f>(O12/$P12)</f>
        <v/>
      </c>
      <c r="AF12" s="60">
        <f>SUM(R12:AE12)</f>
        <v/>
      </c>
      <c r="AG12" s="41">
        <f>T12+U12+V12</f>
        <v/>
      </c>
      <c r="AH12" s="41">
        <f>SUM(W12:AD12)</f>
        <v/>
      </c>
      <c r="AI12" s="42">
        <f>AE12+AH12</f>
        <v/>
      </c>
      <c r="AJ12" s="41">
        <f>AI12+AG12</f>
        <v/>
      </c>
      <c r="AK12" s="41" t="n"/>
      <c r="AL12" s="41" t="n"/>
    </row>
    <row r="13" hidden="1" ht="15.75" customHeight="1" s="259">
      <c r="A13" s="8" t="n">
        <v>44693</v>
      </c>
      <c r="B13" t="n">
        <v>21.9</v>
      </c>
      <c r="C13" t="n">
        <v>0.58</v>
      </c>
      <c r="D13" t="n">
        <v>0.24</v>
      </c>
      <c r="E13" t="n">
        <v>1.74</v>
      </c>
      <c r="F13" t="n">
        <v>0.14</v>
      </c>
      <c r="G13" t="n">
        <v>0.14</v>
      </c>
      <c r="H13" t="n">
        <v>0.04</v>
      </c>
      <c r="J13" t="n">
        <v>0.06</v>
      </c>
      <c r="N13" t="n">
        <v>0.22</v>
      </c>
      <c r="O13" t="n">
        <v>0.3</v>
      </c>
      <c r="P13">
        <f>SUM(B13:O13)</f>
        <v/>
      </c>
      <c r="R13" s="41">
        <f>(B13/$P13)</f>
        <v/>
      </c>
      <c r="S13" s="41">
        <f>(C13/$P13)</f>
        <v/>
      </c>
      <c r="T13" s="41">
        <f>(D13/$P13)</f>
        <v/>
      </c>
      <c r="U13" s="41">
        <f>(E13/$P13)</f>
        <v/>
      </c>
      <c r="V13" s="41">
        <f>(F13/$P13)</f>
        <v/>
      </c>
      <c r="W13" s="41">
        <f>(G13/$P13)</f>
        <v/>
      </c>
      <c r="X13" s="41">
        <f>(H13/$P13)</f>
        <v/>
      </c>
      <c r="Y13" s="41">
        <f>(I13/$P13)</f>
        <v/>
      </c>
      <c r="Z13" s="41">
        <f>(J13/$P13)</f>
        <v/>
      </c>
      <c r="AA13" s="41">
        <f>(K13/P13)</f>
        <v/>
      </c>
      <c r="AB13" s="41">
        <f>(L13/$P13)</f>
        <v/>
      </c>
      <c r="AC13" s="41">
        <f>(M13/$P13)</f>
        <v/>
      </c>
      <c r="AD13" s="41">
        <f>(N13/$P13)</f>
        <v/>
      </c>
      <c r="AE13" s="41">
        <f>(O13/$P13)</f>
        <v/>
      </c>
      <c r="AF13" s="60">
        <f>SUM(R13:AE13)</f>
        <v/>
      </c>
      <c r="AG13" s="41">
        <f>T13+U13+V13</f>
        <v/>
      </c>
      <c r="AH13" s="41">
        <f>SUM(W13:AD13)</f>
        <v/>
      </c>
      <c r="AI13" s="42">
        <f>AE13+AH13</f>
        <v/>
      </c>
      <c r="AJ13" s="41">
        <f>AI13+AG13</f>
        <v/>
      </c>
      <c r="AK13" s="41" t="n"/>
      <c r="AL13" s="41" t="n"/>
    </row>
    <row r="14" hidden="1" ht="15.75" customHeight="1" s="259">
      <c r="A14" s="8" t="n">
        <v>44704</v>
      </c>
      <c r="B14" t="n">
        <v>20.71</v>
      </c>
      <c r="C14" t="n">
        <v>0</v>
      </c>
      <c r="D14" t="n">
        <v>0.6</v>
      </c>
      <c r="E14" t="n">
        <v>1.18</v>
      </c>
      <c r="F14" t="n">
        <v>0.12</v>
      </c>
      <c r="G14" t="n">
        <v>0.02</v>
      </c>
      <c r="H14" t="n">
        <v>0.32</v>
      </c>
      <c r="L14" t="n">
        <v>0.08</v>
      </c>
      <c r="N14" t="n">
        <v>0.12</v>
      </c>
      <c r="O14" t="n">
        <v>0.59</v>
      </c>
      <c r="P14">
        <f>SUM(B14:O14)</f>
        <v/>
      </c>
      <c r="R14" s="41">
        <f>(B14/$P14)</f>
        <v/>
      </c>
      <c r="S14" s="41">
        <f>(C14/$P14)</f>
        <v/>
      </c>
      <c r="T14" s="41">
        <f>(D14/$P14)</f>
        <v/>
      </c>
      <c r="U14" s="41">
        <f>(E14/$P14)</f>
        <v/>
      </c>
      <c r="V14" s="41">
        <f>(F14/$P14)</f>
        <v/>
      </c>
      <c r="W14" s="41">
        <f>(G14/$P14)</f>
        <v/>
      </c>
      <c r="X14" s="41">
        <f>(H14/$P14)</f>
        <v/>
      </c>
      <c r="Y14" s="41">
        <f>(I14/$P14)</f>
        <v/>
      </c>
      <c r="Z14" s="41">
        <f>(J14/$P14)</f>
        <v/>
      </c>
      <c r="AA14" s="41">
        <f>(K14/P14)</f>
        <v/>
      </c>
      <c r="AB14" s="41">
        <f>(L14/$P14)</f>
        <v/>
      </c>
      <c r="AC14" s="41">
        <f>(M14/$P14)</f>
        <v/>
      </c>
      <c r="AD14" s="41">
        <f>(N14/$P14)</f>
        <v/>
      </c>
      <c r="AE14" s="41">
        <f>(O14/$P14)</f>
        <v/>
      </c>
      <c r="AF14" s="60">
        <f>SUM(R14:AE14)</f>
        <v/>
      </c>
      <c r="AG14" s="41">
        <f>T14+U14+V14</f>
        <v/>
      </c>
      <c r="AH14" s="41">
        <f>SUM(W14:AD14)</f>
        <v/>
      </c>
      <c r="AI14" s="42">
        <f>AE14+AH14</f>
        <v/>
      </c>
      <c r="AJ14" s="41">
        <f>AI14+AG14</f>
        <v/>
      </c>
      <c r="AK14" s="41" t="n"/>
      <c r="AL14" s="41" t="n"/>
    </row>
    <row r="15" hidden="1" ht="15.75" customHeight="1" s="259">
      <c r="A15" s="8" t="n">
        <v>44712</v>
      </c>
      <c r="B15" t="n">
        <v>17.66</v>
      </c>
      <c r="C15" t="n">
        <v>1.88</v>
      </c>
      <c r="D15" t="n">
        <v>0.78</v>
      </c>
      <c r="E15" t="n">
        <v>1.16</v>
      </c>
      <c r="F15" t="n">
        <v>0.2</v>
      </c>
      <c r="G15" t="n">
        <v>0.52</v>
      </c>
      <c r="H15" t="n">
        <v>0.16</v>
      </c>
      <c r="J15" t="n">
        <v>0.1</v>
      </c>
      <c r="N15" t="n">
        <v>0.06</v>
      </c>
      <c r="O15" t="n">
        <v>0.5600000000000001</v>
      </c>
      <c r="P15">
        <f>SUM(B15:O15)</f>
        <v/>
      </c>
      <c r="R15" s="41">
        <f>(B15/$P15)</f>
        <v/>
      </c>
      <c r="S15" s="41">
        <f>(C15/$P15)</f>
        <v/>
      </c>
      <c r="T15" s="41">
        <f>(D15/$P15)</f>
        <v/>
      </c>
      <c r="U15" s="41">
        <f>(E15/$P15)</f>
        <v/>
      </c>
      <c r="V15" s="41">
        <f>(F15/$P15)</f>
        <v/>
      </c>
      <c r="W15" s="41">
        <f>(G15/$P15)</f>
        <v/>
      </c>
      <c r="X15" s="41">
        <f>(H15/$P15)</f>
        <v/>
      </c>
      <c r="Y15" s="41">
        <f>(I15/$P15)</f>
        <v/>
      </c>
      <c r="Z15" s="41">
        <f>(J15/$P15)</f>
        <v/>
      </c>
      <c r="AA15" s="41">
        <f>(K15/P15)</f>
        <v/>
      </c>
      <c r="AB15" s="41">
        <f>(L15/$P15)</f>
        <v/>
      </c>
      <c r="AC15" s="41">
        <f>(M15/$P15)</f>
        <v/>
      </c>
      <c r="AD15" s="41">
        <f>(N15/$P15)</f>
        <v/>
      </c>
      <c r="AE15" s="41">
        <f>(O15/$P15)</f>
        <v/>
      </c>
      <c r="AF15" s="60">
        <f>SUM(R15:AE15)</f>
        <v/>
      </c>
      <c r="AG15" s="41">
        <f>T15+U15+V15</f>
        <v/>
      </c>
      <c r="AH15" s="41">
        <f>SUM(W15:AD15)</f>
        <v/>
      </c>
      <c r="AI15" s="42">
        <f>AE15+AH15</f>
        <v/>
      </c>
      <c r="AJ15" s="41">
        <f>AI15+AG15</f>
        <v/>
      </c>
      <c r="AK15" s="41" t="n"/>
      <c r="AL15" s="41" t="n"/>
    </row>
    <row r="16" hidden="1" ht="15.75" customHeight="1" s="259">
      <c r="A16" s="8" t="n">
        <v>44837</v>
      </c>
      <c r="B16" t="n">
        <v>19.78</v>
      </c>
      <c r="C16" t="n">
        <v>3.22</v>
      </c>
      <c r="D16" t="n">
        <v>1.66</v>
      </c>
      <c r="F16" t="n">
        <v>0.24</v>
      </c>
      <c r="H16" t="n">
        <v>0.12</v>
      </c>
      <c r="K16" t="n">
        <v>0.08</v>
      </c>
      <c r="N16" t="n">
        <v>0.12</v>
      </c>
      <c r="O16" t="n">
        <v>0.68</v>
      </c>
      <c r="P16">
        <f>SUM(B16:O16)</f>
        <v/>
      </c>
      <c r="R16" s="41">
        <f>(B16/$P16)</f>
        <v/>
      </c>
      <c r="S16" s="41">
        <f>(C16/$P16)</f>
        <v/>
      </c>
      <c r="T16" s="41">
        <f>(D16/$P16)</f>
        <v/>
      </c>
      <c r="U16" s="41">
        <f>(E16/$P16)</f>
        <v/>
      </c>
      <c r="V16" s="41">
        <f>(F16/$P16)</f>
        <v/>
      </c>
      <c r="W16" s="41">
        <f>(G16/$P16)</f>
        <v/>
      </c>
      <c r="X16" s="41">
        <f>(H16/$P16)</f>
        <v/>
      </c>
      <c r="Y16" s="41">
        <f>(I16/$P16)</f>
        <v/>
      </c>
      <c r="Z16" s="41">
        <f>(J16/$P16)</f>
        <v/>
      </c>
      <c r="AA16" s="41">
        <f>(K16/P16)</f>
        <v/>
      </c>
      <c r="AB16" s="41">
        <f>(L16/$P16)</f>
        <v/>
      </c>
      <c r="AC16" s="41">
        <f>(M16/$P16)</f>
        <v/>
      </c>
      <c r="AD16" s="41">
        <f>(N16/$P16)</f>
        <v/>
      </c>
      <c r="AE16" s="41">
        <f>(O16/$P16)</f>
        <v/>
      </c>
      <c r="AF16" s="60">
        <f>SUM(R16:AE16)</f>
        <v/>
      </c>
      <c r="AG16" s="41">
        <f>T16+U16+V16</f>
        <v/>
      </c>
      <c r="AH16" s="41">
        <f>SUM(W16:AD16)</f>
        <v/>
      </c>
      <c r="AI16" s="42">
        <f>AE16+AH16</f>
        <v/>
      </c>
      <c r="AJ16" s="41">
        <f>AI16+AG16</f>
        <v/>
      </c>
      <c r="AK16" s="41" t="n"/>
      <c r="AL16" s="41" t="n"/>
    </row>
    <row r="17" hidden="1" ht="15.75" customHeight="1" s="259">
      <c r="A17" s="8" t="n">
        <v>44845</v>
      </c>
      <c r="B17" t="n">
        <v>17.72</v>
      </c>
      <c r="C17" t="n">
        <v>0.86</v>
      </c>
      <c r="D17" t="n">
        <v>1</v>
      </c>
      <c r="E17" t="n">
        <v>1.68</v>
      </c>
      <c r="F17" t="n">
        <v>0.78</v>
      </c>
      <c r="H17" t="n">
        <v>0.24</v>
      </c>
      <c r="J17" t="n">
        <v>0.06</v>
      </c>
      <c r="N17" t="n">
        <v>0.14</v>
      </c>
      <c r="O17" t="n">
        <v>0.5</v>
      </c>
      <c r="P17">
        <f>SUM(B17:O17)</f>
        <v/>
      </c>
      <c r="R17" s="41">
        <f>(B17/$P17)</f>
        <v/>
      </c>
      <c r="S17" s="41">
        <f>(C17/$P17)</f>
        <v/>
      </c>
      <c r="T17" s="41">
        <f>(D17/$P17)</f>
        <v/>
      </c>
      <c r="U17" s="41">
        <f>(E17/$P17)</f>
        <v/>
      </c>
      <c r="V17" s="41">
        <f>(F17/$P17)</f>
        <v/>
      </c>
      <c r="W17" s="41">
        <f>(G17/$P17)</f>
        <v/>
      </c>
      <c r="X17" s="41">
        <f>(H17/$P17)</f>
        <v/>
      </c>
      <c r="Y17" s="41">
        <f>(I17/$P17)</f>
        <v/>
      </c>
      <c r="Z17" s="41">
        <f>(J17/$P17)</f>
        <v/>
      </c>
      <c r="AA17" s="41">
        <f>(K17/P17)</f>
        <v/>
      </c>
      <c r="AB17" s="41">
        <f>(L17/$P17)</f>
        <v/>
      </c>
      <c r="AC17" s="41">
        <f>(M17/$P17)</f>
        <v/>
      </c>
      <c r="AD17" s="41">
        <f>(N17/$P17)</f>
        <v/>
      </c>
      <c r="AE17" s="41">
        <f>(O17/$P17)</f>
        <v/>
      </c>
      <c r="AF17" s="60">
        <f>SUM(R17:AE17)</f>
        <v/>
      </c>
      <c r="AG17" s="41">
        <f>T17+U17+V17</f>
        <v/>
      </c>
      <c r="AH17" s="41">
        <f>SUM(W17:AD17)</f>
        <v/>
      </c>
      <c r="AI17" s="42">
        <f>AE17+AH17</f>
        <v/>
      </c>
      <c r="AJ17" s="41">
        <f>AI17+AG17</f>
        <v/>
      </c>
      <c r="AK17" s="41" t="n"/>
      <c r="AL17" s="41" t="n"/>
    </row>
    <row r="18" hidden="1" ht="15.75" customHeight="1" s="259">
      <c r="A18" s="8" t="n">
        <v>44846</v>
      </c>
      <c r="B18" t="n">
        <v>17.44</v>
      </c>
      <c r="C18" t="n">
        <v>1</v>
      </c>
      <c r="D18" t="n">
        <v>1.22</v>
      </c>
      <c r="E18" t="n">
        <v>1</v>
      </c>
      <c r="F18" t="n">
        <v>0.14</v>
      </c>
      <c r="G18" t="n">
        <v>0.2</v>
      </c>
      <c r="H18" t="n">
        <v>0.2</v>
      </c>
      <c r="I18" t="n">
        <v>0.2</v>
      </c>
      <c r="J18" t="n">
        <v>0.8</v>
      </c>
      <c r="M18" t="n">
        <v>0.26</v>
      </c>
      <c r="N18" t="n">
        <v>0.22</v>
      </c>
      <c r="O18" t="n">
        <v>1.34</v>
      </c>
      <c r="P18">
        <f>SUM(B18:O18)</f>
        <v/>
      </c>
      <c r="R18" s="41">
        <f>(B18/$P18)</f>
        <v/>
      </c>
      <c r="S18" s="41">
        <f>(C18/$P18)</f>
        <v/>
      </c>
      <c r="T18" s="41">
        <f>(D18/$P18)</f>
        <v/>
      </c>
      <c r="U18" s="41">
        <f>(E18/$P18)</f>
        <v/>
      </c>
      <c r="V18" s="41">
        <f>(F18/$P18)</f>
        <v/>
      </c>
      <c r="W18" s="41">
        <f>(G18/$P18)</f>
        <v/>
      </c>
      <c r="X18" s="41">
        <f>(H18/$P18)</f>
        <v/>
      </c>
      <c r="Y18" s="41">
        <f>(I18/$P18)</f>
        <v/>
      </c>
      <c r="Z18" s="41">
        <f>(J18/$P18)</f>
        <v/>
      </c>
      <c r="AA18" s="41">
        <f>(K18/P18)</f>
        <v/>
      </c>
      <c r="AB18" s="41">
        <f>(L18/$P18)</f>
        <v/>
      </c>
      <c r="AC18" s="41">
        <f>(M18/$P18)</f>
        <v/>
      </c>
      <c r="AD18" s="41">
        <f>(N18/$P18)</f>
        <v/>
      </c>
      <c r="AE18" s="41">
        <f>(O18/$P18)</f>
        <v/>
      </c>
      <c r="AF18" s="60">
        <f>SUM(R18:AE18)</f>
        <v/>
      </c>
      <c r="AG18" s="41">
        <f>T18+U18+V18</f>
        <v/>
      </c>
      <c r="AH18" s="41">
        <f>SUM(W18:AD18)</f>
        <v/>
      </c>
      <c r="AI18" s="42">
        <f>AE18+AH18</f>
        <v/>
      </c>
      <c r="AJ18" s="41">
        <f>AI18+AG18</f>
        <v/>
      </c>
      <c r="AK18" s="41" t="n"/>
      <c r="AL18" s="41" t="n"/>
    </row>
    <row r="19" hidden="1" ht="15.75" customHeight="1" s="259">
      <c r="A19" s="8" t="n">
        <v>44847</v>
      </c>
      <c r="B19" t="n">
        <v>13.6</v>
      </c>
      <c r="C19" t="n">
        <v>0.7</v>
      </c>
      <c r="D19" t="n">
        <v>0.44</v>
      </c>
      <c r="E19" t="n">
        <v>1.24</v>
      </c>
      <c r="F19" t="n">
        <v>0.26</v>
      </c>
      <c r="H19" t="n">
        <v>0.6</v>
      </c>
      <c r="L19" t="n">
        <v>0.1</v>
      </c>
      <c r="N19" t="n">
        <v>0.2</v>
      </c>
      <c r="O19" t="n">
        <v>0.82</v>
      </c>
      <c r="P19">
        <f>SUM(B19:O19)</f>
        <v/>
      </c>
      <c r="R19" s="41">
        <f>(B19/$P19)</f>
        <v/>
      </c>
      <c r="S19" s="41">
        <f>(C19/$P19)</f>
        <v/>
      </c>
      <c r="T19" s="41">
        <f>(D19/$P19)</f>
        <v/>
      </c>
      <c r="U19" s="41">
        <f>(E19/$P19)</f>
        <v/>
      </c>
      <c r="V19" s="41">
        <f>(F19/$P19)</f>
        <v/>
      </c>
      <c r="W19" s="41">
        <f>(G19/$P19)</f>
        <v/>
      </c>
      <c r="X19" s="41">
        <f>(H19/$P19)</f>
        <v/>
      </c>
      <c r="Y19" s="41">
        <f>(I19/$P19)</f>
        <v/>
      </c>
      <c r="Z19" s="41">
        <f>(J19/$P19)</f>
        <v/>
      </c>
      <c r="AA19" s="41">
        <f>(K19/P19)</f>
        <v/>
      </c>
      <c r="AB19" s="41">
        <f>(L19/$P19)</f>
        <v/>
      </c>
      <c r="AC19" s="41">
        <f>(M19/$P19)</f>
        <v/>
      </c>
      <c r="AD19" s="41">
        <f>(N19/$P19)</f>
        <v/>
      </c>
      <c r="AE19" s="41">
        <f>(O19/$P19)</f>
        <v/>
      </c>
      <c r="AF19" s="60">
        <f>SUM(R19:AE19)</f>
        <v/>
      </c>
      <c r="AG19" s="41">
        <f>T19+U19+V19</f>
        <v/>
      </c>
      <c r="AH19" s="41">
        <f>SUM(W19:AD19)</f>
        <v/>
      </c>
      <c r="AI19" s="42">
        <f>AE19+AH19</f>
        <v/>
      </c>
      <c r="AJ19" s="41">
        <f>AI19+AG19</f>
        <v/>
      </c>
      <c r="AK19" s="41" t="n"/>
      <c r="AL19" s="41" t="n"/>
    </row>
    <row r="20" hidden="1" ht="15.75" customHeight="1" s="259">
      <c r="A20" s="8" t="n">
        <v>44849</v>
      </c>
      <c r="B20" t="n">
        <v>12.6</v>
      </c>
      <c r="C20" t="n">
        <v>1.04</v>
      </c>
      <c r="D20" t="n">
        <v>0.76</v>
      </c>
      <c r="E20" t="n">
        <v>1.14</v>
      </c>
      <c r="F20" t="n">
        <v>0.46</v>
      </c>
      <c r="G20" t="n">
        <v>0.06</v>
      </c>
      <c r="H20" t="n">
        <v>0.04</v>
      </c>
      <c r="N20" t="n">
        <v>0.04</v>
      </c>
      <c r="O20" t="n">
        <v>0.6</v>
      </c>
      <c r="P20">
        <f>SUM(B20:O20)</f>
        <v/>
      </c>
      <c r="R20" s="41">
        <f>(B20/$P20)</f>
        <v/>
      </c>
      <c r="S20" s="41">
        <f>(C20/$P20)</f>
        <v/>
      </c>
      <c r="T20" s="41">
        <f>(D20/$P20)</f>
        <v/>
      </c>
      <c r="U20" s="41">
        <f>(E20/$P20)</f>
        <v/>
      </c>
      <c r="V20" s="41">
        <f>(F20/$P20)</f>
        <v/>
      </c>
      <c r="W20" s="41">
        <f>(G20/$P20)</f>
        <v/>
      </c>
      <c r="X20" s="41">
        <f>(H20/$P20)</f>
        <v/>
      </c>
      <c r="Y20" s="41">
        <f>(I20/$P20)</f>
        <v/>
      </c>
      <c r="Z20" s="41">
        <f>(J20/$P20)</f>
        <v/>
      </c>
      <c r="AA20" s="41">
        <f>(K20/P20)</f>
        <v/>
      </c>
      <c r="AB20" s="41">
        <f>(L20/$P20)</f>
        <v/>
      </c>
      <c r="AC20" s="41">
        <f>(M20/$P20)</f>
        <v/>
      </c>
      <c r="AD20" s="41">
        <f>(N20/$P20)</f>
        <v/>
      </c>
      <c r="AE20" s="41">
        <f>(O20/$P20)</f>
        <v/>
      </c>
      <c r="AF20" s="60">
        <f>SUM(R20:AE20)</f>
        <v/>
      </c>
      <c r="AG20" s="41">
        <f>T20+U20+V20</f>
        <v/>
      </c>
      <c r="AH20" s="41">
        <f>SUM(W20:AD20)</f>
        <v/>
      </c>
      <c r="AI20" s="42">
        <f>AE20+AH20</f>
        <v/>
      </c>
      <c r="AJ20" s="41">
        <f>AI20+AG20</f>
        <v/>
      </c>
      <c r="AK20" s="41" t="n"/>
      <c r="AL20" s="41" t="n"/>
    </row>
    <row r="21" hidden="1" ht="15.75" customHeight="1" s="259">
      <c r="A21" s="8" t="n">
        <v>44852</v>
      </c>
      <c r="B21" t="n">
        <v>20.38</v>
      </c>
      <c r="C21" t="n">
        <v>2.58</v>
      </c>
      <c r="D21" t="n">
        <v>2.2</v>
      </c>
      <c r="E21" t="n">
        <v>1.02</v>
      </c>
      <c r="F21" t="n">
        <v>1.02</v>
      </c>
      <c r="G21" t="n">
        <v>0.1</v>
      </c>
      <c r="H21" t="n">
        <v>0.06</v>
      </c>
      <c r="J21" t="n">
        <v>0.02</v>
      </c>
      <c r="L21" t="n">
        <v>0.1</v>
      </c>
      <c r="N21" t="n">
        <v>0.04</v>
      </c>
      <c r="O21" t="n">
        <v>1.26</v>
      </c>
      <c r="P21">
        <f>SUM(B21:O21)</f>
        <v/>
      </c>
      <c r="R21" s="41">
        <f>(B21/$P21)</f>
        <v/>
      </c>
      <c r="S21" s="41">
        <f>(C21/$P21)</f>
        <v/>
      </c>
      <c r="T21" s="41">
        <f>(D21/$P21)</f>
        <v/>
      </c>
      <c r="U21" s="41">
        <f>(E21/$P21)</f>
        <v/>
      </c>
      <c r="V21" s="41">
        <f>(F21/$P21)</f>
        <v/>
      </c>
      <c r="W21" s="41">
        <f>(G21/$P21)</f>
        <v/>
      </c>
      <c r="X21" s="41">
        <f>(H21/$P21)</f>
        <v/>
      </c>
      <c r="Y21" s="41">
        <f>(I21/$P21)</f>
        <v/>
      </c>
      <c r="Z21" s="41">
        <f>(J21/$P21)</f>
        <v/>
      </c>
      <c r="AA21" s="41">
        <f>(K21/P21)</f>
        <v/>
      </c>
      <c r="AB21" s="41">
        <f>(L21/$P21)</f>
        <v/>
      </c>
      <c r="AC21" s="41">
        <f>(M21/$P21)</f>
        <v/>
      </c>
      <c r="AD21" s="41">
        <f>(N21/$P21)</f>
        <v/>
      </c>
      <c r="AE21" s="41">
        <f>(O21/$P21)</f>
        <v/>
      </c>
      <c r="AF21" s="60">
        <f>SUM(R21:AE21)</f>
        <v/>
      </c>
      <c r="AG21" s="41">
        <f>T21+U21+V21</f>
        <v/>
      </c>
      <c r="AH21" s="41">
        <f>SUM(W21:AD21)</f>
        <v/>
      </c>
      <c r="AI21" s="42">
        <f>AE21+AH21</f>
        <v/>
      </c>
      <c r="AJ21" s="41">
        <f>AI21+AG21</f>
        <v/>
      </c>
      <c r="AK21" s="41" t="n"/>
      <c r="AL21" s="41" t="n"/>
    </row>
    <row r="22" hidden="1" ht="15.75" customHeight="1" s="259">
      <c r="A22" s="8" t="n">
        <v>44854</v>
      </c>
      <c r="B22" t="n">
        <v>15.16</v>
      </c>
      <c r="C22" t="n">
        <v>1.48</v>
      </c>
      <c r="D22" t="n">
        <v>0.72</v>
      </c>
      <c r="E22" t="n">
        <v>0.84</v>
      </c>
      <c r="F22" t="n">
        <v>0.8</v>
      </c>
      <c r="G22" t="n">
        <v>0.2</v>
      </c>
      <c r="H22" t="n">
        <v>0.18</v>
      </c>
      <c r="L22" t="n">
        <v>0.4</v>
      </c>
      <c r="N22" t="n">
        <v>0.04</v>
      </c>
      <c r="O22" t="n">
        <v>1.44</v>
      </c>
      <c r="P22">
        <f>SUM(B22:O22)</f>
        <v/>
      </c>
      <c r="R22" s="41">
        <f>(B22/$P22)</f>
        <v/>
      </c>
      <c r="S22" s="41">
        <f>(C22/$P22)</f>
        <v/>
      </c>
      <c r="T22" s="41">
        <f>(D22/$P22)</f>
        <v/>
      </c>
      <c r="U22" s="41">
        <f>(E22/$P22)</f>
        <v/>
      </c>
      <c r="V22" s="41">
        <f>(F22/$P22)</f>
        <v/>
      </c>
      <c r="W22" s="41">
        <f>(G22/$P22)</f>
        <v/>
      </c>
      <c r="X22" s="41">
        <f>(H22/$P22)</f>
        <v/>
      </c>
      <c r="Y22" s="41">
        <f>(I22/$P22)</f>
        <v/>
      </c>
      <c r="Z22" s="41">
        <f>(J22/$P22)</f>
        <v/>
      </c>
      <c r="AA22" s="41">
        <f>(K22/P22)</f>
        <v/>
      </c>
      <c r="AB22" s="41">
        <f>(L22/$P22)</f>
        <v/>
      </c>
      <c r="AC22" s="41">
        <f>(M22/$P22)</f>
        <v/>
      </c>
      <c r="AD22" s="41">
        <f>(N22/$P22)</f>
        <v/>
      </c>
      <c r="AE22" s="41">
        <f>(O22/$P22)</f>
        <v/>
      </c>
      <c r="AF22" s="60">
        <f>SUM(R22:AE22)</f>
        <v/>
      </c>
      <c r="AG22" s="41">
        <f>T22+U22+V22</f>
        <v/>
      </c>
      <c r="AH22" s="41">
        <f>SUM(W22:AD22)</f>
        <v/>
      </c>
      <c r="AI22" s="42">
        <f>AE22+AH22</f>
        <v/>
      </c>
      <c r="AJ22" s="41">
        <f>AI22+AG22</f>
        <v/>
      </c>
      <c r="AK22" s="41" t="n"/>
      <c r="AL22" s="41" t="n"/>
    </row>
    <row r="23" hidden="1" ht="15.75" customHeight="1" s="259">
      <c r="A23" s="8" t="n">
        <v>44858</v>
      </c>
      <c r="B23" t="n">
        <v>17.5</v>
      </c>
      <c r="C23" t="n">
        <v>0.84</v>
      </c>
      <c r="D23" t="n">
        <v>0.9</v>
      </c>
      <c r="E23" t="n">
        <v>2.3</v>
      </c>
      <c r="F23" t="n">
        <v>0.92</v>
      </c>
      <c r="H23" t="n">
        <v>0.1</v>
      </c>
      <c r="O23" t="n">
        <v>0.5600000000000001</v>
      </c>
      <c r="P23">
        <f>SUM(B23:O23)</f>
        <v/>
      </c>
      <c r="R23" s="41">
        <f>(B23/$P23)</f>
        <v/>
      </c>
      <c r="S23" s="41">
        <f>(C23/$P23)</f>
        <v/>
      </c>
      <c r="T23" s="41">
        <f>(D23/$P23)</f>
        <v/>
      </c>
      <c r="U23" s="41">
        <f>(E23/$P23)</f>
        <v/>
      </c>
      <c r="V23" s="41">
        <f>(F23/$P23)</f>
        <v/>
      </c>
      <c r="W23" s="41">
        <f>(G23/$P23)</f>
        <v/>
      </c>
      <c r="X23" s="41">
        <f>(H23/$P23)</f>
        <v/>
      </c>
      <c r="Y23" s="41">
        <f>(I23/$P23)</f>
        <v/>
      </c>
      <c r="Z23" s="41">
        <f>(J23/$P23)</f>
        <v/>
      </c>
      <c r="AA23" s="41">
        <f>(K23/P23)</f>
        <v/>
      </c>
      <c r="AB23" s="41">
        <f>(L23/$P23)</f>
        <v/>
      </c>
      <c r="AC23" s="41">
        <f>(M23/$P23)</f>
        <v/>
      </c>
      <c r="AD23" s="41">
        <f>(N23/$P23)</f>
        <v/>
      </c>
      <c r="AE23" s="41">
        <f>(O23/$P23)</f>
        <v/>
      </c>
      <c r="AF23" s="60">
        <f>SUM(R23:AE23)</f>
        <v/>
      </c>
      <c r="AG23" s="41">
        <f>T23+U23+V23</f>
        <v/>
      </c>
      <c r="AH23" s="41">
        <f>SUM(W23:AD23)</f>
        <v/>
      </c>
      <c r="AI23" s="42">
        <f>AE23+AH23</f>
        <v/>
      </c>
      <c r="AJ23" s="41">
        <f>AI23+AG23</f>
        <v/>
      </c>
      <c r="AK23" s="41" t="n"/>
      <c r="AL23" s="41" t="n"/>
    </row>
    <row r="24" hidden="1" ht="15.75" customHeight="1" s="259">
      <c r="A24" s="8" t="n">
        <v>44859</v>
      </c>
      <c r="B24" t="n">
        <v>20.2</v>
      </c>
      <c r="C24" t="n">
        <v>1.1</v>
      </c>
      <c r="D24" t="n">
        <v>0.6</v>
      </c>
      <c r="E24" t="n">
        <v>0.92</v>
      </c>
      <c r="F24" t="n">
        <v>0.54</v>
      </c>
      <c r="G24" t="n">
        <v>0.08</v>
      </c>
      <c r="H24" t="n">
        <v>0.06</v>
      </c>
      <c r="L24" t="n">
        <v>0.02</v>
      </c>
      <c r="O24" t="n">
        <v>1.06</v>
      </c>
      <c r="P24">
        <f>SUM(B24:O24)</f>
        <v/>
      </c>
      <c r="R24" s="41">
        <f>(B24/$P24)</f>
        <v/>
      </c>
      <c r="S24" s="41">
        <f>(C24/$P24)</f>
        <v/>
      </c>
      <c r="T24" s="41">
        <f>(D24/$P24)</f>
        <v/>
      </c>
      <c r="U24" s="41">
        <f>(E24/$P24)</f>
        <v/>
      </c>
      <c r="V24" s="41">
        <f>(F24/$P24)</f>
        <v/>
      </c>
      <c r="W24" s="41">
        <f>(G24/$P24)</f>
        <v/>
      </c>
      <c r="X24" s="41">
        <f>(H24/$P24)</f>
        <v/>
      </c>
      <c r="Y24" s="41">
        <f>(I24/$P24)</f>
        <v/>
      </c>
      <c r="Z24" s="41">
        <f>(J24/$P24)</f>
        <v/>
      </c>
      <c r="AA24" s="41">
        <f>(K24/P24)</f>
        <v/>
      </c>
      <c r="AB24" s="41">
        <f>(L24/$P24)</f>
        <v/>
      </c>
      <c r="AC24" s="41">
        <f>(M24/$P24)</f>
        <v/>
      </c>
      <c r="AD24" s="41">
        <f>(N24/$P24)</f>
        <v/>
      </c>
      <c r="AE24" s="41">
        <f>(O24/$P24)</f>
        <v/>
      </c>
      <c r="AF24" s="60">
        <f>SUM(R24:AE24)</f>
        <v/>
      </c>
      <c r="AG24" s="41">
        <f>T24+U24+V24</f>
        <v/>
      </c>
      <c r="AH24" s="41">
        <f>SUM(W24:AD24)</f>
        <v/>
      </c>
      <c r="AI24" s="42">
        <f>AE24+AH24</f>
        <v/>
      </c>
      <c r="AJ24" s="41">
        <f>AI24+AG24</f>
        <v/>
      </c>
      <c r="AK24" s="41" t="n"/>
      <c r="AL24" s="41" t="n"/>
    </row>
    <row r="25" hidden="1" ht="15.75" customHeight="1" s="259">
      <c r="A25" s="8" t="n">
        <v>44862</v>
      </c>
      <c r="B25" t="n">
        <v>17.02</v>
      </c>
      <c r="C25" t="n">
        <v>0.96</v>
      </c>
      <c r="D25" t="n">
        <v>0.9399999999999999</v>
      </c>
      <c r="E25" t="n">
        <v>0.48</v>
      </c>
      <c r="F25" t="n">
        <v>0.58</v>
      </c>
      <c r="G25" t="n">
        <v>0.2</v>
      </c>
      <c r="H25" t="n">
        <v>0.02</v>
      </c>
      <c r="I25" t="n">
        <v>0.02</v>
      </c>
      <c r="J25" t="n">
        <v>0.04</v>
      </c>
      <c r="O25" t="n">
        <v>0.64</v>
      </c>
      <c r="P25">
        <f>SUM(B25:O25)</f>
        <v/>
      </c>
      <c r="R25" s="41">
        <f>(B25/$P25)</f>
        <v/>
      </c>
      <c r="S25" s="41">
        <f>(C25/$P25)</f>
        <v/>
      </c>
      <c r="T25" s="41">
        <f>(D25/$P25)</f>
        <v/>
      </c>
      <c r="U25" s="41">
        <f>(E25/$P25)</f>
        <v/>
      </c>
      <c r="V25" s="41">
        <f>(F25/$P25)</f>
        <v/>
      </c>
      <c r="W25" s="41">
        <f>(G25/$P25)</f>
        <v/>
      </c>
      <c r="X25" s="41">
        <f>(H25/$P25)</f>
        <v/>
      </c>
      <c r="Y25" s="41">
        <f>(I25/$P25)</f>
        <v/>
      </c>
      <c r="Z25" s="41">
        <f>(J25/$P25)</f>
        <v/>
      </c>
      <c r="AA25" s="41">
        <f>(K25/P25)</f>
        <v/>
      </c>
      <c r="AB25" s="41">
        <f>(L25/$P25)</f>
        <v/>
      </c>
      <c r="AC25" s="41">
        <f>(M25/$P25)</f>
        <v/>
      </c>
      <c r="AD25" s="41">
        <f>(N25/$P25)</f>
        <v/>
      </c>
      <c r="AE25" s="41">
        <f>(O25/$P25)</f>
        <v/>
      </c>
      <c r="AF25" s="60">
        <f>SUM(R25:AE25)</f>
        <v/>
      </c>
      <c r="AG25" s="41">
        <f>T25+U25+V25</f>
        <v/>
      </c>
      <c r="AH25" s="41">
        <f>SUM(W25:AD25)</f>
        <v/>
      </c>
      <c r="AI25" s="42">
        <f>AE25+AH25</f>
        <v/>
      </c>
      <c r="AJ25" s="41">
        <f>AI25+AG25</f>
        <v/>
      </c>
      <c r="AK25" s="41" t="n"/>
      <c r="AL25" s="41" t="n"/>
    </row>
    <row r="26" hidden="1" ht="15.75" customHeight="1" s="259">
      <c r="A26" s="8" t="n">
        <v>44865</v>
      </c>
      <c r="B26" t="n">
        <v>14.76</v>
      </c>
      <c r="C26" t="n">
        <v>1.58</v>
      </c>
      <c r="D26" t="n">
        <v>1.9</v>
      </c>
      <c r="E26" t="n">
        <v>1.06</v>
      </c>
      <c r="F26" t="n">
        <v>1</v>
      </c>
      <c r="G26" t="n">
        <v>0.04</v>
      </c>
      <c r="H26" t="n">
        <v>0.04</v>
      </c>
      <c r="J26" t="n">
        <v>0.06</v>
      </c>
      <c r="O26" t="n">
        <v>1.18</v>
      </c>
      <c r="P26">
        <f>SUM(B26:O26)</f>
        <v/>
      </c>
      <c r="R26" s="41">
        <f>(B26/$P26)</f>
        <v/>
      </c>
      <c r="S26" s="41">
        <f>(C26/$P26)</f>
        <v/>
      </c>
      <c r="T26" s="41">
        <f>(D26/$P26)</f>
        <v/>
      </c>
      <c r="U26" s="41">
        <f>(E26/$P26)</f>
        <v/>
      </c>
      <c r="V26" s="41">
        <f>(F26/$P26)</f>
        <v/>
      </c>
      <c r="W26" s="41">
        <f>(G26/$P26)</f>
        <v/>
      </c>
      <c r="X26" s="41">
        <f>(H26/$P26)</f>
        <v/>
      </c>
      <c r="Y26" s="41">
        <f>(I26/$P26)</f>
        <v/>
      </c>
      <c r="Z26" s="41">
        <f>(J26/$P26)</f>
        <v/>
      </c>
      <c r="AA26" s="41">
        <f>(K26/P26)</f>
        <v/>
      </c>
      <c r="AB26" s="41">
        <f>(L26/$P26)</f>
        <v/>
      </c>
      <c r="AC26" s="41">
        <f>(M26/$P26)</f>
        <v/>
      </c>
      <c r="AD26" s="41">
        <f>(N26/$P26)</f>
        <v/>
      </c>
      <c r="AE26" s="41">
        <f>(O26/$P26)</f>
        <v/>
      </c>
      <c r="AF26" s="60">
        <f>SUM(R26:AE26)</f>
        <v/>
      </c>
      <c r="AG26" s="41">
        <f>T26+U26+V26</f>
        <v/>
      </c>
      <c r="AH26" s="41">
        <f>SUM(W26:AD26)</f>
        <v/>
      </c>
      <c r="AI26" s="42">
        <f>AE26+AH26</f>
        <v/>
      </c>
      <c r="AJ26" s="41">
        <f>AI26+AG26</f>
        <v/>
      </c>
      <c r="AK26" s="41" t="n"/>
      <c r="AL26" s="41" t="n"/>
    </row>
    <row r="27" hidden="1" ht="15.75" customHeight="1" s="259">
      <c r="A27" s="8" t="n">
        <v>44872</v>
      </c>
      <c r="B27" t="n">
        <v>16.44</v>
      </c>
      <c r="C27" t="n">
        <v>0.76</v>
      </c>
      <c r="D27" t="n">
        <v>0.9</v>
      </c>
      <c r="E27" t="n">
        <v>2.12</v>
      </c>
      <c r="F27" t="n">
        <v>0.58</v>
      </c>
      <c r="H27" t="n">
        <v>0.04</v>
      </c>
      <c r="J27" t="n">
        <v>0.02</v>
      </c>
      <c r="O27" t="n">
        <v>0.9399999999999999</v>
      </c>
      <c r="P27">
        <f>SUM(B27:O27)</f>
        <v/>
      </c>
      <c r="R27" s="41">
        <f>(B27/$P27)</f>
        <v/>
      </c>
      <c r="S27" s="41">
        <f>(C27/$P27)</f>
        <v/>
      </c>
      <c r="T27" s="41">
        <f>(D27/$P27)</f>
        <v/>
      </c>
      <c r="U27" s="41">
        <f>(E27/$P27)</f>
        <v/>
      </c>
      <c r="V27" s="41">
        <f>(F27/$P27)</f>
        <v/>
      </c>
      <c r="W27" s="41">
        <f>(G27/$P27)</f>
        <v/>
      </c>
      <c r="X27" s="41">
        <f>(H27/$P27)</f>
        <v/>
      </c>
      <c r="Y27" s="41">
        <f>(I27/$P27)</f>
        <v/>
      </c>
      <c r="Z27" s="41">
        <f>(J27/$P27)</f>
        <v/>
      </c>
      <c r="AA27" s="41">
        <f>(K27/P27)</f>
        <v/>
      </c>
      <c r="AB27" s="41">
        <f>(L27/$P27)</f>
        <v/>
      </c>
      <c r="AC27" s="41">
        <f>(M27/$P27)</f>
        <v/>
      </c>
      <c r="AD27" s="41">
        <f>(N27/$P27)</f>
        <v/>
      </c>
      <c r="AE27" s="41">
        <f>(O27/$P27)</f>
        <v/>
      </c>
      <c r="AF27" s="60">
        <f>SUM(R27:AE27)</f>
        <v/>
      </c>
      <c r="AG27" s="41">
        <f>T27+U27+V27</f>
        <v/>
      </c>
      <c r="AH27" s="41">
        <f>SUM(W27:AD27)</f>
        <v/>
      </c>
      <c r="AI27" s="42">
        <f>AE27+AH27</f>
        <v/>
      </c>
      <c r="AJ27" s="41">
        <f>AI27+AG27</f>
        <v/>
      </c>
      <c r="AK27" s="41" t="n"/>
      <c r="AL27" s="41" t="n"/>
    </row>
    <row r="28" hidden="1" ht="15.75" customHeight="1" s="259">
      <c r="A28" s="8" t="n">
        <v>44873</v>
      </c>
      <c r="B28" t="n">
        <v>8.16</v>
      </c>
      <c r="C28" t="n">
        <v>1.78</v>
      </c>
      <c r="D28" t="n">
        <v>1.08</v>
      </c>
      <c r="E28" t="n">
        <v>0.54</v>
      </c>
      <c r="F28" t="n">
        <v>0.48</v>
      </c>
      <c r="G28" t="n">
        <v>0.1</v>
      </c>
      <c r="H28" t="n">
        <v>0.08</v>
      </c>
      <c r="J28" t="n">
        <v>0.08</v>
      </c>
      <c r="O28" t="n">
        <v>0.24</v>
      </c>
      <c r="P28">
        <f>SUM(B28:O28)</f>
        <v/>
      </c>
      <c r="R28" s="41">
        <f>(B28/$P28)</f>
        <v/>
      </c>
      <c r="S28" s="41">
        <f>(C28/$P28)</f>
        <v/>
      </c>
      <c r="T28" s="41">
        <f>(D28/$P28)</f>
        <v/>
      </c>
      <c r="U28" s="41">
        <f>(E28/$P28)</f>
        <v/>
      </c>
      <c r="V28" s="41">
        <f>(F28/$P28)</f>
        <v/>
      </c>
      <c r="W28" s="41">
        <f>(G28/$P28)</f>
        <v/>
      </c>
      <c r="X28" s="41">
        <f>(H28/$P28)</f>
        <v/>
      </c>
      <c r="Y28" s="41">
        <f>(I28/$P28)</f>
        <v/>
      </c>
      <c r="Z28" s="41">
        <f>(J28/$P28)</f>
        <v/>
      </c>
      <c r="AA28" s="41">
        <f>(K28/P28)</f>
        <v/>
      </c>
      <c r="AB28" s="41">
        <f>(L28/$P28)</f>
        <v/>
      </c>
      <c r="AC28" s="41">
        <f>(M28/$P28)</f>
        <v/>
      </c>
      <c r="AD28" s="41">
        <f>(N28/$P28)</f>
        <v/>
      </c>
      <c r="AE28" s="41">
        <f>(O28/$P28)</f>
        <v/>
      </c>
      <c r="AF28" s="60">
        <f>SUM(R28:AE28)</f>
        <v/>
      </c>
      <c r="AG28" s="41">
        <f>T28+U28+V28</f>
        <v/>
      </c>
      <c r="AH28" s="41">
        <f>SUM(W28:AD28)</f>
        <v/>
      </c>
      <c r="AI28" s="42">
        <f>AE28+AH28</f>
        <v/>
      </c>
      <c r="AJ28" s="41">
        <f>AI28+AG28</f>
        <v/>
      </c>
      <c r="AK28" s="41" t="n"/>
      <c r="AL28" s="41" t="n"/>
    </row>
    <row r="29" hidden="1" ht="15.75" customHeight="1" s="259">
      <c r="A29" s="8" t="n">
        <v>44880</v>
      </c>
      <c r="B29" t="n">
        <v>20.08</v>
      </c>
      <c r="C29" t="n">
        <v>2.16</v>
      </c>
      <c r="D29" t="n">
        <v>1.44</v>
      </c>
      <c r="E29" t="n">
        <v>0.8</v>
      </c>
      <c r="F29" t="n">
        <v>0.4</v>
      </c>
      <c r="G29" t="n">
        <v>0.3</v>
      </c>
      <c r="H29" t="n">
        <v>0.04</v>
      </c>
      <c r="I29" t="n">
        <v>0.08</v>
      </c>
      <c r="J29" t="n">
        <v>0.04</v>
      </c>
      <c r="O29" t="n">
        <v>1.3</v>
      </c>
      <c r="P29">
        <f>SUM(B29:O29)</f>
        <v/>
      </c>
      <c r="R29" s="41">
        <f>(B29/$P29)</f>
        <v/>
      </c>
      <c r="S29" s="41">
        <f>(C29/$P29)</f>
        <v/>
      </c>
      <c r="T29" s="41">
        <f>(D29/$P29)</f>
        <v/>
      </c>
      <c r="U29" s="41">
        <f>(E29/$P29)</f>
        <v/>
      </c>
      <c r="V29" s="41">
        <f>(F29/$P29)</f>
        <v/>
      </c>
      <c r="W29" s="41">
        <f>(G29/$P29)</f>
        <v/>
      </c>
      <c r="X29" s="41">
        <f>(H29/$P29)</f>
        <v/>
      </c>
      <c r="Y29" s="41">
        <f>(I29/$P29)</f>
        <v/>
      </c>
      <c r="Z29" s="41">
        <f>(J29/$P29)</f>
        <v/>
      </c>
      <c r="AA29" s="41">
        <f>(K29/P29)</f>
        <v/>
      </c>
      <c r="AB29" s="41">
        <f>(L29/$P29)</f>
        <v/>
      </c>
      <c r="AC29" s="41">
        <f>(M29/$P29)</f>
        <v/>
      </c>
      <c r="AD29" s="41">
        <f>(N29/$P29)</f>
        <v/>
      </c>
      <c r="AE29" s="41">
        <f>(O29/$P29)</f>
        <v/>
      </c>
      <c r="AF29" s="60">
        <f>SUM(R29:AE29)</f>
        <v/>
      </c>
      <c r="AG29" s="41">
        <f>T29+U29+V29</f>
        <v/>
      </c>
      <c r="AH29" s="41">
        <f>SUM(W29:AD29)</f>
        <v/>
      </c>
      <c r="AI29" s="42">
        <f>AE29+AH29</f>
        <v/>
      </c>
      <c r="AJ29" s="41">
        <f>AI29+AG29</f>
        <v/>
      </c>
      <c r="AK29" s="41" t="n"/>
      <c r="AL29" s="41" t="n"/>
    </row>
    <row r="30" hidden="1" ht="15.75" customHeight="1" s="259">
      <c r="A30" s="8" t="n">
        <v>44882</v>
      </c>
      <c r="B30" t="n">
        <v>22.4</v>
      </c>
      <c r="C30" t="n">
        <v>1.22</v>
      </c>
      <c r="D30" t="n">
        <v>0.42</v>
      </c>
      <c r="E30" t="n">
        <v>1.26</v>
      </c>
      <c r="F30" t="n">
        <v>0.38</v>
      </c>
      <c r="G30" t="n">
        <v>0.06</v>
      </c>
      <c r="O30" t="n">
        <v>0.34</v>
      </c>
      <c r="P30">
        <f>SUM(B30:O30)</f>
        <v/>
      </c>
      <c r="R30" s="41">
        <f>(B30/$P30)</f>
        <v/>
      </c>
      <c r="S30" s="41">
        <f>(C30/$P30)</f>
        <v/>
      </c>
      <c r="T30" s="41">
        <f>(D30/$P30)</f>
        <v/>
      </c>
      <c r="U30" s="41">
        <f>(E30/$P30)</f>
        <v/>
      </c>
      <c r="V30" s="41">
        <f>(F30/$P30)</f>
        <v/>
      </c>
      <c r="W30" s="41">
        <f>(G30/$P30)</f>
        <v/>
      </c>
      <c r="X30" s="41">
        <f>(H30/$P30)</f>
        <v/>
      </c>
      <c r="Y30" s="41">
        <f>(I30/$P30)</f>
        <v/>
      </c>
      <c r="Z30" s="41">
        <f>(J30/$P30)</f>
        <v/>
      </c>
      <c r="AA30" s="41">
        <f>(K30/P30)</f>
        <v/>
      </c>
      <c r="AB30" s="41">
        <f>(L30/$P30)</f>
        <v/>
      </c>
      <c r="AC30" s="41">
        <f>(M30/$P30)</f>
        <v/>
      </c>
      <c r="AD30" s="41">
        <f>(N30/$P30)</f>
        <v/>
      </c>
      <c r="AE30" s="41">
        <f>(O30/$P30)</f>
        <v/>
      </c>
      <c r="AF30" s="60">
        <f>SUM(R30:AE30)</f>
        <v/>
      </c>
      <c r="AG30" s="41">
        <f>T30+U30+V30</f>
        <v/>
      </c>
      <c r="AH30" s="41">
        <f>SUM(W30:AD30)</f>
        <v/>
      </c>
      <c r="AI30" s="42">
        <f>AE30+AH30</f>
        <v/>
      </c>
      <c r="AJ30" s="41">
        <f>AI30+AG30</f>
        <v/>
      </c>
      <c r="AK30" s="41" t="n"/>
      <c r="AL30" s="41" t="n"/>
    </row>
    <row r="31" hidden="1" ht="15.75" customHeight="1" s="259">
      <c r="A31" s="8" t="n">
        <v>44887</v>
      </c>
      <c r="B31" t="n">
        <v>15.02</v>
      </c>
      <c r="C31" t="n">
        <v>0.9</v>
      </c>
      <c r="D31" t="n">
        <v>0.88</v>
      </c>
      <c r="E31" t="n">
        <v>0.78</v>
      </c>
      <c r="F31" t="n">
        <v>0.62</v>
      </c>
      <c r="G31" t="n">
        <v>0.18</v>
      </c>
      <c r="H31" t="n">
        <v>0.1</v>
      </c>
      <c r="L31" t="n">
        <v>0.04</v>
      </c>
      <c r="O31" t="n">
        <v>1.06</v>
      </c>
      <c r="P31">
        <f>SUM(B31:O31)</f>
        <v/>
      </c>
      <c r="R31" s="41">
        <f>(B31/$P31)</f>
        <v/>
      </c>
      <c r="S31" s="41">
        <f>(C31/$P31)</f>
        <v/>
      </c>
      <c r="T31" s="41">
        <f>(D31/$P31)</f>
        <v/>
      </c>
      <c r="U31" s="41">
        <f>(E31/$P31)</f>
        <v/>
      </c>
      <c r="V31" s="41">
        <f>(F31/$P31)</f>
        <v/>
      </c>
      <c r="W31" s="41">
        <f>(G31/$P31)</f>
        <v/>
      </c>
      <c r="X31" s="41">
        <f>(H31/$P31)</f>
        <v/>
      </c>
      <c r="Y31" s="41">
        <f>(I31/$P31)</f>
        <v/>
      </c>
      <c r="Z31" s="41">
        <f>(J31/$P31)</f>
        <v/>
      </c>
      <c r="AA31" s="41">
        <f>(K31/P31)</f>
        <v/>
      </c>
      <c r="AB31" s="41">
        <f>(L31/$P31)</f>
        <v/>
      </c>
      <c r="AC31" s="41">
        <f>(M31/$P31)</f>
        <v/>
      </c>
      <c r="AD31" s="41">
        <f>(N31/$P31)</f>
        <v/>
      </c>
      <c r="AE31" s="41">
        <f>(O31/$P31)</f>
        <v/>
      </c>
      <c r="AF31" s="60">
        <f>SUM(R31:AE31)</f>
        <v/>
      </c>
      <c r="AG31" s="41">
        <f>T31+U31+V31</f>
        <v/>
      </c>
      <c r="AH31" s="41">
        <f>SUM(W31:AD31)</f>
        <v/>
      </c>
      <c r="AI31" s="42">
        <f>AE31+AH31</f>
        <v/>
      </c>
      <c r="AJ31" s="41">
        <f>AI31+AG31</f>
        <v/>
      </c>
      <c r="AK31" s="41" t="n"/>
      <c r="AL31" s="41" t="n"/>
    </row>
    <row r="32" hidden="1" ht="15.75" customHeight="1" s="259">
      <c r="A32" s="8" t="n">
        <v>44889</v>
      </c>
      <c r="B32" t="n">
        <v>13.9</v>
      </c>
      <c r="C32" t="n">
        <v>1.2</v>
      </c>
      <c r="D32" t="n">
        <v>1.18</v>
      </c>
      <c r="E32" t="n">
        <v>1.1</v>
      </c>
      <c r="F32" t="n">
        <v>0.34</v>
      </c>
      <c r="H32" t="n">
        <v>0.08</v>
      </c>
      <c r="J32" t="n">
        <v>0.08</v>
      </c>
      <c r="O32" t="n">
        <v>1.1</v>
      </c>
      <c r="P32">
        <f>SUM(B32:O32)</f>
        <v/>
      </c>
      <c r="R32" s="41">
        <f>(B32/$P32)</f>
        <v/>
      </c>
      <c r="S32" s="41">
        <f>(C32/$P32)</f>
        <v/>
      </c>
      <c r="T32" s="41">
        <f>(D32/$P32)</f>
        <v/>
      </c>
      <c r="U32" s="41">
        <f>(E32/$P32)</f>
        <v/>
      </c>
      <c r="V32" s="41">
        <f>(F32/$P32)</f>
        <v/>
      </c>
      <c r="W32" s="41">
        <f>(G32/$P32)</f>
        <v/>
      </c>
      <c r="X32" s="41">
        <f>(H32/$P32)</f>
        <v/>
      </c>
      <c r="Y32" s="41">
        <f>(I32/$P32)</f>
        <v/>
      </c>
      <c r="Z32" s="41">
        <f>(J32/$P32)</f>
        <v/>
      </c>
      <c r="AA32" s="41">
        <f>(K32/P32)</f>
        <v/>
      </c>
      <c r="AB32" s="41">
        <f>(L32/$P32)</f>
        <v/>
      </c>
      <c r="AC32" s="41">
        <f>(M32/$P32)</f>
        <v/>
      </c>
      <c r="AD32" s="41">
        <f>(N32/$P32)</f>
        <v/>
      </c>
      <c r="AE32" s="41">
        <f>(O32/$P32)</f>
        <v/>
      </c>
      <c r="AF32" s="60">
        <f>SUM(R32:AE32)</f>
        <v/>
      </c>
      <c r="AG32" s="41">
        <f>T32+U32+V32</f>
        <v/>
      </c>
      <c r="AH32" s="41">
        <f>SUM(W32:AD32)</f>
        <v/>
      </c>
      <c r="AI32" s="42">
        <f>AE32+AH32</f>
        <v/>
      </c>
      <c r="AJ32" s="41">
        <f>AI32+AG32</f>
        <v/>
      </c>
      <c r="AK32" s="41" t="n"/>
      <c r="AL32" s="41" t="n"/>
    </row>
    <row r="33" hidden="1" ht="15.75" customHeight="1" s="259">
      <c r="A33" s="8" t="n">
        <v>44890</v>
      </c>
      <c r="B33" t="n">
        <v>15.8</v>
      </c>
      <c r="C33" t="n">
        <v>2.24</v>
      </c>
      <c r="D33" t="n">
        <v>1</v>
      </c>
      <c r="E33" t="n">
        <v>1.5</v>
      </c>
      <c r="F33" t="n">
        <v>0.4</v>
      </c>
      <c r="G33" t="n">
        <v>0.08</v>
      </c>
      <c r="H33" t="n">
        <v>0.06</v>
      </c>
      <c r="L33" t="n">
        <v>0.02</v>
      </c>
      <c r="O33" t="n">
        <v>1.36</v>
      </c>
      <c r="P33">
        <f>SUM(B33:O33)</f>
        <v/>
      </c>
      <c r="R33" s="41">
        <f>(B33/$P33)</f>
        <v/>
      </c>
      <c r="S33" s="41">
        <f>(C33/$P33)</f>
        <v/>
      </c>
      <c r="T33" s="41">
        <f>(D33/$P33)</f>
        <v/>
      </c>
      <c r="U33" s="41">
        <f>(E33/$P33)</f>
        <v/>
      </c>
      <c r="V33" s="41">
        <f>(F33/$P33)</f>
        <v/>
      </c>
      <c r="W33" s="41">
        <f>(G33/$P33)</f>
        <v/>
      </c>
      <c r="X33" s="41">
        <f>(H33/$P33)</f>
        <v/>
      </c>
      <c r="Y33" s="41">
        <f>(I33/$P33)</f>
        <v/>
      </c>
      <c r="Z33" s="41">
        <f>(J33/$P33)</f>
        <v/>
      </c>
      <c r="AA33" s="41">
        <f>(K33/P33)</f>
        <v/>
      </c>
      <c r="AB33" s="41">
        <f>(L33/$P33)</f>
        <v/>
      </c>
      <c r="AC33" s="41">
        <f>(M33/$P33)</f>
        <v/>
      </c>
      <c r="AD33" s="41">
        <f>(N33/$P33)</f>
        <v/>
      </c>
      <c r="AE33" s="41">
        <f>(O33/$P33)</f>
        <v/>
      </c>
      <c r="AF33" s="60">
        <f>SUM(R33:AE33)</f>
        <v/>
      </c>
      <c r="AG33" s="41">
        <f>T33+U33+V33</f>
        <v/>
      </c>
      <c r="AH33" s="41">
        <f>SUM(W33:AD33)</f>
        <v/>
      </c>
      <c r="AI33" s="42">
        <f>AE33+AH33</f>
        <v/>
      </c>
      <c r="AJ33" s="41">
        <f>AI33+AG33</f>
        <v/>
      </c>
      <c r="AK33" s="41" t="n"/>
      <c r="AL33" s="41" t="n"/>
    </row>
    <row r="34" hidden="1" ht="15.75" customHeight="1" s="259">
      <c r="A34" s="8" t="n">
        <v>44898</v>
      </c>
      <c r="B34" t="n">
        <v>21.74</v>
      </c>
      <c r="C34" t="n">
        <v>0.6</v>
      </c>
      <c r="D34" t="n">
        <v>1.92</v>
      </c>
      <c r="F34" t="n">
        <v>0.52</v>
      </c>
      <c r="H34" t="n">
        <v>0.02</v>
      </c>
      <c r="J34" t="n">
        <v>0.08</v>
      </c>
      <c r="O34" t="n">
        <v>0.24</v>
      </c>
      <c r="P34">
        <f>SUM(B34:O34)</f>
        <v/>
      </c>
      <c r="R34" s="41">
        <f>(B34/$P34)</f>
        <v/>
      </c>
      <c r="S34" s="41">
        <f>(C34/$P34)</f>
        <v/>
      </c>
      <c r="T34" s="41">
        <f>(D34/$P34)</f>
        <v/>
      </c>
      <c r="U34" s="41">
        <f>(E34/$P34)</f>
        <v/>
      </c>
      <c r="V34" s="41">
        <f>(F34/$P34)</f>
        <v/>
      </c>
      <c r="W34" s="41">
        <f>(G34/$P34)</f>
        <v/>
      </c>
      <c r="X34" s="41">
        <f>(H34/$P34)</f>
        <v/>
      </c>
      <c r="Y34" s="41">
        <f>(I34/$P34)</f>
        <v/>
      </c>
      <c r="Z34" s="41">
        <f>(J34/$P34)</f>
        <v/>
      </c>
      <c r="AA34" s="41">
        <f>(K34/P34)</f>
        <v/>
      </c>
      <c r="AB34" s="41">
        <f>(L34/$P34)</f>
        <v/>
      </c>
      <c r="AC34" s="41">
        <f>(M34/$P34)</f>
        <v/>
      </c>
      <c r="AD34" s="41">
        <f>(N34/$P34)</f>
        <v/>
      </c>
      <c r="AE34" s="41">
        <f>(O34/$P34)</f>
        <v/>
      </c>
      <c r="AF34" s="60">
        <f>SUM(R34:AE34)</f>
        <v/>
      </c>
      <c r="AG34" s="41">
        <f>T34+U34+V34</f>
        <v/>
      </c>
      <c r="AH34" s="41">
        <f>SUM(W34:AD34)</f>
        <v/>
      </c>
      <c r="AI34" s="42">
        <f>AE34+AH34</f>
        <v/>
      </c>
      <c r="AJ34" s="41">
        <f>AI34+AG34</f>
        <v/>
      </c>
      <c r="AK34" s="41" t="n"/>
      <c r="AL34" s="41" t="n"/>
    </row>
    <row r="35" hidden="1" ht="15.75" customHeight="1" s="259">
      <c r="A35" s="8" t="n">
        <v>44900</v>
      </c>
      <c r="B35" t="n">
        <v>22.54</v>
      </c>
      <c r="C35" t="n">
        <v>0.6</v>
      </c>
      <c r="D35" t="n">
        <v>0.18</v>
      </c>
      <c r="F35" t="n">
        <v>0.18</v>
      </c>
      <c r="H35" t="n">
        <v>0.04</v>
      </c>
      <c r="J35" t="n">
        <v>0.02</v>
      </c>
      <c r="L35" t="n">
        <v>0.02</v>
      </c>
      <c r="N35" t="n">
        <v>0.06</v>
      </c>
      <c r="O35" t="n">
        <v>0.16</v>
      </c>
      <c r="P35">
        <f>SUM(B35:O35)</f>
        <v/>
      </c>
      <c r="R35" s="41">
        <f>(B35/$P35)</f>
        <v/>
      </c>
      <c r="S35" s="41">
        <f>(C35/$P35)</f>
        <v/>
      </c>
      <c r="T35" s="41">
        <f>(D35/$P35)</f>
        <v/>
      </c>
      <c r="U35" s="41">
        <f>(E35/$P35)</f>
        <v/>
      </c>
      <c r="V35" s="41">
        <f>(F35/$P35)</f>
        <v/>
      </c>
      <c r="W35" s="41">
        <f>(G35/$P35)</f>
        <v/>
      </c>
      <c r="X35" s="41">
        <f>(H35/$P35)</f>
        <v/>
      </c>
      <c r="Y35" s="41">
        <f>(I35/$P35)</f>
        <v/>
      </c>
      <c r="Z35" s="41">
        <f>(J35/$P35)</f>
        <v/>
      </c>
      <c r="AA35" s="41">
        <f>(K35/P35)</f>
        <v/>
      </c>
      <c r="AB35" s="41">
        <f>(L35/$P35)</f>
        <v/>
      </c>
      <c r="AC35" s="41">
        <f>(M35/$P35)</f>
        <v/>
      </c>
      <c r="AD35" s="41">
        <f>(N35/$P35)</f>
        <v/>
      </c>
      <c r="AE35" s="41">
        <f>(O35/$P35)</f>
        <v/>
      </c>
      <c r="AF35" s="60">
        <f>SUM(R35:AE35)</f>
        <v/>
      </c>
      <c r="AG35" s="41">
        <f>T35+U35+V35</f>
        <v/>
      </c>
      <c r="AH35" s="41">
        <f>SUM(W35:AD35)</f>
        <v/>
      </c>
      <c r="AI35" s="42">
        <f>AE35+AH35</f>
        <v/>
      </c>
      <c r="AJ35" s="41">
        <f>AI35+AG35</f>
        <v/>
      </c>
      <c r="AK35" s="41" t="n"/>
      <c r="AL35" s="41" t="n"/>
    </row>
    <row r="36" hidden="1" ht="15.75" customHeight="1" s="259">
      <c r="A36" s="8" t="n">
        <v>44902</v>
      </c>
      <c r="B36" t="n">
        <v>13.6</v>
      </c>
      <c r="C36" t="n">
        <v>1.4</v>
      </c>
      <c r="D36" t="n">
        <v>0.98</v>
      </c>
      <c r="E36" t="n">
        <v>1.24</v>
      </c>
      <c r="F36" t="n">
        <v>0.52</v>
      </c>
      <c r="G36" t="n">
        <v>0.02</v>
      </c>
      <c r="H36" t="n">
        <v>0.14</v>
      </c>
      <c r="I36" t="n">
        <v>0.04</v>
      </c>
      <c r="J36" t="n">
        <v>0.06</v>
      </c>
      <c r="L36" t="n">
        <v>0.02</v>
      </c>
      <c r="O36" t="n">
        <v>1.44</v>
      </c>
      <c r="P36">
        <f>SUM(B36:O36)</f>
        <v/>
      </c>
      <c r="R36" s="41">
        <f>(B36/$P36)</f>
        <v/>
      </c>
      <c r="S36" s="41">
        <f>(C36/$P36)</f>
        <v/>
      </c>
      <c r="T36" s="41">
        <f>(D36/$P36)</f>
        <v/>
      </c>
      <c r="U36" s="41">
        <f>(E36/$P36)</f>
        <v/>
      </c>
      <c r="V36" s="41">
        <f>(F36/$P36)</f>
        <v/>
      </c>
      <c r="W36" s="41">
        <f>(G36/$P36)</f>
        <v/>
      </c>
      <c r="X36" s="41">
        <f>(H36/$P36)</f>
        <v/>
      </c>
      <c r="Y36" s="41">
        <f>(I36/$P36)</f>
        <v/>
      </c>
      <c r="Z36" s="41">
        <f>(J36/$P36)</f>
        <v/>
      </c>
      <c r="AA36" s="41">
        <f>(K36/P36)</f>
        <v/>
      </c>
      <c r="AB36" s="41">
        <f>(L36/$P36)</f>
        <v/>
      </c>
      <c r="AC36" s="41">
        <f>(M36/$P36)</f>
        <v/>
      </c>
      <c r="AD36" s="41">
        <f>(N36/$P36)</f>
        <v/>
      </c>
      <c r="AE36" s="41">
        <f>(O36/$P36)</f>
        <v/>
      </c>
      <c r="AF36" s="60">
        <f>SUM(R36:AE36)</f>
        <v/>
      </c>
      <c r="AG36" s="41">
        <f>T36+U36+V36</f>
        <v/>
      </c>
      <c r="AH36" s="41">
        <f>SUM(W36:AD36)</f>
        <v/>
      </c>
      <c r="AI36" s="42">
        <f>AE36+AH36</f>
        <v/>
      </c>
      <c r="AJ36" s="41">
        <f>AI36+AG36</f>
        <v/>
      </c>
      <c r="AK36" s="41" t="n"/>
      <c r="AL36" s="41" t="n"/>
    </row>
    <row r="37" hidden="1" ht="15.75" customHeight="1" s="259">
      <c r="A37" s="8" t="n">
        <v>44903</v>
      </c>
      <c r="B37" t="n">
        <v>13.88</v>
      </c>
      <c r="C37" t="n">
        <v>1.2</v>
      </c>
      <c r="D37" t="n">
        <v>0.72</v>
      </c>
      <c r="E37" t="n">
        <v>0.82</v>
      </c>
      <c r="F37" t="n">
        <v>0.42</v>
      </c>
      <c r="H37" t="n">
        <v>0.06</v>
      </c>
      <c r="J37" t="n">
        <v>0.04</v>
      </c>
      <c r="O37" t="n">
        <v>1</v>
      </c>
      <c r="P37">
        <f>SUM(B37:O37)</f>
        <v/>
      </c>
      <c r="R37" s="41">
        <f>(B37/$P37)</f>
        <v/>
      </c>
      <c r="S37" s="41">
        <f>(C37/$P37)</f>
        <v/>
      </c>
      <c r="T37" s="41">
        <f>(D37/$P37)</f>
        <v/>
      </c>
      <c r="U37" s="41">
        <f>(E37/$P37)</f>
        <v/>
      </c>
      <c r="V37" s="41">
        <f>(F37/$P37)</f>
        <v/>
      </c>
      <c r="W37" s="41">
        <f>(G37/$P37)</f>
        <v/>
      </c>
      <c r="X37" s="41">
        <f>(H37/$P37)</f>
        <v/>
      </c>
      <c r="Y37" s="41">
        <f>(I37/$P37)</f>
        <v/>
      </c>
      <c r="Z37" s="41">
        <f>(J37/$P37)</f>
        <v/>
      </c>
      <c r="AA37" s="41">
        <f>(K37/P37)</f>
        <v/>
      </c>
      <c r="AB37" s="41">
        <f>(L37/$P37)</f>
        <v/>
      </c>
      <c r="AC37" s="41">
        <f>(M37/$P37)</f>
        <v/>
      </c>
      <c r="AD37" s="41">
        <f>(N37/$P37)</f>
        <v/>
      </c>
      <c r="AE37" s="41">
        <f>(O37/$P37)</f>
        <v/>
      </c>
      <c r="AF37" s="60">
        <f>SUM(R37:AE37)</f>
        <v/>
      </c>
      <c r="AG37" s="41">
        <f>T37+U37+V37</f>
        <v/>
      </c>
      <c r="AH37" s="41">
        <f>SUM(W37:AD37)</f>
        <v/>
      </c>
      <c r="AI37" s="42">
        <f>AE37+AH37</f>
        <v/>
      </c>
      <c r="AJ37" s="41">
        <f>AI37+AG37</f>
        <v/>
      </c>
      <c r="AK37" s="41" t="n"/>
      <c r="AL37" s="41" t="n"/>
    </row>
    <row r="38" hidden="1" ht="15.75" customHeight="1" s="259">
      <c r="A38" s="8" t="n">
        <v>44908</v>
      </c>
      <c r="B38" t="n">
        <v>16.94</v>
      </c>
      <c r="C38" t="n">
        <v>0.96</v>
      </c>
      <c r="D38" t="n">
        <v>0.26</v>
      </c>
      <c r="E38" t="n">
        <v>0.3</v>
      </c>
      <c r="F38" t="n">
        <v>0.3</v>
      </c>
      <c r="J38" t="n">
        <v>0.12</v>
      </c>
      <c r="O38" t="n">
        <v>0.6</v>
      </c>
      <c r="P38">
        <f>SUM(B38:O38)</f>
        <v/>
      </c>
      <c r="R38" s="41">
        <f>(B38/$P38)</f>
        <v/>
      </c>
      <c r="S38" s="41">
        <f>(C38/$P38)</f>
        <v/>
      </c>
      <c r="T38" s="41">
        <f>(D38/$P38)</f>
        <v/>
      </c>
      <c r="U38" s="41">
        <f>(E38/$P38)</f>
        <v/>
      </c>
      <c r="V38" s="41">
        <f>(F38/$P38)</f>
        <v/>
      </c>
      <c r="W38" s="41">
        <f>(G38/$P38)</f>
        <v/>
      </c>
      <c r="X38" s="41">
        <f>(H38/$P38)</f>
        <v/>
      </c>
      <c r="Y38" s="41">
        <f>(I38/$P38)</f>
        <v/>
      </c>
      <c r="Z38" s="41">
        <f>(J38/$P38)</f>
        <v/>
      </c>
      <c r="AA38" s="41">
        <f>(K38/P38)</f>
        <v/>
      </c>
      <c r="AB38" s="41">
        <f>(L38/$P38)</f>
        <v/>
      </c>
      <c r="AC38" s="41">
        <f>(M38/$P38)</f>
        <v/>
      </c>
      <c r="AD38" s="41">
        <f>(N38/$P38)</f>
        <v/>
      </c>
      <c r="AE38" s="41">
        <f>(O38/$P38)</f>
        <v/>
      </c>
      <c r="AF38" s="60">
        <f>SUM(R38:AE38)</f>
        <v/>
      </c>
      <c r="AG38" s="41">
        <f>T38+U38+V38</f>
        <v/>
      </c>
      <c r="AH38" s="41">
        <f>SUM(W38:AD38)</f>
        <v/>
      </c>
      <c r="AI38" s="42">
        <f>AE38+AH38</f>
        <v/>
      </c>
      <c r="AJ38" s="41">
        <f>AI38+AG38</f>
        <v/>
      </c>
      <c r="AK38" s="41" t="n"/>
      <c r="AL38" s="41" t="n"/>
    </row>
    <row r="39" hidden="1" ht="15.75" customHeight="1" s="259">
      <c r="A39" s="8" t="n">
        <v>44909</v>
      </c>
      <c r="B39" t="n">
        <v>23.28</v>
      </c>
      <c r="C39" t="n">
        <v>1.02</v>
      </c>
      <c r="D39" t="n">
        <v>0.62</v>
      </c>
      <c r="E39" t="n">
        <v>1.36</v>
      </c>
      <c r="F39" t="n">
        <v>0.46</v>
      </c>
      <c r="H39" t="n">
        <v>0.08</v>
      </c>
      <c r="J39" t="n">
        <v>0.14</v>
      </c>
      <c r="L39" t="n">
        <v>0.16</v>
      </c>
      <c r="O39" t="n">
        <v>0.58</v>
      </c>
      <c r="P39">
        <f>SUM(B39:O39)</f>
        <v/>
      </c>
      <c r="R39" s="41">
        <f>(B39/$P39)</f>
        <v/>
      </c>
      <c r="S39" s="41">
        <f>(C39/$P39)</f>
        <v/>
      </c>
      <c r="T39" s="41">
        <f>(D39/$P39)</f>
        <v/>
      </c>
      <c r="U39" s="41">
        <f>(E39/$P39)</f>
        <v/>
      </c>
      <c r="V39" s="41">
        <f>(F39/$P39)</f>
        <v/>
      </c>
      <c r="W39" s="41">
        <f>(G39/$P39)</f>
        <v/>
      </c>
      <c r="X39" s="41">
        <f>(H39/$P39)</f>
        <v/>
      </c>
      <c r="Y39" s="41">
        <f>(I39/$P39)</f>
        <v/>
      </c>
      <c r="Z39" s="41">
        <f>(J39/$P39)</f>
        <v/>
      </c>
      <c r="AA39" s="41">
        <f>(K39/P39)</f>
        <v/>
      </c>
      <c r="AB39" s="41">
        <f>(L39/$P39)</f>
        <v/>
      </c>
      <c r="AC39" s="41">
        <f>(M39/$P39)</f>
        <v/>
      </c>
      <c r="AD39" s="41">
        <f>(N39/$P39)</f>
        <v/>
      </c>
      <c r="AE39" s="41">
        <f>(O39/$P39)</f>
        <v/>
      </c>
      <c r="AF39" s="60">
        <f>SUM(R39:AE39)</f>
        <v/>
      </c>
      <c r="AG39" s="41">
        <f>T39+U39+V39</f>
        <v/>
      </c>
      <c r="AH39" s="41">
        <f>SUM(W39:AD39)</f>
        <v/>
      </c>
      <c r="AI39" s="42">
        <f>AE39+AH39</f>
        <v/>
      </c>
      <c r="AJ39" s="41">
        <f>AI39+AG39</f>
        <v/>
      </c>
      <c r="AK39" s="41" t="n"/>
      <c r="AL39" s="41" t="n"/>
    </row>
    <row r="40" hidden="1" ht="15.75" customHeight="1" s="259">
      <c r="A40" s="8" t="n">
        <v>44911</v>
      </c>
      <c r="B40" t="n">
        <v>22.88</v>
      </c>
      <c r="C40" t="n">
        <v>0.86</v>
      </c>
      <c r="D40" t="n">
        <v>1.2</v>
      </c>
      <c r="E40" t="n">
        <v>0.6</v>
      </c>
      <c r="F40" t="n">
        <v>0.84</v>
      </c>
      <c r="G40" t="n">
        <v>0.14</v>
      </c>
      <c r="H40" t="n">
        <v>0.08</v>
      </c>
      <c r="J40" t="n">
        <v>0.14</v>
      </c>
      <c r="O40" t="n">
        <v>1.32</v>
      </c>
      <c r="P40">
        <f>SUM(B40:O40)</f>
        <v/>
      </c>
      <c r="R40" s="41">
        <f>(B40/$P40)</f>
        <v/>
      </c>
      <c r="S40" s="41">
        <f>(C40/$P40)</f>
        <v/>
      </c>
      <c r="T40" s="41">
        <f>(D40/$P40)</f>
        <v/>
      </c>
      <c r="U40" s="41">
        <f>(E40/$P40)</f>
        <v/>
      </c>
      <c r="V40" s="41">
        <f>(F40/$P40)</f>
        <v/>
      </c>
      <c r="W40" s="41">
        <f>(G40/$P40)</f>
        <v/>
      </c>
      <c r="X40" s="41">
        <f>(H40/$P40)</f>
        <v/>
      </c>
      <c r="Y40" s="41">
        <f>(I40/$P40)</f>
        <v/>
      </c>
      <c r="Z40" s="41">
        <f>(J40/$P40)</f>
        <v/>
      </c>
      <c r="AA40" s="41">
        <f>(K40/P40)</f>
        <v/>
      </c>
      <c r="AB40" s="41">
        <f>(L40/$P40)</f>
        <v/>
      </c>
      <c r="AC40" s="41">
        <f>(M40/$P40)</f>
        <v/>
      </c>
      <c r="AD40" s="41">
        <f>(N40/$P40)</f>
        <v/>
      </c>
      <c r="AE40" s="41">
        <f>(O40/$P40)</f>
        <v/>
      </c>
      <c r="AF40" s="60">
        <f>SUM(R40:AE40)</f>
        <v/>
      </c>
      <c r="AG40" s="41">
        <f>T40+U40+V40</f>
        <v/>
      </c>
      <c r="AH40" s="41">
        <f>SUM(W40:AD40)</f>
        <v/>
      </c>
      <c r="AI40" s="42">
        <f>AE40+AH40</f>
        <v/>
      </c>
      <c r="AJ40" s="41">
        <f>AI40+AG40</f>
        <v/>
      </c>
      <c r="AK40" s="41" t="n"/>
      <c r="AL40" s="41" t="n"/>
    </row>
    <row r="41" hidden="1" ht="15.75" customHeight="1" s="259">
      <c r="A41" s="8" t="n">
        <v>44915</v>
      </c>
      <c r="B41" t="n">
        <v>25.12</v>
      </c>
      <c r="C41" t="n">
        <v>2.06</v>
      </c>
      <c r="D41" t="n">
        <v>1.64</v>
      </c>
      <c r="E41" t="n">
        <v>0.06</v>
      </c>
      <c r="F41" t="n">
        <v>0.76</v>
      </c>
      <c r="G41" t="n">
        <v>0.04</v>
      </c>
      <c r="H41" t="n">
        <v>0.14</v>
      </c>
      <c r="J41" t="n">
        <v>0.02</v>
      </c>
      <c r="L41" t="n">
        <v>0.02</v>
      </c>
      <c r="O41" t="n">
        <v>1.92</v>
      </c>
      <c r="P41">
        <f>SUM(B41:O41)</f>
        <v/>
      </c>
      <c r="R41" s="41">
        <f>(B41/$P41)</f>
        <v/>
      </c>
      <c r="S41" s="41">
        <f>(C41/$P41)</f>
        <v/>
      </c>
      <c r="T41" s="41">
        <f>(D41/$P41)</f>
        <v/>
      </c>
      <c r="U41" s="41">
        <f>(E41/$P41)</f>
        <v/>
      </c>
      <c r="V41" s="41">
        <f>(F41/$P41)</f>
        <v/>
      </c>
      <c r="W41" s="41">
        <f>(G41/$P41)</f>
        <v/>
      </c>
      <c r="X41" s="41">
        <f>(H41/$P41)</f>
        <v/>
      </c>
      <c r="Y41" s="41">
        <f>(I41/$P41)</f>
        <v/>
      </c>
      <c r="Z41" s="41">
        <f>(J41/$P41)</f>
        <v/>
      </c>
      <c r="AA41" s="41">
        <f>(K41/P41)</f>
        <v/>
      </c>
      <c r="AB41" s="41">
        <f>(L41/$P41)</f>
        <v/>
      </c>
      <c r="AC41" s="41">
        <f>(M41/$P41)</f>
        <v/>
      </c>
      <c r="AD41" s="41">
        <f>(N41/$P41)</f>
        <v/>
      </c>
      <c r="AE41" s="41">
        <f>(O41/$P41)</f>
        <v/>
      </c>
      <c r="AF41" s="60">
        <f>SUM(R41:AE41)</f>
        <v/>
      </c>
      <c r="AG41" s="41">
        <f>T41+U41+V41</f>
        <v/>
      </c>
      <c r="AH41" s="41">
        <f>SUM(W41:AD41)</f>
        <v/>
      </c>
      <c r="AI41" s="42">
        <f>AE41+AH41</f>
        <v/>
      </c>
      <c r="AJ41" s="41">
        <f>AI41+AG41</f>
        <v/>
      </c>
      <c r="AK41" s="41" t="n"/>
      <c r="AL41" s="41" t="n"/>
    </row>
    <row r="42" hidden="1" ht="15.75" customHeight="1" s="259">
      <c r="A42" s="8" t="n">
        <v>44961</v>
      </c>
      <c r="B42" t="n">
        <v>23.26</v>
      </c>
      <c r="C42" t="n">
        <v>2.82</v>
      </c>
      <c r="D42" t="n">
        <v>0.98</v>
      </c>
      <c r="E42" t="n">
        <v>0.8</v>
      </c>
      <c r="F42" t="n">
        <v>0.92</v>
      </c>
      <c r="G42" t="n">
        <v>0</v>
      </c>
      <c r="H42" t="n">
        <v>0</v>
      </c>
      <c r="I42" t="n">
        <v>0</v>
      </c>
      <c r="J42" t="n">
        <v>0</v>
      </c>
      <c r="K42" t="n">
        <v>0</v>
      </c>
      <c r="L42" t="n">
        <v>0</v>
      </c>
      <c r="M42" t="n">
        <v>0</v>
      </c>
      <c r="N42" t="n">
        <v>0</v>
      </c>
      <c r="O42" t="n">
        <v>0.22</v>
      </c>
      <c r="P42">
        <f>SUM(B42:O42)</f>
        <v/>
      </c>
      <c r="R42" s="41">
        <f>(B42/$P42)</f>
        <v/>
      </c>
      <c r="S42" s="41">
        <f>(C42/$P42)</f>
        <v/>
      </c>
      <c r="T42" s="41">
        <f>(D42/$P42)</f>
        <v/>
      </c>
      <c r="U42" s="41">
        <f>(E42/$P42)</f>
        <v/>
      </c>
      <c r="V42" s="41">
        <f>(F42/$P42)</f>
        <v/>
      </c>
      <c r="W42" s="41">
        <f>(G42/$P42)</f>
        <v/>
      </c>
      <c r="X42" s="41">
        <f>(H42/$P42)</f>
        <v/>
      </c>
      <c r="Y42" s="41">
        <f>(I42/$P42)</f>
        <v/>
      </c>
      <c r="Z42" s="41">
        <f>(J42/$P42)</f>
        <v/>
      </c>
      <c r="AA42" s="41">
        <f>(K42/P42)</f>
        <v/>
      </c>
      <c r="AB42" s="41">
        <f>(L42/$P42)</f>
        <v/>
      </c>
      <c r="AC42" s="41">
        <f>(M42/$P42)</f>
        <v/>
      </c>
      <c r="AD42" s="41">
        <f>(N42/$P42)</f>
        <v/>
      </c>
      <c r="AE42" s="41">
        <f>(O42/$P42)</f>
        <v/>
      </c>
      <c r="AF42" s="60">
        <f>SUM(R42:AE42)</f>
        <v/>
      </c>
      <c r="AG42" s="41">
        <f>T42+U42+V42</f>
        <v/>
      </c>
      <c r="AH42" s="41">
        <f>SUM(W42:AD42)</f>
        <v/>
      </c>
      <c r="AI42" s="42">
        <f>AE42+AH42</f>
        <v/>
      </c>
      <c r="AJ42" s="41">
        <f>AI42+AG42</f>
        <v/>
      </c>
      <c r="AK42" s="41" t="n"/>
      <c r="AL42" s="41" t="n"/>
    </row>
    <row r="43" hidden="1" ht="15.75" customHeight="1" s="259">
      <c r="A43" s="8" t="n">
        <v>44971</v>
      </c>
      <c r="B43" t="n">
        <v>16.3</v>
      </c>
      <c r="C43" t="n">
        <v>2.84</v>
      </c>
      <c r="D43" t="n">
        <v>1.82</v>
      </c>
      <c r="E43" t="n">
        <v>0.3</v>
      </c>
      <c r="F43" t="n">
        <v>0.46</v>
      </c>
      <c r="G43" t="n">
        <v>0.08</v>
      </c>
      <c r="H43" t="n">
        <v>0.12</v>
      </c>
      <c r="I43" t="n">
        <v>0.02</v>
      </c>
      <c r="J43" t="n">
        <v>0.04</v>
      </c>
      <c r="K43" t="n">
        <v>0.1</v>
      </c>
      <c r="L43" t="n">
        <v>0</v>
      </c>
      <c r="M43" t="n">
        <v>0</v>
      </c>
      <c r="N43" t="n">
        <v>0</v>
      </c>
      <c r="O43" t="n">
        <v>0.36</v>
      </c>
      <c r="P43">
        <f>SUM(B43:O43)</f>
        <v/>
      </c>
      <c r="R43" s="41">
        <f>(B43/$P43)</f>
        <v/>
      </c>
      <c r="S43" s="41">
        <f>(C43/$P43)</f>
        <v/>
      </c>
      <c r="T43" s="41">
        <f>(D43/$P43)</f>
        <v/>
      </c>
      <c r="U43" s="41">
        <f>(E43/$P43)</f>
        <v/>
      </c>
      <c r="V43" s="41">
        <f>(F43/$P43)</f>
        <v/>
      </c>
      <c r="W43" s="41">
        <f>(G43/$P43)</f>
        <v/>
      </c>
      <c r="X43" s="41">
        <f>(H43/$P43)</f>
        <v/>
      </c>
      <c r="Y43" s="41">
        <f>(I43/$P43)</f>
        <v/>
      </c>
      <c r="Z43" s="41">
        <f>(J43/$P43)</f>
        <v/>
      </c>
      <c r="AA43" s="41">
        <f>(K43/P43)</f>
        <v/>
      </c>
      <c r="AB43" s="41">
        <f>(L43/$P43)</f>
        <v/>
      </c>
      <c r="AC43" s="41">
        <f>(M43/$P43)</f>
        <v/>
      </c>
      <c r="AD43" s="41">
        <f>(N43/$P43)</f>
        <v/>
      </c>
      <c r="AE43" s="41">
        <f>(O43/$P43)</f>
        <v/>
      </c>
      <c r="AF43" s="60">
        <f>SUM(R43:AE43)</f>
        <v/>
      </c>
      <c r="AG43" s="41">
        <f>T43+U43+V43</f>
        <v/>
      </c>
      <c r="AH43" s="41">
        <f>SUM(W43:AD43)</f>
        <v/>
      </c>
      <c r="AI43" s="42">
        <f>AE43+AH43</f>
        <v/>
      </c>
      <c r="AJ43" s="41">
        <f>AI43+AG43</f>
        <v/>
      </c>
      <c r="AK43" s="41" t="n"/>
      <c r="AL43" s="41" t="n"/>
    </row>
    <row r="44" hidden="1" ht="15.75" customHeight="1" s="259">
      <c r="A44" s="8" t="n">
        <v>44982</v>
      </c>
      <c r="B44" t="n">
        <v>19.02</v>
      </c>
      <c r="C44" t="n">
        <v>2.44</v>
      </c>
      <c r="D44" t="n">
        <v>1.82</v>
      </c>
      <c r="E44" t="n">
        <v>0.08</v>
      </c>
      <c r="F44" t="n">
        <v>0.48</v>
      </c>
      <c r="G44" t="n">
        <v>0</v>
      </c>
      <c r="H44" t="n">
        <v>0.18</v>
      </c>
      <c r="I44" t="n">
        <v>0</v>
      </c>
      <c r="J44" t="n">
        <v>0.04</v>
      </c>
      <c r="K44" t="n">
        <v>0.08</v>
      </c>
      <c r="L44" t="n">
        <v>0.02</v>
      </c>
      <c r="M44" t="n">
        <v>0.02</v>
      </c>
      <c r="N44" t="n">
        <v>0</v>
      </c>
      <c r="O44" t="n">
        <v>0.5</v>
      </c>
      <c r="P44">
        <f>SUM(B44:O44)</f>
        <v/>
      </c>
      <c r="R44" s="41">
        <f>(B44/$P44)</f>
        <v/>
      </c>
      <c r="S44" s="41">
        <f>(C44/$P44)</f>
        <v/>
      </c>
      <c r="T44" s="41">
        <f>(D44/$P44)</f>
        <v/>
      </c>
      <c r="U44" s="41">
        <f>(E44/$P44)</f>
        <v/>
      </c>
      <c r="V44" s="41">
        <f>(F44/$P44)</f>
        <v/>
      </c>
      <c r="W44" s="41">
        <f>(G44/$P44)</f>
        <v/>
      </c>
      <c r="X44" s="41">
        <f>(H44/$P44)</f>
        <v/>
      </c>
      <c r="Y44" s="41">
        <f>(I44/$P44)</f>
        <v/>
      </c>
      <c r="Z44" s="41">
        <f>(J44/$P44)</f>
        <v/>
      </c>
      <c r="AA44" s="41">
        <f>(K44/P44)</f>
        <v/>
      </c>
      <c r="AB44" s="41">
        <f>(L44/$P44)</f>
        <v/>
      </c>
      <c r="AC44" s="41">
        <f>(M44/$P44)</f>
        <v/>
      </c>
      <c r="AD44" s="41">
        <f>(N44/$P44)</f>
        <v/>
      </c>
      <c r="AE44" s="41">
        <f>(O44/$P44)</f>
        <v/>
      </c>
      <c r="AF44" s="60">
        <f>SUM(R44:AE44)</f>
        <v/>
      </c>
      <c r="AG44" s="41">
        <f>T44+U44+V44</f>
        <v/>
      </c>
      <c r="AH44" s="41">
        <f>SUM(W44:AD44)</f>
        <v/>
      </c>
      <c r="AI44" s="42">
        <f>AE44+AH44</f>
        <v/>
      </c>
      <c r="AJ44" s="41">
        <f>AI44+AG44</f>
        <v/>
      </c>
      <c r="AK44" s="41" t="n"/>
      <c r="AL44" s="41" t="n"/>
    </row>
    <row r="45" hidden="1" ht="15.75" customHeight="1" s="259">
      <c r="A45" s="8" t="n">
        <v>44998</v>
      </c>
      <c r="B45" t="n">
        <v>22.13</v>
      </c>
      <c r="C45" t="n">
        <v>4.84</v>
      </c>
      <c r="D45" t="n">
        <v>1.78</v>
      </c>
      <c r="E45" t="n">
        <v>1.68</v>
      </c>
      <c r="F45" t="n">
        <v>0.52</v>
      </c>
      <c r="G45" t="n">
        <v>0.08</v>
      </c>
      <c r="H45" t="n">
        <v>0</v>
      </c>
      <c r="I45" t="n">
        <v>0</v>
      </c>
      <c r="J45" t="n">
        <v>0.14</v>
      </c>
      <c r="K45" t="n">
        <v>0.08</v>
      </c>
      <c r="L45" t="n">
        <v>0</v>
      </c>
      <c r="M45" t="n">
        <v>0</v>
      </c>
      <c r="N45" t="n">
        <v>0.04</v>
      </c>
      <c r="O45" t="n">
        <v>0.7</v>
      </c>
      <c r="P45">
        <f>SUM(B45:O45)</f>
        <v/>
      </c>
      <c r="R45" s="41">
        <f>(B45/$P45)</f>
        <v/>
      </c>
      <c r="S45" s="41">
        <f>(C45/$P45)</f>
        <v/>
      </c>
      <c r="T45" s="41">
        <f>(D45/$P45)</f>
        <v/>
      </c>
      <c r="U45" s="41">
        <f>(E45/$P45)</f>
        <v/>
      </c>
      <c r="V45" s="41">
        <f>(F45/$P45)</f>
        <v/>
      </c>
      <c r="W45" s="41">
        <f>(G45/$P45)</f>
        <v/>
      </c>
      <c r="X45" s="41">
        <f>(H45/$P45)</f>
        <v/>
      </c>
      <c r="Y45" s="41">
        <f>(I45/$P45)</f>
        <v/>
      </c>
      <c r="Z45" s="41">
        <f>(J45/$P45)</f>
        <v/>
      </c>
      <c r="AA45" s="41">
        <f>(K45/P45)</f>
        <v/>
      </c>
      <c r="AB45" s="41">
        <f>(L45/$P45)</f>
        <v/>
      </c>
      <c r="AC45" s="41">
        <f>(M45/$P45)</f>
        <v/>
      </c>
      <c r="AD45" s="41">
        <f>(N45/$P45)</f>
        <v/>
      </c>
      <c r="AE45" s="41">
        <f>(O45/$P45)</f>
        <v/>
      </c>
      <c r="AF45" s="60">
        <f>SUM(R45:AE45)</f>
        <v/>
      </c>
      <c r="AG45" s="41">
        <f>T45+U45+V45</f>
        <v/>
      </c>
      <c r="AH45" s="41">
        <f>SUM(W45:AD45)</f>
        <v/>
      </c>
      <c r="AI45" s="42">
        <f>AE45+AH45</f>
        <v/>
      </c>
      <c r="AJ45" s="41">
        <f>AI45+AG45</f>
        <v/>
      </c>
      <c r="AK45" s="41" t="n"/>
      <c r="AL45" s="41" t="n"/>
    </row>
    <row r="46" hidden="1" ht="15.75" customHeight="1" s="259">
      <c r="A46" s="8" t="n">
        <v>45006</v>
      </c>
      <c r="B46" t="n">
        <v>10.92</v>
      </c>
      <c r="C46" t="n">
        <v>3.44</v>
      </c>
      <c r="D46" t="n">
        <v>1.26</v>
      </c>
      <c r="E46" t="n">
        <v>0.2</v>
      </c>
      <c r="F46" t="n">
        <v>0.6</v>
      </c>
      <c r="G46" t="n">
        <v>0.08</v>
      </c>
      <c r="H46" t="n">
        <v>0.12</v>
      </c>
      <c r="I46" t="n">
        <v>0.02</v>
      </c>
      <c r="J46" t="n">
        <v>0</v>
      </c>
      <c r="K46" t="n">
        <v>0.08</v>
      </c>
      <c r="L46" t="n">
        <v>0.1</v>
      </c>
      <c r="M46" t="n">
        <v>0</v>
      </c>
      <c r="N46" t="n">
        <v>0</v>
      </c>
      <c r="O46" t="n">
        <v>0.34</v>
      </c>
      <c r="P46">
        <f>SUM(B46:O46)</f>
        <v/>
      </c>
      <c r="R46" s="41">
        <f>(B46/$P46)</f>
        <v/>
      </c>
      <c r="S46" s="41">
        <f>(C46/$P46)</f>
        <v/>
      </c>
      <c r="T46" s="41">
        <f>(D46/$P46)</f>
        <v/>
      </c>
      <c r="U46" s="41">
        <f>(E46/$P46)</f>
        <v/>
      </c>
      <c r="V46" s="41">
        <f>(F46/$P46)</f>
        <v/>
      </c>
      <c r="W46" s="41">
        <f>(G46/$P46)</f>
        <v/>
      </c>
      <c r="X46" s="41">
        <f>(H46/$P46)</f>
        <v/>
      </c>
      <c r="Y46" s="41">
        <f>(I46/$P46)</f>
        <v/>
      </c>
      <c r="Z46" s="41">
        <f>(J46/$P46)</f>
        <v/>
      </c>
      <c r="AA46" s="41">
        <f>(K46/P46)</f>
        <v/>
      </c>
      <c r="AB46" s="41">
        <f>(L46/$P46)</f>
        <v/>
      </c>
      <c r="AC46" s="41">
        <f>(M46/$P46)</f>
        <v/>
      </c>
      <c r="AD46" s="41">
        <f>(N46/$P46)</f>
        <v/>
      </c>
      <c r="AE46" s="41">
        <f>(O46/$P46)</f>
        <v/>
      </c>
      <c r="AF46" s="60">
        <f>SUM(R46:AE46)</f>
        <v/>
      </c>
      <c r="AG46" s="41">
        <f>T46+U46+V46</f>
        <v/>
      </c>
      <c r="AH46" s="41">
        <f>SUM(W46:AD46)</f>
        <v/>
      </c>
      <c r="AI46" s="42">
        <f>AE46+AH46</f>
        <v/>
      </c>
      <c r="AJ46" s="41">
        <f>AI46+AG46</f>
        <v/>
      </c>
      <c r="AK46" s="41" t="n"/>
      <c r="AL46" s="41" t="n"/>
    </row>
    <row r="47" hidden="1" ht="15.75" customHeight="1" s="259">
      <c r="A47" s="8" t="n">
        <v>45016</v>
      </c>
      <c r="B47" t="n">
        <v>13.14</v>
      </c>
      <c r="C47" t="n">
        <v>5.18</v>
      </c>
      <c r="D47" t="n">
        <v>3.75</v>
      </c>
      <c r="E47" t="n">
        <v>0.14</v>
      </c>
      <c r="F47" t="n">
        <v>0.9</v>
      </c>
      <c r="G47" t="n">
        <v>0.1</v>
      </c>
      <c r="H47" t="n">
        <v>0.08</v>
      </c>
      <c r="I47" t="n">
        <v>0.04</v>
      </c>
      <c r="J47" t="n">
        <v>0.06</v>
      </c>
      <c r="K47" t="n">
        <v>0.6</v>
      </c>
      <c r="L47" t="n">
        <v>0.08</v>
      </c>
      <c r="M47" t="n">
        <v>0.02</v>
      </c>
      <c r="N47" t="n">
        <v>0</v>
      </c>
      <c r="O47" t="n">
        <v>1.64</v>
      </c>
      <c r="P47">
        <f>SUM(B47:O47)</f>
        <v/>
      </c>
      <c r="R47" s="41">
        <f>(B47/$P47)</f>
        <v/>
      </c>
      <c r="S47" s="41">
        <f>(C47/$P47)</f>
        <v/>
      </c>
      <c r="T47" s="41">
        <f>(D47/$P47)</f>
        <v/>
      </c>
      <c r="U47" s="41">
        <f>(E47/$P47)</f>
        <v/>
      </c>
      <c r="V47" s="41">
        <f>(F47/$P47)</f>
        <v/>
      </c>
      <c r="W47" s="41">
        <f>(G47/$P47)</f>
        <v/>
      </c>
      <c r="X47" s="41">
        <f>(H47/$P47)</f>
        <v/>
      </c>
      <c r="Y47" s="41">
        <f>(I47/$P47)</f>
        <v/>
      </c>
      <c r="Z47" s="41">
        <f>(J47/$P47)</f>
        <v/>
      </c>
      <c r="AA47" s="41">
        <f>(K47/P47)</f>
        <v/>
      </c>
      <c r="AB47" s="41">
        <f>(L47/$P47)</f>
        <v/>
      </c>
      <c r="AC47" s="41">
        <f>(M47/$P47)</f>
        <v/>
      </c>
      <c r="AD47" s="41">
        <f>(N47/$P47)</f>
        <v/>
      </c>
      <c r="AE47" s="41">
        <f>(O47/$P47)</f>
        <v/>
      </c>
      <c r="AF47" s="60">
        <f>SUM(R47:AE47)</f>
        <v/>
      </c>
      <c r="AG47" s="41">
        <f>T47+U47+V47</f>
        <v/>
      </c>
      <c r="AH47" s="41">
        <f>SUM(W47:AD47)</f>
        <v/>
      </c>
      <c r="AI47" s="42">
        <f>AE47+AH47</f>
        <v/>
      </c>
      <c r="AJ47" s="41">
        <f>AI47+AG47</f>
        <v/>
      </c>
      <c r="AK47" s="41" t="n"/>
      <c r="AL47" s="41" t="n"/>
    </row>
    <row r="48" hidden="1" ht="15.75" customHeight="1" s="259">
      <c r="A48" s="8" t="n">
        <v>45078</v>
      </c>
      <c r="B48" t="n">
        <v>7.42</v>
      </c>
      <c r="C48" t="n">
        <v>3.42</v>
      </c>
      <c r="D48" t="n">
        <v>0</v>
      </c>
      <c r="E48" t="n">
        <v>0.44</v>
      </c>
      <c r="F48" t="n">
        <v>0.3</v>
      </c>
      <c r="G48" t="n">
        <v>0.04</v>
      </c>
      <c r="H48" t="n">
        <v>0.08</v>
      </c>
      <c r="I48" t="n">
        <v>0.04</v>
      </c>
      <c r="J48" t="n">
        <v>0.06</v>
      </c>
      <c r="K48" t="n">
        <v>0</v>
      </c>
      <c r="L48" t="n">
        <v>0.28</v>
      </c>
      <c r="M48" t="n">
        <v>0.04</v>
      </c>
      <c r="N48" t="n">
        <v>0</v>
      </c>
      <c r="O48" t="n">
        <v>2.4</v>
      </c>
      <c r="P48">
        <f>SUM(B48:O48)</f>
        <v/>
      </c>
      <c r="R48" s="41">
        <f>(B48/$P48)</f>
        <v/>
      </c>
      <c r="S48" s="41">
        <f>(C48/$P48)</f>
        <v/>
      </c>
      <c r="T48" s="41">
        <f>(D48/$P48)</f>
        <v/>
      </c>
      <c r="U48" s="41">
        <f>(E48/$P48)</f>
        <v/>
      </c>
      <c r="V48" s="41">
        <f>(F48/$P48)</f>
        <v/>
      </c>
      <c r="W48" s="41">
        <f>(G48/$P48)</f>
        <v/>
      </c>
      <c r="X48" s="41">
        <f>(H48/$P48)</f>
        <v/>
      </c>
      <c r="Y48" s="41">
        <f>(I48/$P48)</f>
        <v/>
      </c>
      <c r="Z48" s="41">
        <f>(J48/$P48)</f>
        <v/>
      </c>
      <c r="AA48" s="41">
        <f>(K48/P48)</f>
        <v/>
      </c>
      <c r="AB48" s="41">
        <f>(L48/$P48)</f>
        <v/>
      </c>
      <c r="AC48" s="41">
        <f>(M48/$P48)</f>
        <v/>
      </c>
      <c r="AD48" s="41">
        <f>(N48/$P48)</f>
        <v/>
      </c>
      <c r="AE48" s="41">
        <f>(O48/$P48)</f>
        <v/>
      </c>
      <c r="AF48" s="60">
        <f>SUM(R48:AE48)</f>
        <v/>
      </c>
      <c r="AG48" s="41">
        <f>T48+U48+V48</f>
        <v/>
      </c>
      <c r="AH48" s="41">
        <f>SUM(W48:AD48)</f>
        <v/>
      </c>
      <c r="AI48" s="42">
        <f>AE48+AH48</f>
        <v/>
      </c>
      <c r="AJ48" s="41">
        <f>AI48+AG48</f>
        <v/>
      </c>
      <c r="AK48" s="41" t="n"/>
      <c r="AL48" s="41" t="n"/>
    </row>
    <row r="49" hidden="1" ht="15.75" customHeight="1" s="259">
      <c r="A49" s="8" t="n">
        <v>45089</v>
      </c>
      <c r="B49" t="n">
        <v>23</v>
      </c>
      <c r="C49" t="n">
        <v>3.48</v>
      </c>
      <c r="D49" t="n">
        <v>1.04</v>
      </c>
      <c r="E49" t="n">
        <v>0.2</v>
      </c>
      <c r="F49" t="n">
        <v>0.98</v>
      </c>
      <c r="G49" t="n">
        <v>0.1</v>
      </c>
      <c r="H49" t="n">
        <v>0.14</v>
      </c>
      <c r="I49" t="n">
        <v>0.06</v>
      </c>
      <c r="J49" t="n">
        <v>0</v>
      </c>
      <c r="K49" t="n">
        <v>0.02</v>
      </c>
      <c r="L49" t="n">
        <v>0</v>
      </c>
      <c r="M49" t="n">
        <v>0</v>
      </c>
      <c r="N49" t="n">
        <v>0</v>
      </c>
      <c r="O49" t="n">
        <v>1</v>
      </c>
      <c r="P49">
        <f>SUM(B49:O49)</f>
        <v/>
      </c>
      <c r="R49" s="41">
        <f>(B49/$P49)</f>
        <v/>
      </c>
      <c r="S49" s="41">
        <f>(C49/$P49)</f>
        <v/>
      </c>
      <c r="T49" s="41">
        <f>(D49/$P49)</f>
        <v/>
      </c>
      <c r="U49" s="41">
        <f>(E49/$P49)</f>
        <v/>
      </c>
      <c r="V49" s="41">
        <f>(F49/$P49)</f>
        <v/>
      </c>
      <c r="W49" s="41">
        <f>(G49/$P49)</f>
        <v/>
      </c>
      <c r="X49" s="41">
        <f>(H49/$P49)</f>
        <v/>
      </c>
      <c r="Y49" s="41">
        <f>(I49/$P49)</f>
        <v/>
      </c>
      <c r="Z49" s="41">
        <f>(J49/$P49)</f>
        <v/>
      </c>
      <c r="AA49" s="41">
        <f>(K49/P49)</f>
        <v/>
      </c>
      <c r="AB49" s="41">
        <f>(L49/$P49)</f>
        <v/>
      </c>
      <c r="AC49" s="41">
        <f>(M49/$P49)</f>
        <v/>
      </c>
      <c r="AD49" s="41">
        <f>(N49/$P49)</f>
        <v/>
      </c>
      <c r="AE49" s="41">
        <f>(O49/$P49)</f>
        <v/>
      </c>
      <c r="AF49" s="60">
        <f>SUM(R49:AE49)</f>
        <v/>
      </c>
      <c r="AG49" s="41">
        <f>T49+U49+V49</f>
        <v/>
      </c>
      <c r="AH49" s="41">
        <f>SUM(W49:AD49)</f>
        <v/>
      </c>
      <c r="AI49" s="42">
        <f>AE49+AH49</f>
        <v/>
      </c>
      <c r="AJ49" s="41">
        <f>AI49+AG49</f>
        <v/>
      </c>
      <c r="AK49" s="41" t="n"/>
      <c r="AL49" s="41" t="n"/>
    </row>
    <row r="50" hidden="1" ht="15.75" customHeight="1" s="259">
      <c r="A50" s="8" t="n">
        <v>45110</v>
      </c>
      <c r="B50" t="n">
        <v>20.58</v>
      </c>
      <c r="C50" t="n">
        <v>2.1</v>
      </c>
      <c r="D50" t="n">
        <v>3.2</v>
      </c>
      <c r="E50" t="n">
        <v>0.02</v>
      </c>
      <c r="F50" t="n">
        <v>1.22</v>
      </c>
      <c r="G50" t="n">
        <v>0.02</v>
      </c>
      <c r="H50" t="n">
        <v>0.18</v>
      </c>
      <c r="I50" t="n">
        <v>0.04</v>
      </c>
      <c r="J50" t="n">
        <v>0.14</v>
      </c>
      <c r="K50" t="n">
        <v>0.18</v>
      </c>
      <c r="L50" t="n">
        <v>0</v>
      </c>
      <c r="M50" t="n">
        <v>0.04</v>
      </c>
      <c r="N50" t="n">
        <v>0.02</v>
      </c>
      <c r="O50" t="n">
        <v>0.48</v>
      </c>
      <c r="P50">
        <f>SUM(B50:O50)</f>
        <v/>
      </c>
      <c r="R50" s="41">
        <f>(B50/$P50)</f>
        <v/>
      </c>
      <c r="S50" s="41">
        <f>(C50/$P50)</f>
        <v/>
      </c>
      <c r="T50" s="41">
        <f>(D50/$P50)</f>
        <v/>
      </c>
      <c r="U50" s="41">
        <f>(E50/$P50)</f>
        <v/>
      </c>
      <c r="V50" s="41">
        <f>(F50/$P50)</f>
        <v/>
      </c>
      <c r="W50" s="41">
        <f>(G50/$P50)</f>
        <v/>
      </c>
      <c r="X50" s="41">
        <f>(H50/$P50)</f>
        <v/>
      </c>
      <c r="Y50" s="41">
        <f>(I50/$P50)</f>
        <v/>
      </c>
      <c r="Z50" s="41">
        <f>(J50/$P50)</f>
        <v/>
      </c>
      <c r="AA50" s="41">
        <f>(K50/P50)</f>
        <v/>
      </c>
      <c r="AB50" s="41">
        <f>(L50/$P50)</f>
        <v/>
      </c>
      <c r="AC50" s="41">
        <f>(M50/$P50)</f>
        <v/>
      </c>
      <c r="AD50" s="41">
        <f>(N50/$P50)</f>
        <v/>
      </c>
      <c r="AE50" s="41">
        <f>(O50/$P50)</f>
        <v/>
      </c>
      <c r="AF50" s="60">
        <f>SUM(R50:AE50)</f>
        <v/>
      </c>
      <c r="AG50" s="41">
        <f>T50+U50+V50</f>
        <v/>
      </c>
      <c r="AH50" s="41">
        <f>SUM(W50:AD50)</f>
        <v/>
      </c>
      <c r="AI50" s="42">
        <f>AE50+AH50</f>
        <v/>
      </c>
      <c r="AJ50" s="41">
        <f>AI50+AG50</f>
        <v/>
      </c>
      <c r="AK50" s="41" t="n"/>
      <c r="AL50" s="41" t="n"/>
    </row>
    <row r="51" hidden="1" ht="15.75" customHeight="1" s="259">
      <c r="A51" s="8" t="n">
        <v>45128</v>
      </c>
      <c r="B51" t="n">
        <v>13.32</v>
      </c>
      <c r="C51" t="n">
        <v>4.36</v>
      </c>
      <c r="D51" t="n">
        <v>1.34</v>
      </c>
      <c r="E51" t="n">
        <v>0.4</v>
      </c>
      <c r="F51" t="n">
        <v>1.3</v>
      </c>
      <c r="G51" t="n">
        <v>0.04</v>
      </c>
      <c r="H51" t="n">
        <v>0.24</v>
      </c>
      <c r="I51" t="n">
        <v>0</v>
      </c>
      <c r="J51" t="n">
        <v>0.12</v>
      </c>
      <c r="K51" t="n">
        <v>0.02</v>
      </c>
      <c r="L51" t="n">
        <v>0</v>
      </c>
      <c r="M51" t="n">
        <v>0</v>
      </c>
      <c r="N51" t="n">
        <v>0</v>
      </c>
      <c r="O51" t="n">
        <v>1.14</v>
      </c>
      <c r="P51">
        <f>SUM(B51:O51)</f>
        <v/>
      </c>
      <c r="R51" s="41">
        <f>(B51/$P51)</f>
        <v/>
      </c>
      <c r="S51" s="41">
        <f>(C51/$P51)</f>
        <v/>
      </c>
      <c r="T51" s="41">
        <f>(D51/$P51)</f>
        <v/>
      </c>
      <c r="U51" s="41">
        <f>(E51/$P51)</f>
        <v/>
      </c>
      <c r="V51" s="41">
        <f>(F51/$P51)</f>
        <v/>
      </c>
      <c r="W51" s="41">
        <f>(G51/$P51)</f>
        <v/>
      </c>
      <c r="X51" s="41">
        <f>(H51/$P51)</f>
        <v/>
      </c>
      <c r="Y51" s="41">
        <f>(I51/$P51)</f>
        <v/>
      </c>
      <c r="Z51" s="41">
        <f>(J51/$P51)</f>
        <v/>
      </c>
      <c r="AA51" s="41">
        <f>(K51/P51)</f>
        <v/>
      </c>
      <c r="AB51" s="41">
        <f>(L51/$P51)</f>
        <v/>
      </c>
      <c r="AC51" s="41">
        <f>(M51/$P51)</f>
        <v/>
      </c>
      <c r="AD51" s="41">
        <f>(N51/$P51)</f>
        <v/>
      </c>
      <c r="AE51" s="41">
        <f>(O51/$P51)</f>
        <v/>
      </c>
      <c r="AF51" s="60">
        <f>SUM(R51:AE51)</f>
        <v/>
      </c>
      <c r="AG51" s="41">
        <f>T51+U51+V51</f>
        <v/>
      </c>
      <c r="AH51" s="41">
        <f>SUM(W51:AD51)</f>
        <v/>
      </c>
      <c r="AI51" s="42">
        <f>AE51+AH51</f>
        <v/>
      </c>
      <c r="AJ51" s="41">
        <f>AI51+AG51</f>
        <v/>
      </c>
      <c r="AK51" s="41" t="n"/>
      <c r="AL51" s="41" t="n"/>
    </row>
    <row r="52" hidden="1" ht="15.75" customHeight="1" s="259">
      <c r="A52" s="8" t="n">
        <v>45134</v>
      </c>
      <c r="B52" t="n">
        <v>22.72</v>
      </c>
      <c r="C52" t="n">
        <v>3.28</v>
      </c>
      <c r="D52" t="n">
        <v>4.48</v>
      </c>
      <c r="E52" t="n">
        <v>0.54</v>
      </c>
      <c r="F52" t="n">
        <v>0.8</v>
      </c>
      <c r="G52" t="n">
        <v>0</v>
      </c>
      <c r="H52" t="n">
        <v>0.2</v>
      </c>
      <c r="I52" t="n">
        <v>0.04</v>
      </c>
      <c r="J52" t="n">
        <v>0.08</v>
      </c>
      <c r="K52" t="n">
        <v>0.26</v>
      </c>
      <c r="L52" t="n">
        <v>0.06</v>
      </c>
      <c r="M52" t="n">
        <v>0</v>
      </c>
      <c r="N52" t="n">
        <v>0</v>
      </c>
      <c r="O52" t="n">
        <v>1.68</v>
      </c>
      <c r="P52">
        <f>SUM(B52:O52)</f>
        <v/>
      </c>
      <c r="R52" s="41">
        <f>(B52/$P52)</f>
        <v/>
      </c>
      <c r="S52" s="41">
        <f>(C52/$P52)</f>
        <v/>
      </c>
      <c r="T52" s="41">
        <f>(D52/$P52)</f>
        <v/>
      </c>
      <c r="U52" s="41">
        <f>(E52/$P52)</f>
        <v/>
      </c>
      <c r="V52" s="41">
        <f>(F52/$P52)</f>
        <v/>
      </c>
      <c r="W52" s="41">
        <f>(G52/$P52)</f>
        <v/>
      </c>
      <c r="X52" s="41">
        <f>(H52/$P52)</f>
        <v/>
      </c>
      <c r="Y52" s="41">
        <f>(I52/$P52)</f>
        <v/>
      </c>
      <c r="Z52" s="41">
        <f>(J52/$P52)</f>
        <v/>
      </c>
      <c r="AA52" s="41">
        <f>(K52/P52)</f>
        <v/>
      </c>
      <c r="AB52" s="41">
        <f>(L52/$P52)</f>
        <v/>
      </c>
      <c r="AC52" s="41">
        <f>(M52/$P52)</f>
        <v/>
      </c>
      <c r="AD52" s="41">
        <f>(N52/$P52)</f>
        <v/>
      </c>
      <c r="AE52" s="41">
        <f>(O52/$P52)</f>
        <v/>
      </c>
      <c r="AF52" s="60">
        <f>SUM(R52:AE52)</f>
        <v/>
      </c>
      <c r="AG52" s="41">
        <f>T52+U52+V52</f>
        <v/>
      </c>
      <c r="AH52" s="41">
        <f>SUM(W52:AD52)</f>
        <v/>
      </c>
      <c r="AI52" s="42">
        <f>AE52+AH52</f>
        <v/>
      </c>
      <c r="AJ52" s="41">
        <f>AI52+AG52</f>
        <v/>
      </c>
      <c r="AK52" s="41" t="n"/>
      <c r="AL52" s="41" t="n"/>
    </row>
    <row r="53" hidden="1" ht="15.75" customHeight="1" s="259">
      <c r="A53" s="8" t="n">
        <v>45139</v>
      </c>
      <c r="B53" t="n">
        <v>24.04</v>
      </c>
      <c r="C53" t="n">
        <v>2.68</v>
      </c>
      <c r="D53" t="n">
        <v>3.8</v>
      </c>
      <c r="E53" t="n">
        <v>1.16</v>
      </c>
      <c r="F53" t="n">
        <v>1.26</v>
      </c>
      <c r="G53" t="n">
        <v>0.04</v>
      </c>
      <c r="H53" t="n">
        <v>0.1</v>
      </c>
      <c r="I53" t="n">
        <v>0</v>
      </c>
      <c r="J53" t="n">
        <v>0.1</v>
      </c>
      <c r="K53" t="n">
        <v>0.06</v>
      </c>
      <c r="L53" t="n">
        <v>0</v>
      </c>
      <c r="M53" t="n">
        <v>0.02</v>
      </c>
      <c r="N53" t="n">
        <v>0</v>
      </c>
      <c r="O53" t="n">
        <v>1.48</v>
      </c>
      <c r="P53">
        <f>SUM(B53:O53)</f>
        <v/>
      </c>
      <c r="R53" s="41">
        <f>(B53/$P53)</f>
        <v/>
      </c>
      <c r="S53" s="41">
        <f>(C53/$P53)</f>
        <v/>
      </c>
      <c r="T53" s="41">
        <f>(D53/$P53)</f>
        <v/>
      </c>
      <c r="U53" s="41">
        <f>(E53/$P53)</f>
        <v/>
      </c>
      <c r="V53" s="41">
        <f>(F53/$P53)</f>
        <v/>
      </c>
      <c r="W53" s="41">
        <f>(G53/$P53)</f>
        <v/>
      </c>
      <c r="X53" s="41">
        <f>(H53/$P53)</f>
        <v/>
      </c>
      <c r="Y53" s="41">
        <f>(I53/$P53)</f>
        <v/>
      </c>
      <c r="Z53" s="41">
        <f>(J53/$P53)</f>
        <v/>
      </c>
      <c r="AA53" s="41">
        <f>(K53/P53)</f>
        <v/>
      </c>
      <c r="AB53" s="41">
        <f>(L53/$P53)</f>
        <v/>
      </c>
      <c r="AC53" s="41">
        <f>(M53/$P53)</f>
        <v/>
      </c>
      <c r="AD53" s="41">
        <f>(N53/$P53)</f>
        <v/>
      </c>
      <c r="AE53" s="41">
        <f>(O53/$P53)</f>
        <v/>
      </c>
      <c r="AF53" s="60">
        <f>SUM(R53:AE53)</f>
        <v/>
      </c>
      <c r="AG53" s="41">
        <f>T53+U53+V53</f>
        <v/>
      </c>
      <c r="AH53" s="41">
        <f>SUM(W53:AD53)</f>
        <v/>
      </c>
      <c r="AI53" s="42">
        <f>AE53+AH53</f>
        <v/>
      </c>
      <c r="AJ53" s="41">
        <f>AI53+AG53</f>
        <v/>
      </c>
      <c r="AK53" s="41" t="n"/>
      <c r="AL53" s="41" t="n"/>
    </row>
    <row r="54" hidden="1" ht="15.75" customHeight="1" s="259">
      <c r="A54" s="8" t="n">
        <v>45146</v>
      </c>
      <c r="B54" t="n">
        <v>18.74</v>
      </c>
      <c r="C54" t="n">
        <v>3.62</v>
      </c>
      <c r="D54" t="n">
        <v>5.66</v>
      </c>
      <c r="E54" t="n">
        <v>0.58</v>
      </c>
      <c r="F54" t="n">
        <v>1.52</v>
      </c>
      <c r="G54" t="n">
        <v>0.06</v>
      </c>
      <c r="H54" t="n">
        <v>0.1</v>
      </c>
      <c r="I54" t="n">
        <v>0.02</v>
      </c>
      <c r="J54" t="n">
        <v>0.1</v>
      </c>
      <c r="K54" t="n">
        <v>0</v>
      </c>
      <c r="L54" t="n">
        <v>0.04</v>
      </c>
      <c r="M54" t="n">
        <v>0.04</v>
      </c>
      <c r="N54" t="n">
        <v>0</v>
      </c>
      <c r="O54" t="n">
        <v>1.38</v>
      </c>
      <c r="P54">
        <f>SUM(B54:O54)</f>
        <v/>
      </c>
      <c r="R54" s="41">
        <f>(B54/$P54)</f>
        <v/>
      </c>
      <c r="S54" s="41">
        <f>(C54/$P54)</f>
        <v/>
      </c>
      <c r="T54" s="41">
        <f>(D54/$P54)</f>
        <v/>
      </c>
      <c r="U54" s="41">
        <f>(E54/$P54)</f>
        <v/>
      </c>
      <c r="V54" s="41">
        <f>(F54/$P54)</f>
        <v/>
      </c>
      <c r="W54" s="41">
        <f>(G54/$P54)</f>
        <v/>
      </c>
      <c r="X54" s="41">
        <f>(H54/$P54)</f>
        <v/>
      </c>
      <c r="Y54" s="41">
        <f>(I54/$P54)</f>
        <v/>
      </c>
      <c r="Z54" s="41">
        <f>(J54/$P54)</f>
        <v/>
      </c>
      <c r="AA54" s="41">
        <f>(K54/P54)</f>
        <v/>
      </c>
      <c r="AB54" s="41">
        <f>(L54/$P54)</f>
        <v/>
      </c>
      <c r="AC54" s="41">
        <f>(M54/$P54)</f>
        <v/>
      </c>
      <c r="AD54" s="41">
        <f>(N54/$P54)</f>
        <v/>
      </c>
      <c r="AE54" s="41">
        <f>(O54/$P54)</f>
        <v/>
      </c>
      <c r="AF54" s="60">
        <f>SUM(R54:AE54)</f>
        <v/>
      </c>
      <c r="AG54" s="41">
        <f>T54+U54+V54</f>
        <v/>
      </c>
      <c r="AH54" s="41">
        <f>SUM(W54:AD54)</f>
        <v/>
      </c>
      <c r="AI54" s="42">
        <f>AE54+AH54</f>
        <v/>
      </c>
      <c r="AJ54" s="41">
        <f>AI54+AG54</f>
        <v/>
      </c>
      <c r="AK54" s="41" t="n"/>
      <c r="AL54" s="41" t="n"/>
    </row>
    <row r="55" hidden="1" ht="15.75" customHeight="1" s="259">
      <c r="A55" s="8" t="n">
        <v>45163</v>
      </c>
      <c r="B55" t="n">
        <v>24.6</v>
      </c>
      <c r="C55" t="n">
        <v>3.64</v>
      </c>
      <c r="D55" t="n">
        <v>3.52</v>
      </c>
      <c r="E55" t="n">
        <v>0.44</v>
      </c>
      <c r="F55" t="n">
        <v>1.06</v>
      </c>
      <c r="G55" t="n">
        <v>0.02</v>
      </c>
      <c r="H55" t="n">
        <v>0.18</v>
      </c>
      <c r="I55" t="n">
        <v>0.02</v>
      </c>
      <c r="J55" t="n">
        <v>0.16</v>
      </c>
      <c r="K55" t="n">
        <v>0</v>
      </c>
      <c r="L55" t="n">
        <v>0.04</v>
      </c>
      <c r="M55" t="n">
        <v>0.04</v>
      </c>
      <c r="N55" t="n">
        <v>0</v>
      </c>
      <c r="O55" t="n">
        <v>0.52</v>
      </c>
      <c r="P55">
        <f>SUM(B55:O55)</f>
        <v/>
      </c>
      <c r="R55" s="41">
        <f>(B55/$P55)</f>
        <v/>
      </c>
      <c r="S55" s="41">
        <f>(C55/$P55)</f>
        <v/>
      </c>
      <c r="T55" s="41">
        <f>(D55/$P55)</f>
        <v/>
      </c>
      <c r="U55" s="41">
        <f>(E55/$P55)</f>
        <v/>
      </c>
      <c r="V55" s="41">
        <f>(F55/$P55)</f>
        <v/>
      </c>
      <c r="W55" s="41">
        <f>(G55/$P55)</f>
        <v/>
      </c>
      <c r="X55" s="41">
        <f>(H55/$P55)</f>
        <v/>
      </c>
      <c r="Y55" s="41">
        <f>(I55/$P55)</f>
        <v/>
      </c>
      <c r="Z55" s="41">
        <f>(J55/$P55)</f>
        <v/>
      </c>
      <c r="AA55" s="41">
        <f>(K55/P55)</f>
        <v/>
      </c>
      <c r="AB55" s="41">
        <f>(L55/$P55)</f>
        <v/>
      </c>
      <c r="AC55" s="41">
        <f>(M55/$P55)</f>
        <v/>
      </c>
      <c r="AD55" s="41">
        <f>(N55/$P55)</f>
        <v/>
      </c>
      <c r="AE55" s="41">
        <f>(O55/$P55)</f>
        <v/>
      </c>
      <c r="AF55" s="60">
        <f>SUM(R55:AE55)</f>
        <v/>
      </c>
      <c r="AG55" s="41">
        <f>T55+U55+V55</f>
        <v/>
      </c>
      <c r="AH55" s="41">
        <f>SUM(W55:AD55)</f>
        <v/>
      </c>
      <c r="AI55" s="42">
        <f>AE55+AH55</f>
        <v/>
      </c>
      <c r="AJ55" s="41">
        <f>AI55+AG55</f>
        <v/>
      </c>
      <c r="AK55" s="41" t="n"/>
      <c r="AL55" s="41" t="n"/>
    </row>
    <row r="56" hidden="1" ht="15.75" customHeight="1" s="259">
      <c r="A56" s="8" t="n">
        <v>45170</v>
      </c>
      <c r="B56" t="n">
        <v>21.8</v>
      </c>
      <c r="C56" t="n">
        <v>2.84</v>
      </c>
      <c r="D56" t="n">
        <v>1.94</v>
      </c>
      <c r="E56" t="n">
        <v>0.24</v>
      </c>
      <c r="F56" t="n">
        <v>1.02</v>
      </c>
      <c r="G56" t="n">
        <v>0</v>
      </c>
      <c r="H56" t="n">
        <v>0.04</v>
      </c>
      <c r="I56" t="n">
        <v>0</v>
      </c>
      <c r="J56" t="n">
        <v>0.02</v>
      </c>
      <c r="K56" t="n">
        <v>0.08</v>
      </c>
      <c r="L56" t="n">
        <v>0</v>
      </c>
      <c r="M56" t="n">
        <v>0.06</v>
      </c>
      <c r="N56" t="n">
        <v>0</v>
      </c>
      <c r="O56" t="n">
        <v>0.66</v>
      </c>
      <c r="P56">
        <f>SUM(B56:O56)</f>
        <v/>
      </c>
      <c r="R56" s="41">
        <f>(B56/$P56)</f>
        <v/>
      </c>
      <c r="S56" s="41">
        <f>(C56/$P56)</f>
        <v/>
      </c>
      <c r="T56" s="41">
        <f>(D56/$P56)</f>
        <v/>
      </c>
      <c r="U56" s="41">
        <f>(E56/$P56)</f>
        <v/>
      </c>
      <c r="V56" s="41">
        <f>(F56/$P56)</f>
        <v/>
      </c>
      <c r="W56" s="41">
        <f>(G56/$P56)</f>
        <v/>
      </c>
      <c r="X56" s="41">
        <f>(H56/$P56)</f>
        <v/>
      </c>
      <c r="Y56" s="41">
        <f>(I56/$P56)</f>
        <v/>
      </c>
      <c r="Z56" s="41">
        <f>(J56/$P56)</f>
        <v/>
      </c>
      <c r="AA56" s="41">
        <f>(K56/P56)</f>
        <v/>
      </c>
      <c r="AB56" s="41">
        <f>(L56/$P56)</f>
        <v/>
      </c>
      <c r="AC56" s="41">
        <f>(M56/$P56)</f>
        <v/>
      </c>
      <c r="AD56" s="41">
        <f>(N56/$P56)</f>
        <v/>
      </c>
      <c r="AE56" s="41">
        <f>(O56/$P56)</f>
        <v/>
      </c>
      <c r="AF56" s="60">
        <f>SUM(R56:AE56)</f>
        <v/>
      </c>
      <c r="AG56" s="41">
        <f>T56+U56+V56</f>
        <v/>
      </c>
      <c r="AH56" s="41">
        <f>SUM(W56:AD56)</f>
        <v/>
      </c>
      <c r="AI56" s="42">
        <f>AE56+AH56</f>
        <v/>
      </c>
      <c r="AJ56" s="41">
        <f>AI56+AG56</f>
        <v/>
      </c>
      <c r="AK56" s="41" t="n"/>
      <c r="AL56" s="41" t="n"/>
    </row>
    <row r="57" hidden="1" ht="15.75" customHeight="1" s="259">
      <c r="A57" s="8" t="n">
        <v>45184</v>
      </c>
      <c r="B57" t="n">
        <v>19.64</v>
      </c>
      <c r="C57" t="n">
        <v>4.24</v>
      </c>
      <c r="D57" t="n">
        <v>5.72</v>
      </c>
      <c r="E57" t="n">
        <v>0.98</v>
      </c>
      <c r="F57" t="n">
        <v>1.78</v>
      </c>
      <c r="G57" t="n">
        <v>0.06</v>
      </c>
      <c r="H57" t="n">
        <v>0.58</v>
      </c>
      <c r="I57" t="n">
        <v>0.14</v>
      </c>
      <c r="J57" t="n">
        <v>0.52</v>
      </c>
      <c r="K57" t="n">
        <v>0.08</v>
      </c>
      <c r="L57" t="n">
        <v>0.22</v>
      </c>
      <c r="M57" t="n">
        <v>0</v>
      </c>
      <c r="N57" t="n">
        <v>0</v>
      </c>
      <c r="O57" t="n">
        <v>2.12</v>
      </c>
      <c r="P57">
        <f>SUM(B57:O57)</f>
        <v/>
      </c>
      <c r="R57" s="41">
        <f>(B57/$P57)</f>
        <v/>
      </c>
      <c r="S57" s="41">
        <f>(C57/$P57)</f>
        <v/>
      </c>
      <c r="T57" s="41">
        <f>(D57/$P57)</f>
        <v/>
      </c>
      <c r="U57" s="41">
        <f>(E57/$P57)</f>
        <v/>
      </c>
      <c r="V57" s="41">
        <f>(F57/$P57)</f>
        <v/>
      </c>
      <c r="W57" s="41">
        <f>(G57/$P57)</f>
        <v/>
      </c>
      <c r="X57" s="41">
        <f>(H57/$P57)</f>
        <v/>
      </c>
      <c r="Y57" s="41">
        <f>(I57/$P57)</f>
        <v/>
      </c>
      <c r="Z57" s="41">
        <f>(J57/$P57)</f>
        <v/>
      </c>
      <c r="AA57" s="41">
        <f>(K57/P57)</f>
        <v/>
      </c>
      <c r="AB57" s="41">
        <f>(L57/$P57)</f>
        <v/>
      </c>
      <c r="AC57" s="41">
        <f>(M57/$P57)</f>
        <v/>
      </c>
      <c r="AD57" s="41">
        <f>(N57/$P57)</f>
        <v/>
      </c>
      <c r="AE57" s="41">
        <f>(O57/$P57)</f>
        <v/>
      </c>
      <c r="AF57" s="60">
        <f>SUM(R57:AE57)</f>
        <v/>
      </c>
      <c r="AG57" s="41">
        <f>T57+U57+V57</f>
        <v/>
      </c>
      <c r="AH57" s="41">
        <f>SUM(W57:AD57)</f>
        <v/>
      </c>
      <c r="AI57" s="42">
        <f>AE57+AH57</f>
        <v/>
      </c>
      <c r="AJ57" s="41">
        <f>AI57+AG57</f>
        <v/>
      </c>
      <c r="AK57" s="41" t="n"/>
      <c r="AL57" s="41" t="n"/>
    </row>
    <row r="58" hidden="1" ht="15.75" customFormat="1" customHeight="1" s="2">
      <c r="A58" s="64" t="n">
        <v>45195</v>
      </c>
      <c r="B58" s="65" t="n">
        <v>17.78</v>
      </c>
      <c r="C58" s="65" t="n">
        <v>4.48</v>
      </c>
      <c r="D58" s="65" t="n">
        <v>3.08</v>
      </c>
      <c r="E58" s="65" t="n">
        <v>0.28</v>
      </c>
      <c r="F58" s="65" t="n">
        <v>0.62</v>
      </c>
      <c r="G58" s="65" t="n">
        <v>0.04</v>
      </c>
      <c r="H58" s="65" t="n">
        <v>0.28</v>
      </c>
      <c r="I58" s="65" t="n">
        <v>0</v>
      </c>
      <c r="J58" s="65" t="n">
        <v>0.06</v>
      </c>
      <c r="K58" s="65" t="n">
        <v>0.06</v>
      </c>
      <c r="L58" s="65" t="n">
        <v>0</v>
      </c>
      <c r="M58" s="65" t="n">
        <v>0</v>
      </c>
      <c r="N58" s="65" t="n">
        <v>0</v>
      </c>
      <c r="O58" s="65" t="n">
        <v>0.86</v>
      </c>
      <c r="P58" s="65">
        <f>SUM(B58:O58)</f>
        <v/>
      </c>
      <c r="Q58" s="26" t="n"/>
      <c r="R58" s="62">
        <f>(B58/$P58)</f>
        <v/>
      </c>
      <c r="S58" s="62">
        <f>(C58/$P58)</f>
        <v/>
      </c>
      <c r="T58" s="62">
        <f>(D58/$P58)</f>
        <v/>
      </c>
      <c r="U58" s="62">
        <f>(E58/$P58)</f>
        <v/>
      </c>
      <c r="V58" s="62">
        <f>(F58/$P58)</f>
        <v/>
      </c>
      <c r="W58" s="62">
        <f>(G58/$P58)</f>
        <v/>
      </c>
      <c r="X58" s="62">
        <f>(H58/$P58)</f>
        <v/>
      </c>
      <c r="Y58" s="62">
        <f>(I58/$P58)</f>
        <v/>
      </c>
      <c r="Z58" s="62">
        <f>(J58/$P58)</f>
        <v/>
      </c>
      <c r="AA58" s="62">
        <f>(K58/P58)</f>
        <v/>
      </c>
      <c r="AB58" s="62">
        <f>(L58/$P58)</f>
        <v/>
      </c>
      <c r="AC58" s="62">
        <f>(M58/$P58)</f>
        <v/>
      </c>
      <c r="AD58" s="62">
        <f>(N58/$P58)</f>
        <v/>
      </c>
      <c r="AE58" s="62">
        <f>(O58/$P58)</f>
        <v/>
      </c>
      <c r="AF58" s="62">
        <f>SUM(R58:AE58)</f>
        <v/>
      </c>
      <c r="AG58" s="62">
        <f>T58+U58+V58</f>
        <v/>
      </c>
      <c r="AH58" s="62">
        <f>SUM(W58:AD58)</f>
        <v/>
      </c>
      <c r="AI58" s="42">
        <f>AE58+AH58</f>
        <v/>
      </c>
      <c r="AJ58" s="41">
        <f>AI58+AG58</f>
        <v/>
      </c>
      <c r="AK58" s="41" t="n"/>
      <c r="AL58" s="41" t="n"/>
    </row>
    <row r="59" hidden="1" ht="15.75" customFormat="1" customHeight="1" s="2">
      <c r="A59" s="64" t="n">
        <v>45201</v>
      </c>
      <c r="B59" s="65" t="n">
        <v>19.8</v>
      </c>
      <c r="C59" s="65" t="n">
        <v>3</v>
      </c>
      <c r="D59" s="65" t="n">
        <v>4.44</v>
      </c>
      <c r="E59" s="65" t="n">
        <v>0</v>
      </c>
      <c r="F59" s="65" t="n">
        <v>0.98</v>
      </c>
      <c r="G59" s="65" t="n">
        <v>0.12</v>
      </c>
      <c r="H59" s="65" t="n">
        <v>0.14</v>
      </c>
      <c r="I59" s="65" t="n">
        <v>0.04</v>
      </c>
      <c r="J59" s="65" t="n">
        <v>0.1</v>
      </c>
      <c r="K59" s="65" t="n">
        <v>0</v>
      </c>
      <c r="L59" s="65" t="n">
        <v>0</v>
      </c>
      <c r="M59" s="65" t="n">
        <v>0.04</v>
      </c>
      <c r="N59" s="65" t="n">
        <v>0</v>
      </c>
      <c r="O59" s="65" t="n">
        <v>1.12</v>
      </c>
      <c r="P59" s="65">
        <f>SUM(B59:O59)</f>
        <v/>
      </c>
      <c r="Q59" s="26" t="n"/>
      <c r="R59" s="62">
        <f>(B59/$P59)</f>
        <v/>
      </c>
      <c r="S59" s="62">
        <f>(C59/$P59)</f>
        <v/>
      </c>
      <c r="T59" s="62">
        <f>(D59/$P59)</f>
        <v/>
      </c>
      <c r="U59" s="62">
        <f>(E59/$P59)</f>
        <v/>
      </c>
      <c r="V59" s="62">
        <f>(F59/$P59)</f>
        <v/>
      </c>
      <c r="W59" s="62">
        <f>(G59/$P59)</f>
        <v/>
      </c>
      <c r="X59" s="62">
        <f>(H59/$P59)</f>
        <v/>
      </c>
      <c r="Y59" s="62">
        <f>(I59/$P59)</f>
        <v/>
      </c>
      <c r="Z59" s="62">
        <f>(J59/$P59)</f>
        <v/>
      </c>
      <c r="AA59" s="62">
        <f>(K59/P59)</f>
        <v/>
      </c>
      <c r="AB59" s="62">
        <f>(L59/$P59)</f>
        <v/>
      </c>
      <c r="AC59" s="62">
        <f>(M59/$P59)</f>
        <v/>
      </c>
      <c r="AD59" s="62">
        <f>(N59/$P59)</f>
        <v/>
      </c>
      <c r="AE59" s="62">
        <f>(O59/$P59)</f>
        <v/>
      </c>
      <c r="AF59" s="62">
        <f>SUM(R59:AE59)</f>
        <v/>
      </c>
      <c r="AG59" s="62">
        <f>T59+U59+V59</f>
        <v/>
      </c>
      <c r="AH59" s="62">
        <f>SUM(W59:AD59)</f>
        <v/>
      </c>
      <c r="AI59" s="42">
        <f>AE59+AH59</f>
        <v/>
      </c>
      <c r="AJ59" s="41">
        <f>AI59+AG59</f>
        <v/>
      </c>
      <c r="AK59" s="41" t="n"/>
      <c r="AL59" s="41" t="n"/>
    </row>
    <row r="60" hidden="1" ht="15.75" customFormat="1" customHeight="1" s="2">
      <c r="A60" s="64" t="n">
        <v>45202</v>
      </c>
      <c r="B60" s="65" t="n">
        <v>18.5</v>
      </c>
      <c r="C60" s="65" t="n">
        <v>1.54</v>
      </c>
      <c r="D60" s="65" t="n">
        <v>2.4</v>
      </c>
      <c r="E60" s="65" t="n">
        <v>0.12</v>
      </c>
      <c r="F60" s="65" t="n">
        <v>0.48</v>
      </c>
      <c r="G60" s="65" t="n">
        <v>0</v>
      </c>
      <c r="H60" s="65" t="n">
        <v>0.04</v>
      </c>
      <c r="I60" s="65" t="n">
        <v>0</v>
      </c>
      <c r="J60" s="65" t="n">
        <v>0</v>
      </c>
      <c r="K60" s="65" t="n">
        <v>0.06</v>
      </c>
      <c r="L60" s="65" t="n">
        <v>0</v>
      </c>
      <c r="M60" s="65" t="n">
        <v>0</v>
      </c>
      <c r="N60" s="65" t="n">
        <v>0</v>
      </c>
      <c r="O60" s="65" t="n">
        <v>0.6</v>
      </c>
      <c r="P60" s="65">
        <f>SUM(B60:O60)</f>
        <v/>
      </c>
      <c r="Q60" s="26" t="n"/>
      <c r="R60" s="63">
        <f>(B60/$P60)</f>
        <v/>
      </c>
      <c r="S60" s="63">
        <f>(C60/$P60)</f>
        <v/>
      </c>
      <c r="T60" s="63">
        <f>(D60/$P60)</f>
        <v/>
      </c>
      <c r="U60" s="63">
        <f>(E60/$P60)</f>
        <v/>
      </c>
      <c r="V60" s="63">
        <f>(F60/$P60)</f>
        <v/>
      </c>
      <c r="W60" s="63">
        <f>(G60/$P60)</f>
        <v/>
      </c>
      <c r="X60" s="63">
        <f>(H60/$P60)</f>
        <v/>
      </c>
      <c r="Y60" s="63">
        <f>(I60/$P60)</f>
        <v/>
      </c>
      <c r="Z60" s="63">
        <f>(J60/$P60)</f>
        <v/>
      </c>
      <c r="AA60" s="63">
        <f>(K60/P60)</f>
        <v/>
      </c>
      <c r="AB60" s="63">
        <f>(L60/$P60)</f>
        <v/>
      </c>
      <c r="AC60" s="63">
        <f>(M60/$P60)</f>
        <v/>
      </c>
      <c r="AD60" s="63">
        <f>(N60/$P60)</f>
        <v/>
      </c>
      <c r="AE60" s="63">
        <f>(O60/$P60)</f>
        <v/>
      </c>
      <c r="AF60" s="63">
        <f>SUM(R60:AE60)</f>
        <v/>
      </c>
      <c r="AG60" s="63">
        <f>T60+U60+V60</f>
        <v/>
      </c>
      <c r="AH60" s="63">
        <f>SUM(W60:AD60)</f>
        <v/>
      </c>
      <c r="AI60" s="42">
        <f>AE60+AH60</f>
        <v/>
      </c>
      <c r="AJ60" s="41">
        <f>AI60+AG60</f>
        <v/>
      </c>
      <c r="AK60" s="41" t="n"/>
      <c r="AL60" s="41" t="n"/>
    </row>
    <row r="61" hidden="1" ht="15.75" customHeight="1" s="259">
      <c r="A61" s="8" t="n">
        <v>45223</v>
      </c>
      <c r="B61" s="65" t="n">
        <v>18.7</v>
      </c>
      <c r="C61" s="65" t="n">
        <v>2.88</v>
      </c>
      <c r="D61" s="65" t="n">
        <v>3.38</v>
      </c>
      <c r="E61" s="65" t="n">
        <v>1.3</v>
      </c>
      <c r="F61" s="65" t="n">
        <v>2.04</v>
      </c>
      <c r="G61" s="65" t="n">
        <v>1.04</v>
      </c>
      <c r="H61" s="65" t="n">
        <v>0.12</v>
      </c>
      <c r="I61" s="65" t="n">
        <v>0.06</v>
      </c>
      <c r="J61" s="65" t="n">
        <v>0.28</v>
      </c>
      <c r="K61" s="65" t="n">
        <v>0</v>
      </c>
      <c r="L61" s="65" t="n">
        <v>0</v>
      </c>
      <c r="M61" s="65" t="n">
        <v>0.08</v>
      </c>
      <c r="N61" s="65" t="n">
        <v>0</v>
      </c>
      <c r="O61" s="65" t="n">
        <v>1.36</v>
      </c>
      <c r="P61" s="65">
        <f>SUM(B61:O61)</f>
        <v/>
      </c>
      <c r="R61" s="63">
        <f>(B61/$P61)</f>
        <v/>
      </c>
      <c r="S61" s="63">
        <f>(C61/$P61)</f>
        <v/>
      </c>
      <c r="T61" s="63">
        <f>(D61/$P61)</f>
        <v/>
      </c>
      <c r="U61" s="63">
        <f>(E61/$P61)</f>
        <v/>
      </c>
      <c r="V61" s="63">
        <f>(F61/$P61)</f>
        <v/>
      </c>
      <c r="W61" s="63">
        <f>(G61/$P61)</f>
        <v/>
      </c>
      <c r="X61" s="63">
        <f>(H61/$P61)</f>
        <v/>
      </c>
      <c r="Y61" s="63">
        <f>(I61/$P61)</f>
        <v/>
      </c>
      <c r="Z61" s="63">
        <f>(J61/$P61)</f>
        <v/>
      </c>
      <c r="AA61" s="63">
        <f>(K61/P61)</f>
        <v/>
      </c>
      <c r="AB61" s="63">
        <f>(L61/$P61)</f>
        <v/>
      </c>
      <c r="AC61" s="63">
        <f>(M61/$P61)</f>
        <v/>
      </c>
      <c r="AD61" s="63">
        <f>(N61/$P61)</f>
        <v/>
      </c>
      <c r="AE61" s="63">
        <f>(O61/$P61)</f>
        <v/>
      </c>
      <c r="AF61" s="63">
        <f>SUM(R61:AE61)</f>
        <v/>
      </c>
      <c r="AG61" s="63">
        <f>T61+U61+V61</f>
        <v/>
      </c>
      <c r="AH61" s="63">
        <f>SUM(W61:AD61)</f>
        <v/>
      </c>
      <c r="AI61" s="42">
        <f>AE61+AH61</f>
        <v/>
      </c>
      <c r="AJ61" s="41">
        <f>AI61+AG61</f>
        <v/>
      </c>
      <c r="AK61" s="41" t="n"/>
      <c r="AL61" s="41" t="n"/>
    </row>
    <row r="62" hidden="1" ht="18" customHeight="1" s="259">
      <c r="A62" s="8" t="n">
        <v>45250</v>
      </c>
      <c r="B62" s="65" t="n">
        <v>22.14</v>
      </c>
      <c r="C62" s="65" t="n">
        <v>3.2</v>
      </c>
      <c r="D62" s="65" t="n">
        <v>3.86</v>
      </c>
      <c r="E62" s="65" t="n">
        <v>0</v>
      </c>
      <c r="F62" s="65" t="n">
        <v>0.62</v>
      </c>
      <c r="G62" s="65" t="n">
        <v>0</v>
      </c>
      <c r="H62" s="65" t="n">
        <v>0.12</v>
      </c>
      <c r="I62" s="65" t="n">
        <v>0</v>
      </c>
      <c r="J62" s="65" t="n">
        <v>0.16</v>
      </c>
      <c r="K62" s="65" t="n">
        <v>0</v>
      </c>
      <c r="L62" s="65" t="n">
        <v>0.06</v>
      </c>
      <c r="M62" s="65" t="n">
        <v>0.04</v>
      </c>
      <c r="N62" s="65" t="n">
        <v>0</v>
      </c>
      <c r="O62" s="65" t="n">
        <v>1.12</v>
      </c>
      <c r="P62" s="65">
        <f>SUM(B62:O62)</f>
        <v/>
      </c>
      <c r="R62" s="63">
        <f>(B62/$P62)</f>
        <v/>
      </c>
      <c r="S62" s="63">
        <f>(C62/$P62)</f>
        <v/>
      </c>
      <c r="T62" s="63">
        <f>(D62/$P62)</f>
        <v/>
      </c>
      <c r="U62" s="63">
        <f>(E62/$P62)</f>
        <v/>
      </c>
      <c r="V62" s="63">
        <f>(F62/$P62)</f>
        <v/>
      </c>
      <c r="W62" s="63">
        <f>(G62/$P62)</f>
        <v/>
      </c>
      <c r="X62" s="63">
        <f>(H62/$P62)</f>
        <v/>
      </c>
      <c r="Y62" s="63">
        <f>(I62/$P62)</f>
        <v/>
      </c>
      <c r="Z62" s="63">
        <f>(J62/$P62)</f>
        <v/>
      </c>
      <c r="AA62" s="63">
        <f>(K62/P62)</f>
        <v/>
      </c>
      <c r="AB62" s="63">
        <f>(L62/$P62)</f>
        <v/>
      </c>
      <c r="AC62" s="63">
        <f>(M62/$P62)</f>
        <v/>
      </c>
      <c r="AD62" s="63">
        <f>(N62/$P62)</f>
        <v/>
      </c>
      <c r="AE62" s="63">
        <f>(O62/$P62)</f>
        <v/>
      </c>
      <c r="AF62" s="63">
        <f>SUM(R62:AE62)</f>
        <v/>
      </c>
      <c r="AG62" s="63">
        <f>T62+U62+V62</f>
        <v/>
      </c>
      <c r="AH62" s="63">
        <f>SUM(W62:AD62)</f>
        <v/>
      </c>
      <c r="AI62" s="42">
        <f>AE62+AH62</f>
        <v/>
      </c>
      <c r="AJ62" s="41">
        <f>AI62+AG62</f>
        <v/>
      </c>
      <c r="AK62" s="41" t="n"/>
      <c r="AL62" s="41" t="n"/>
    </row>
    <row r="63" hidden="1" ht="18" customHeight="1" s="259">
      <c r="A63" s="8" t="n">
        <v>45265</v>
      </c>
      <c r="B63" s="65" t="n">
        <v>19.62</v>
      </c>
      <c r="C63" s="65" t="n">
        <v>4.38</v>
      </c>
      <c r="D63" s="65" t="n">
        <v>3.44</v>
      </c>
      <c r="E63" s="65" t="n">
        <v>0.4</v>
      </c>
      <c r="F63" s="65" t="n">
        <v>1</v>
      </c>
      <c r="G63" s="65" t="n">
        <v>0</v>
      </c>
      <c r="H63" s="65" t="n">
        <v>0.16</v>
      </c>
      <c r="I63" s="65" t="n">
        <v>0</v>
      </c>
      <c r="J63" s="65" t="n">
        <v>0.04</v>
      </c>
      <c r="K63" s="65" t="n">
        <v>0.06</v>
      </c>
      <c r="L63" s="65" t="n">
        <v>0.22</v>
      </c>
      <c r="M63" s="65" t="n">
        <v>0.06</v>
      </c>
      <c r="N63" s="65" t="n">
        <v>0</v>
      </c>
      <c r="O63" s="65" t="n">
        <v>0.88</v>
      </c>
      <c r="P63" s="65">
        <f>SUM(B63:O63)</f>
        <v/>
      </c>
      <c r="R63" s="63">
        <f>(B63/$P63)</f>
        <v/>
      </c>
      <c r="S63" s="63">
        <f>(C63/$P63)</f>
        <v/>
      </c>
      <c r="T63" s="63">
        <f>(D63/$P63)</f>
        <v/>
      </c>
      <c r="U63" s="63">
        <f>(E63/$P63)</f>
        <v/>
      </c>
      <c r="V63" s="63">
        <f>(F63/$P63)</f>
        <v/>
      </c>
      <c r="W63" s="63">
        <f>(G63/$P63)</f>
        <v/>
      </c>
      <c r="X63" s="63">
        <f>(H63/$P63)</f>
        <v/>
      </c>
      <c r="Y63" s="63">
        <f>(I63/$P63)</f>
        <v/>
      </c>
      <c r="Z63" s="63">
        <f>(J63/$P63)</f>
        <v/>
      </c>
      <c r="AA63" s="63">
        <f>(K63/P63)</f>
        <v/>
      </c>
      <c r="AB63" s="63">
        <f>(L63/$P63)</f>
        <v/>
      </c>
      <c r="AC63" s="63">
        <f>(M63/$P63)</f>
        <v/>
      </c>
      <c r="AD63" s="63">
        <f>(N63/$P63)</f>
        <v/>
      </c>
      <c r="AE63" s="63">
        <f>(O63/$P63)</f>
        <v/>
      </c>
      <c r="AF63" s="63">
        <f>SUM(R63:AE63)</f>
        <v/>
      </c>
      <c r="AG63" s="63">
        <f>T63+U63+V63</f>
        <v/>
      </c>
      <c r="AH63" s="63">
        <f>SUM(W63:AD63)</f>
        <v/>
      </c>
      <c r="AI63" s="42">
        <f>AE63+AH63</f>
        <v/>
      </c>
      <c r="AJ63" s="41">
        <f>AI63+AG63</f>
        <v/>
      </c>
      <c r="AK63" s="41" t="n"/>
      <c r="AL63" s="41" t="n"/>
    </row>
    <row r="64" hidden="1" ht="18" customHeight="1" s="259">
      <c r="A64" s="8" t="n">
        <v>45288</v>
      </c>
      <c r="B64" s="65" t="n">
        <v>30.24</v>
      </c>
      <c r="C64" s="65" t="n">
        <v>1.1</v>
      </c>
      <c r="D64" s="65" t="n">
        <v>0.18</v>
      </c>
      <c r="E64" s="65" t="n">
        <v>0.28</v>
      </c>
      <c r="F64" s="65" t="n">
        <v>0.88</v>
      </c>
      <c r="G64" s="65" t="n">
        <v>0.08</v>
      </c>
      <c r="H64" s="65" t="n">
        <v>0.04</v>
      </c>
      <c r="I64" s="65" t="n">
        <v>0</v>
      </c>
      <c r="J64" s="65" t="n">
        <v>0</v>
      </c>
      <c r="K64" s="65" t="n">
        <v>0.1</v>
      </c>
      <c r="L64" s="65" t="n">
        <v>0.1</v>
      </c>
      <c r="M64" s="65" t="n">
        <v>0</v>
      </c>
      <c r="N64" s="65" t="n">
        <v>0</v>
      </c>
      <c r="O64" s="65" t="n">
        <v>0.92</v>
      </c>
      <c r="P64" s="65">
        <f>SUM(B64:O64)</f>
        <v/>
      </c>
      <c r="R64" s="63">
        <f>(B64/$P64)</f>
        <v/>
      </c>
      <c r="S64" s="63">
        <f>(C64/$P64)</f>
        <v/>
      </c>
      <c r="T64" s="63">
        <f>(D64/$P64)</f>
        <v/>
      </c>
      <c r="U64" s="63">
        <f>(E64/$P64)</f>
        <v/>
      </c>
      <c r="V64" s="63">
        <f>(F64/$P64)</f>
        <v/>
      </c>
      <c r="W64" s="63">
        <f>(G64/$P64)</f>
        <v/>
      </c>
      <c r="X64" s="63">
        <f>(H64/$P64)</f>
        <v/>
      </c>
      <c r="Y64" s="63">
        <f>(I64/$P64)</f>
        <v/>
      </c>
      <c r="Z64" s="63">
        <f>(J64/$P64)</f>
        <v/>
      </c>
      <c r="AA64" s="63">
        <f>(K64/P64)</f>
        <v/>
      </c>
      <c r="AB64" s="63">
        <f>(L64/$P64)</f>
        <v/>
      </c>
      <c r="AC64" s="63">
        <f>(M64/$P64)</f>
        <v/>
      </c>
      <c r="AD64" s="63">
        <f>(N64/$P64)</f>
        <v/>
      </c>
      <c r="AE64" s="63">
        <f>(O64/$P64)</f>
        <v/>
      </c>
      <c r="AF64" s="63">
        <f>SUM(R64:AE64)</f>
        <v/>
      </c>
      <c r="AG64" s="63">
        <f>T64+U64+V64</f>
        <v/>
      </c>
      <c r="AH64" s="63">
        <f>SUM(W64:AD64)</f>
        <v/>
      </c>
      <c r="AI64" s="42">
        <f>AE64+AH64</f>
        <v/>
      </c>
      <c r="AJ64" s="41">
        <f>AI64+AG64</f>
        <v/>
      </c>
      <c r="AK64" s="41" t="n"/>
      <c r="AL64" s="41" t="n"/>
    </row>
    <row r="65" hidden="1" ht="18" customHeight="1" s="259">
      <c r="A65" s="8" t="n">
        <v>45293</v>
      </c>
      <c r="B65" s="65" t="n">
        <v>25.96</v>
      </c>
      <c r="C65" s="65" t="n">
        <v>3.08</v>
      </c>
      <c r="D65" s="65" t="n">
        <v>0.62</v>
      </c>
      <c r="E65" s="65" t="n">
        <v>0.48</v>
      </c>
      <c r="F65" s="65" t="n">
        <v>1.36</v>
      </c>
      <c r="G65" s="65" t="n">
        <v>0</v>
      </c>
      <c r="H65" s="65" t="n">
        <v>0.2</v>
      </c>
      <c r="I65" s="65" t="n">
        <v>0.16</v>
      </c>
      <c r="J65" s="65" t="n">
        <v>0.04</v>
      </c>
      <c r="K65" s="65" t="n">
        <v>0.12</v>
      </c>
      <c r="L65" s="65" t="n">
        <v>0</v>
      </c>
      <c r="M65" s="65" t="n">
        <v>0</v>
      </c>
      <c r="N65" s="65" t="n">
        <v>0.02</v>
      </c>
      <c r="O65" s="65" t="n">
        <v>0.9399999999999999</v>
      </c>
      <c r="P65" s="65">
        <f>SUM(B65:O65)</f>
        <v/>
      </c>
      <c r="R65" s="63">
        <f>(B65/$P65)</f>
        <v/>
      </c>
      <c r="S65" s="63">
        <f>(C65/$P65)</f>
        <v/>
      </c>
      <c r="T65" s="63">
        <f>(D65/$P65)</f>
        <v/>
      </c>
      <c r="U65" s="63">
        <f>(E65/$P65)</f>
        <v/>
      </c>
      <c r="V65" s="63">
        <f>(F65/$P65)</f>
        <v/>
      </c>
      <c r="W65" s="63">
        <f>(G65/$P65)</f>
        <v/>
      </c>
      <c r="X65" s="63">
        <f>(H65/$P65)</f>
        <v/>
      </c>
      <c r="Y65" s="63">
        <f>(I65/$P65)</f>
        <v/>
      </c>
      <c r="Z65" s="63">
        <f>(J65/$P65)</f>
        <v/>
      </c>
      <c r="AA65" s="63">
        <f>(K65/P65)</f>
        <v/>
      </c>
      <c r="AB65" s="63">
        <f>(L65/$P65)</f>
        <v/>
      </c>
      <c r="AC65" s="63">
        <f>(M65/$P65)</f>
        <v/>
      </c>
      <c r="AD65" s="63">
        <f>(N65/$P65)</f>
        <v/>
      </c>
      <c r="AE65" s="63">
        <f>(O65/$P65)</f>
        <v/>
      </c>
      <c r="AF65" s="63">
        <f>SUM(R65:AE65)</f>
        <v/>
      </c>
      <c r="AG65" s="63">
        <f>T65+U65+V65</f>
        <v/>
      </c>
      <c r="AH65" s="63">
        <f>SUM(W65:AD65)</f>
        <v/>
      </c>
      <c r="AI65" s="42">
        <f>AE65+AH65</f>
        <v/>
      </c>
      <c r="AJ65" s="41">
        <f>AI65+AG65</f>
        <v/>
      </c>
      <c r="AK65" s="41">
        <f>SUM(R65:S65)</f>
        <v/>
      </c>
      <c r="AL65" s="41">
        <f>AI65</f>
        <v/>
      </c>
      <c r="AM65">
        <f>YEAR(A65)</f>
        <v/>
      </c>
      <c r="AN65">
        <f>MONTH(A65)</f>
        <v/>
      </c>
      <c r="AO65" t="n">
        <v>1</v>
      </c>
    </row>
    <row r="66" hidden="1" ht="18" customHeight="1" s="259">
      <c r="A66" s="8" t="n">
        <v>45294</v>
      </c>
      <c r="B66" s="65" t="n">
        <v>2.87</v>
      </c>
      <c r="C66" s="65" t="n">
        <v>1.05</v>
      </c>
      <c r="D66" s="65" t="n">
        <v>1.99</v>
      </c>
      <c r="E66" s="65" t="n">
        <v>0.34</v>
      </c>
      <c r="F66" s="65" t="n">
        <v>0.26</v>
      </c>
      <c r="G66" s="65" t="n">
        <v>0.04</v>
      </c>
      <c r="H66" s="65" t="n">
        <v>0.08</v>
      </c>
      <c r="I66" s="65" t="n">
        <v>0</v>
      </c>
      <c r="J66" s="65" t="n">
        <v>0.08</v>
      </c>
      <c r="K66" s="65" t="n">
        <v>0.04</v>
      </c>
      <c r="L66" s="65" t="n">
        <v>0</v>
      </c>
      <c r="M66" s="65" t="n">
        <v>0</v>
      </c>
      <c r="N66" s="65" t="n">
        <v>0</v>
      </c>
      <c r="O66" s="65" t="n">
        <v>0.3</v>
      </c>
      <c r="P66" s="65">
        <f>SUM(B66:O66)</f>
        <v/>
      </c>
      <c r="R66" s="63">
        <f>(B66/$P66)</f>
        <v/>
      </c>
      <c r="S66" s="63">
        <f>(C66/$P66)</f>
        <v/>
      </c>
      <c r="T66" s="63">
        <f>(D66/$P66)</f>
        <v/>
      </c>
      <c r="U66" s="63">
        <f>(E66/$P66)</f>
        <v/>
      </c>
      <c r="V66" s="63">
        <f>(F66/$P66)</f>
        <v/>
      </c>
      <c r="W66" s="63">
        <f>(G66/$P66)</f>
        <v/>
      </c>
      <c r="X66" s="63">
        <f>(H66/$P66)</f>
        <v/>
      </c>
      <c r="Y66" s="63">
        <f>(I66/$P66)</f>
        <v/>
      </c>
      <c r="Z66" s="63">
        <f>(J66/$P66)</f>
        <v/>
      </c>
      <c r="AA66" s="63">
        <f>(K66/P66)</f>
        <v/>
      </c>
      <c r="AB66" s="63">
        <f>(L66/$P66)</f>
        <v/>
      </c>
      <c r="AC66" s="63">
        <f>(M66/$P66)</f>
        <v/>
      </c>
      <c r="AD66" s="63">
        <f>(N66/$P66)</f>
        <v/>
      </c>
      <c r="AE66" s="63">
        <f>(O66/$P66)</f>
        <v/>
      </c>
      <c r="AF66" s="63">
        <f>SUM(R66:AE66)</f>
        <v/>
      </c>
      <c r="AG66" s="63">
        <f>T66+U66+V66</f>
        <v/>
      </c>
      <c r="AH66" s="63">
        <f>SUM(W66:AD66)</f>
        <v/>
      </c>
      <c r="AI66" s="42">
        <f>AE66+AH66</f>
        <v/>
      </c>
      <c r="AJ66" s="41">
        <f>AI66+AG66</f>
        <v/>
      </c>
      <c r="AK66" s="41">
        <f>SUM(R66:S66)</f>
        <v/>
      </c>
      <c r="AL66" s="41">
        <f>AI66</f>
        <v/>
      </c>
      <c r="AM66">
        <f>YEAR(A66)</f>
        <v/>
      </c>
      <c r="AN66">
        <f>MONTH(A66)</f>
        <v/>
      </c>
      <c r="AO66">
        <f>AO65+1</f>
        <v/>
      </c>
    </row>
    <row r="67" hidden="1" ht="18" customHeight="1" s="259">
      <c r="A67" s="8" t="n">
        <v>45299</v>
      </c>
      <c r="B67" s="65" t="n">
        <v>23.89</v>
      </c>
      <c r="C67" s="65" t="n">
        <v>3.34</v>
      </c>
      <c r="D67" s="65" t="n">
        <v>3.68</v>
      </c>
      <c r="E67" s="65" t="n">
        <v>0.52</v>
      </c>
      <c r="F67" s="65" t="n">
        <v>2.2</v>
      </c>
      <c r="G67" s="65" t="n">
        <v>0</v>
      </c>
      <c r="H67" s="65" t="n">
        <v>0.15</v>
      </c>
      <c r="I67" s="65" t="n">
        <v>0</v>
      </c>
      <c r="J67" s="65" t="n">
        <v>0.02</v>
      </c>
      <c r="K67" s="65" t="n">
        <v>0.02</v>
      </c>
      <c r="L67" s="65" t="n">
        <v>0</v>
      </c>
      <c r="M67" s="65" t="n">
        <v>0.08</v>
      </c>
      <c r="N67" s="65" t="n">
        <v>0</v>
      </c>
      <c r="P67" s="65">
        <f>SUM(B67:O67)</f>
        <v/>
      </c>
      <c r="R67" s="63">
        <f>(B67/$P67)</f>
        <v/>
      </c>
      <c r="S67" s="63">
        <f>(C67/$P67)</f>
        <v/>
      </c>
      <c r="T67" s="63">
        <f>(D67/$P67)</f>
        <v/>
      </c>
      <c r="U67" s="63">
        <f>(E67/$P67)</f>
        <v/>
      </c>
      <c r="V67" s="63">
        <f>(F67/$P67)</f>
        <v/>
      </c>
      <c r="W67" s="63">
        <f>(G67/$P67)</f>
        <v/>
      </c>
      <c r="X67" s="63">
        <f>(H67/$P67)</f>
        <v/>
      </c>
      <c r="Y67" s="63">
        <f>(I67/$P67)</f>
        <v/>
      </c>
      <c r="Z67" s="63">
        <f>(J67/$P67)</f>
        <v/>
      </c>
      <c r="AA67" s="63">
        <f>(K67/$P67)</f>
        <v/>
      </c>
      <c r="AB67" s="63">
        <f>(L67/$P67)</f>
        <v/>
      </c>
      <c r="AC67" s="63">
        <f>(M67/$P67)</f>
        <v/>
      </c>
      <c r="AD67" s="63">
        <f>(N67/$P67)</f>
        <v/>
      </c>
      <c r="AE67" s="63">
        <f>(O67/$P67)</f>
        <v/>
      </c>
      <c r="AF67" s="63">
        <f>SUM(R67:AE67)</f>
        <v/>
      </c>
      <c r="AG67" s="63">
        <f>T67+U67+V67</f>
        <v/>
      </c>
      <c r="AH67" s="63">
        <f>SUM(W67:AD67)</f>
        <v/>
      </c>
      <c r="AI67" s="42">
        <f>AE67+AH67</f>
        <v/>
      </c>
      <c r="AJ67" s="41">
        <f>AI67+AG67</f>
        <v/>
      </c>
      <c r="AK67" s="41">
        <f>SUM(R67:S67)</f>
        <v/>
      </c>
      <c r="AL67" s="41">
        <f>AI67</f>
        <v/>
      </c>
      <c r="AM67">
        <f>YEAR(A67)</f>
        <v/>
      </c>
      <c r="AN67">
        <f>MONTH(A67)</f>
        <v/>
      </c>
      <c r="AO67">
        <f>AO66+1</f>
        <v/>
      </c>
    </row>
    <row r="68" hidden="1" ht="18" customHeight="1" s="259">
      <c r="A68" s="8" t="n">
        <v>45327</v>
      </c>
      <c r="B68" s="65" t="n">
        <v>31.76</v>
      </c>
      <c r="C68" s="65" t="n">
        <v>3.3</v>
      </c>
      <c r="D68" s="65" t="n">
        <v>2.32</v>
      </c>
      <c r="E68" s="65" t="n">
        <v>0.26</v>
      </c>
      <c r="F68" s="65" t="n">
        <v>1.74</v>
      </c>
      <c r="G68" s="65" t="n">
        <v>0.12</v>
      </c>
      <c r="H68" s="65" t="n">
        <v>0.06</v>
      </c>
      <c r="I68" s="65" t="n">
        <v>0</v>
      </c>
      <c r="J68" s="65" t="n">
        <v>0</v>
      </c>
      <c r="K68" s="65" t="n">
        <v>0.02</v>
      </c>
      <c r="L68" s="65" t="n">
        <v>0.04</v>
      </c>
      <c r="M68" s="65" t="n">
        <v>0</v>
      </c>
      <c r="N68" s="65" t="n">
        <v>0</v>
      </c>
      <c r="O68" s="65" t="n">
        <v>0.88</v>
      </c>
      <c r="P68" s="65">
        <f>SUM(B68:O68)</f>
        <v/>
      </c>
      <c r="R68" s="63">
        <f>(B68/$P68)</f>
        <v/>
      </c>
      <c r="S68" s="63">
        <f>(C68/$P68)</f>
        <v/>
      </c>
      <c r="T68" s="63">
        <f>(D68/$P68)</f>
        <v/>
      </c>
      <c r="U68" s="63">
        <f>(E68/$P68)</f>
        <v/>
      </c>
      <c r="V68" s="63">
        <f>(F68/$P68)</f>
        <v/>
      </c>
      <c r="W68" s="63">
        <f>(G68/$P68)</f>
        <v/>
      </c>
      <c r="X68" s="63">
        <f>(H68/$P68)</f>
        <v/>
      </c>
      <c r="Y68" s="63">
        <f>(I68/$P68)</f>
        <v/>
      </c>
      <c r="Z68" s="63">
        <f>(J68/$P68)</f>
        <v/>
      </c>
      <c r="AA68" s="63">
        <f>(K68/$P68)</f>
        <v/>
      </c>
      <c r="AB68" s="63">
        <f>(L68/$P68)</f>
        <v/>
      </c>
      <c r="AC68" s="63">
        <f>(M68/$P68)</f>
        <v/>
      </c>
      <c r="AD68" s="63">
        <f>(N68/$P68)</f>
        <v/>
      </c>
      <c r="AE68" s="63">
        <f>(O68/$P68)</f>
        <v/>
      </c>
      <c r="AF68" s="63">
        <f>SUM(R68:AE68)</f>
        <v/>
      </c>
      <c r="AG68" s="63">
        <f>T68+U68+V68</f>
        <v/>
      </c>
      <c r="AH68" s="63">
        <f>SUM(W68:AD68)</f>
        <v/>
      </c>
      <c r="AI68" s="42">
        <f>AE68+AH68</f>
        <v/>
      </c>
      <c r="AJ68" s="41">
        <f>AI68+AG68</f>
        <v/>
      </c>
      <c r="AK68" s="41">
        <f>SUM(R68:S68)</f>
        <v/>
      </c>
      <c r="AL68" s="41">
        <f>AI68</f>
        <v/>
      </c>
      <c r="AM68">
        <f>YEAR(A68)</f>
        <v/>
      </c>
      <c r="AN68">
        <f>MONTH(A68)</f>
        <v/>
      </c>
      <c r="AO68">
        <f>AO67+1</f>
        <v/>
      </c>
    </row>
    <row r="69" hidden="1" ht="18" customHeight="1" s="259">
      <c r="A69" s="8" t="n">
        <v>45339</v>
      </c>
      <c r="B69" s="65" t="n">
        <v>20.8</v>
      </c>
      <c r="C69" s="65" t="n">
        <v>6.26</v>
      </c>
      <c r="D69" s="65" t="n">
        <v>1.04</v>
      </c>
      <c r="E69" s="65" t="n">
        <v>0.2</v>
      </c>
      <c r="F69" s="65" t="n">
        <v>0.34</v>
      </c>
      <c r="G69" s="65" t="n">
        <v>0</v>
      </c>
      <c r="H69" s="65" t="n">
        <v>0</v>
      </c>
      <c r="I69" s="65" t="n">
        <v>0</v>
      </c>
      <c r="J69" s="65" t="n">
        <v>0</v>
      </c>
      <c r="K69" s="65" t="n">
        <v>0</v>
      </c>
      <c r="L69" s="65" t="n">
        <v>0</v>
      </c>
      <c r="M69" s="65" t="n">
        <v>0</v>
      </c>
      <c r="N69" s="65" t="n">
        <v>0</v>
      </c>
      <c r="O69" s="65" t="n">
        <v>0.22</v>
      </c>
      <c r="P69" s="65">
        <f>SUM(B69:O69)</f>
        <v/>
      </c>
      <c r="R69" s="63">
        <f>(B69/$P69)</f>
        <v/>
      </c>
      <c r="S69" s="63">
        <f>(C69/$P69)</f>
        <v/>
      </c>
      <c r="T69" s="63">
        <f>(D69/$P69)</f>
        <v/>
      </c>
      <c r="U69" s="63">
        <f>(E69/$P69)</f>
        <v/>
      </c>
      <c r="V69" s="63">
        <f>(F69/$P69)</f>
        <v/>
      </c>
      <c r="W69" s="63">
        <f>(G69/$P69)</f>
        <v/>
      </c>
      <c r="X69" s="63">
        <f>(H69/$P69)</f>
        <v/>
      </c>
      <c r="Y69" s="63">
        <f>(I69/$P69)</f>
        <v/>
      </c>
      <c r="Z69" s="63">
        <f>(J69/$P69)</f>
        <v/>
      </c>
      <c r="AA69" s="63">
        <f>(K69/$P69)</f>
        <v/>
      </c>
      <c r="AB69" s="63">
        <f>(L69/$P69)</f>
        <v/>
      </c>
      <c r="AC69" s="63">
        <f>(M69/$P69)</f>
        <v/>
      </c>
      <c r="AD69" s="63">
        <f>(N69/$P69)</f>
        <v/>
      </c>
      <c r="AE69" s="63">
        <f>(O69/$P69)</f>
        <v/>
      </c>
      <c r="AG69" s="63">
        <f>T69+U69+V69</f>
        <v/>
      </c>
      <c r="AH69" s="63">
        <f>SUM(W69:AD69)</f>
        <v/>
      </c>
      <c r="AI69" s="42">
        <f>AE69+AH69</f>
        <v/>
      </c>
      <c r="AJ69" s="41">
        <f>AI69+AG69</f>
        <v/>
      </c>
      <c r="AK69" s="41">
        <f>SUM(R69:S69)</f>
        <v/>
      </c>
      <c r="AL69" s="41">
        <f>AI69</f>
        <v/>
      </c>
      <c r="AM69">
        <f>YEAR(A69)</f>
        <v/>
      </c>
      <c r="AN69">
        <f>MONTH(A69)</f>
        <v/>
      </c>
      <c r="AO69">
        <f>AO68+1</f>
        <v/>
      </c>
    </row>
    <row r="70" hidden="1" ht="18" customHeight="1" s="259">
      <c r="A70" s="8" t="n">
        <v>45342</v>
      </c>
      <c r="B70" s="65" t="n">
        <v>20.66</v>
      </c>
      <c r="C70" s="65" t="n">
        <v>5.86</v>
      </c>
      <c r="D70" s="65" t="n">
        <v>1.96</v>
      </c>
      <c r="E70" s="65" t="n">
        <v>0.8</v>
      </c>
      <c r="F70" s="65" t="n">
        <v>0.86</v>
      </c>
      <c r="G70" s="65" t="n">
        <v>0.04</v>
      </c>
      <c r="H70" s="65" t="n">
        <v>0</v>
      </c>
      <c r="I70" s="65" t="n">
        <v>0</v>
      </c>
      <c r="J70" s="65" t="n">
        <v>0.08</v>
      </c>
      <c r="K70" s="65" t="n">
        <v>0.08</v>
      </c>
      <c r="L70" s="65" t="n">
        <v>0.1</v>
      </c>
      <c r="M70" s="65" t="n">
        <v>0</v>
      </c>
      <c r="N70" s="65" t="n">
        <v>0</v>
      </c>
      <c r="O70" s="65" t="n">
        <v>0.86</v>
      </c>
      <c r="P70" s="65">
        <f>SUM(B70:O70)</f>
        <v/>
      </c>
      <c r="R70" s="63">
        <f>(B70/$P70)</f>
        <v/>
      </c>
      <c r="S70" s="63">
        <f>(C70/$P70)</f>
        <v/>
      </c>
      <c r="T70" s="63">
        <f>(D70/$P70)</f>
        <v/>
      </c>
      <c r="U70" s="63">
        <f>(E70/$P70)</f>
        <v/>
      </c>
      <c r="V70" s="63">
        <f>(F70/$P70)</f>
        <v/>
      </c>
      <c r="W70" s="63">
        <f>(G70/$P70)</f>
        <v/>
      </c>
      <c r="X70" s="63">
        <f>(H70/$P70)</f>
        <v/>
      </c>
      <c r="Y70" s="63">
        <f>(I70/$P70)</f>
        <v/>
      </c>
      <c r="Z70" s="63">
        <f>(J70/$P70)</f>
        <v/>
      </c>
      <c r="AA70" s="63">
        <f>(K70/$P70)</f>
        <v/>
      </c>
      <c r="AB70" s="63">
        <f>(L70/$P70)</f>
        <v/>
      </c>
      <c r="AC70" s="63">
        <f>(M70/$P70)</f>
        <v/>
      </c>
      <c r="AD70" s="63">
        <f>(N70/$P70)</f>
        <v/>
      </c>
      <c r="AE70" s="63">
        <f>(O70/$P70)</f>
        <v/>
      </c>
      <c r="AG70" s="63">
        <f>T70+U70+V70</f>
        <v/>
      </c>
      <c r="AH70" s="63">
        <f>SUM(W70:AD70)</f>
        <v/>
      </c>
      <c r="AI70" s="42">
        <f>AE70+AH70</f>
        <v/>
      </c>
      <c r="AJ70" s="41">
        <f>AI70+AG70</f>
        <v/>
      </c>
      <c r="AK70" s="41">
        <f>SUM(R70:S70)</f>
        <v/>
      </c>
      <c r="AL70" s="41">
        <f>AI70</f>
        <v/>
      </c>
      <c r="AM70">
        <f>YEAR(A70)</f>
        <v/>
      </c>
      <c r="AN70">
        <f>MONTH(A70)</f>
        <v/>
      </c>
      <c r="AO70">
        <f>AO69+1</f>
        <v/>
      </c>
    </row>
    <row r="71" hidden="1" ht="18" customHeight="1" s="259">
      <c r="A71" s="8" t="n">
        <v>45362</v>
      </c>
      <c r="B71" s="65" t="n">
        <v>18.5</v>
      </c>
      <c r="C71" s="65" t="n">
        <v>6</v>
      </c>
      <c r="D71" s="65" t="n">
        <v>3.74</v>
      </c>
      <c r="E71" s="65" t="n">
        <v>1.74</v>
      </c>
      <c r="F71" s="65" t="n">
        <v>1.3</v>
      </c>
      <c r="G71" s="65" t="n">
        <v>0</v>
      </c>
      <c r="H71" s="65" t="n">
        <v>0.22</v>
      </c>
      <c r="I71" s="65" t="n">
        <v>0.08</v>
      </c>
      <c r="J71" s="65" t="n">
        <v>0.22</v>
      </c>
      <c r="K71" s="65" t="n">
        <v>0.06</v>
      </c>
      <c r="L71" s="65" t="n">
        <v>0.02</v>
      </c>
      <c r="M71" s="65" t="n">
        <v>0</v>
      </c>
      <c r="N71" s="65" t="n">
        <v>0</v>
      </c>
      <c r="O71" s="65" t="n">
        <v>2.34</v>
      </c>
      <c r="P71" s="65">
        <f>SUM(B71:O71)</f>
        <v/>
      </c>
      <c r="R71" s="63">
        <f>(B71/$P71)</f>
        <v/>
      </c>
      <c r="S71" s="63">
        <f>(C71/$P71)</f>
        <v/>
      </c>
      <c r="T71" s="63">
        <f>(D71/$P71)</f>
        <v/>
      </c>
      <c r="U71" s="63">
        <f>(E71/$P71)</f>
        <v/>
      </c>
      <c r="V71" s="63">
        <f>(F71/$P71)</f>
        <v/>
      </c>
      <c r="W71" s="63">
        <f>(G71/$P71)</f>
        <v/>
      </c>
      <c r="X71" s="63">
        <f>(H71/$P71)</f>
        <v/>
      </c>
      <c r="Y71" s="63">
        <f>(I71/$P71)</f>
        <v/>
      </c>
      <c r="Z71" s="63">
        <f>(J71/$P71)</f>
        <v/>
      </c>
      <c r="AA71" s="63">
        <f>(K71/$P71)</f>
        <v/>
      </c>
      <c r="AB71" s="63">
        <f>(L71/$P71)</f>
        <v/>
      </c>
      <c r="AC71" s="63">
        <f>(M71/$P71)</f>
        <v/>
      </c>
      <c r="AD71" s="63">
        <f>(N71/$P71)</f>
        <v/>
      </c>
      <c r="AE71" s="63">
        <f>(O71/$P71)</f>
        <v/>
      </c>
      <c r="AG71" s="63">
        <f>T71+U71+V71</f>
        <v/>
      </c>
      <c r="AH71" s="63">
        <f>SUM(W71:AD71)</f>
        <v/>
      </c>
      <c r="AI71" s="42">
        <f>AE71+AH71</f>
        <v/>
      </c>
      <c r="AJ71" s="41">
        <f>AI71+AG71</f>
        <v/>
      </c>
      <c r="AK71" s="41">
        <f>SUM(R71:S71)</f>
        <v/>
      </c>
      <c r="AL71" s="41">
        <f>AI71</f>
        <v/>
      </c>
      <c r="AM71">
        <f>YEAR(A71)</f>
        <v/>
      </c>
      <c r="AN71">
        <f>MONTH(A71)</f>
        <v/>
      </c>
      <c r="AO71">
        <f>AO70+1</f>
        <v/>
      </c>
    </row>
    <row r="72" hidden="1" ht="18" customHeight="1" s="259">
      <c r="A72" s="8" t="n">
        <v>45363</v>
      </c>
      <c r="B72" s="65" t="n">
        <v>20.26</v>
      </c>
      <c r="C72" s="65" t="n">
        <v>5.38</v>
      </c>
      <c r="D72" s="65" t="n">
        <v>4.1</v>
      </c>
      <c r="E72" s="65" t="n">
        <v>0.64</v>
      </c>
      <c r="F72" s="65" t="n">
        <v>0.34</v>
      </c>
      <c r="G72" s="65" t="n">
        <v>0.12</v>
      </c>
      <c r="H72" s="65" t="n">
        <v>0.3</v>
      </c>
      <c r="I72" s="65" t="n">
        <v>0.04</v>
      </c>
      <c r="J72" s="65" t="n">
        <v>0.1</v>
      </c>
      <c r="K72" s="65" t="n">
        <v>0.08</v>
      </c>
      <c r="L72" s="65" t="n">
        <v>0.12</v>
      </c>
      <c r="M72" s="65" t="n">
        <v>0.1</v>
      </c>
      <c r="N72" s="65" t="n">
        <v>0</v>
      </c>
      <c r="O72" s="65" t="n">
        <v>1.32</v>
      </c>
      <c r="P72" s="65">
        <f>SUM(B72:O72)</f>
        <v/>
      </c>
      <c r="R72" s="63">
        <f>(B72/$P72)</f>
        <v/>
      </c>
      <c r="S72" s="63">
        <f>(C72/$P72)</f>
        <v/>
      </c>
      <c r="T72" s="63">
        <f>(D72/$P72)</f>
        <v/>
      </c>
      <c r="U72" s="63">
        <f>(E72/$P72)</f>
        <v/>
      </c>
      <c r="V72" s="63">
        <f>(F72/$P72)</f>
        <v/>
      </c>
      <c r="W72" s="63">
        <f>(G72/$P72)</f>
        <v/>
      </c>
      <c r="X72" s="63">
        <f>(H72/$P72)</f>
        <v/>
      </c>
      <c r="Y72" s="63">
        <f>(I72/$P72)</f>
        <v/>
      </c>
      <c r="Z72" s="63">
        <f>(J72/$P72)</f>
        <v/>
      </c>
      <c r="AA72" s="63">
        <f>(K72/$P72)</f>
        <v/>
      </c>
      <c r="AB72" s="63">
        <f>(L72/$P72)</f>
        <v/>
      </c>
      <c r="AC72" s="63">
        <f>(M72/$P72)</f>
        <v/>
      </c>
      <c r="AD72" s="63">
        <f>(N72/$P72)</f>
        <v/>
      </c>
      <c r="AE72" s="63">
        <f>(O72/$P72)</f>
        <v/>
      </c>
      <c r="AG72" s="63">
        <f>T72+U72+V72</f>
        <v/>
      </c>
      <c r="AH72" s="63">
        <f>SUM(W72:AD72)</f>
        <v/>
      </c>
      <c r="AI72" s="42">
        <f>AE72+AH72</f>
        <v/>
      </c>
      <c r="AJ72" s="41">
        <f>AI72+AG72</f>
        <v/>
      </c>
      <c r="AK72" s="41">
        <f>SUM(R72:S72)</f>
        <v/>
      </c>
      <c r="AL72" s="41">
        <f>AI72</f>
        <v/>
      </c>
      <c r="AM72">
        <f>YEAR(A72)</f>
        <v/>
      </c>
      <c r="AN72">
        <f>MONTH(A72)</f>
        <v/>
      </c>
      <c r="AO72">
        <f>AO71+1</f>
        <v/>
      </c>
    </row>
    <row r="73" hidden="1" ht="18" customHeight="1" s="259">
      <c r="A73" s="8" t="n">
        <v>45394</v>
      </c>
      <c r="B73" s="65" t="n">
        <v>9.5</v>
      </c>
      <c r="C73" s="65" t="n">
        <v>2.42</v>
      </c>
      <c r="D73" s="65" t="n">
        <v>2.28</v>
      </c>
      <c r="E73" s="65" t="n">
        <v>1.34</v>
      </c>
      <c r="F73" s="65" t="n">
        <v>0.24</v>
      </c>
      <c r="G73" s="65" t="n">
        <v>0.06</v>
      </c>
      <c r="H73" s="65" t="n">
        <v>0.1</v>
      </c>
      <c r="J73" s="65" t="n">
        <v>0.02</v>
      </c>
      <c r="K73" s="65" t="n">
        <v>0</v>
      </c>
      <c r="L73" s="65" t="n">
        <v>0.14</v>
      </c>
      <c r="M73" s="65" t="n">
        <v>0</v>
      </c>
      <c r="O73" s="65" t="n">
        <v>1.02</v>
      </c>
      <c r="P73" s="65">
        <f>SUM(B73:O73)</f>
        <v/>
      </c>
      <c r="R73" s="63">
        <f>(B73/$P73)</f>
        <v/>
      </c>
      <c r="S73" s="63">
        <f>(C73/$P73)</f>
        <v/>
      </c>
      <c r="T73" s="63">
        <f>(D73/$P73)</f>
        <v/>
      </c>
      <c r="U73" s="63">
        <f>(E73/$P73)</f>
        <v/>
      </c>
      <c r="V73" s="63">
        <f>(F73/$P73)</f>
        <v/>
      </c>
      <c r="W73" s="63">
        <f>(G73/$P73)</f>
        <v/>
      </c>
      <c r="X73" s="63">
        <f>(H73/$P73)</f>
        <v/>
      </c>
      <c r="Y73" s="63">
        <f>(I73/$P73)</f>
        <v/>
      </c>
      <c r="Z73" s="63">
        <f>(J73/$P73)</f>
        <v/>
      </c>
      <c r="AA73" s="63">
        <f>(K73/$P73)</f>
        <v/>
      </c>
      <c r="AB73" s="63">
        <f>(L73/$P73)</f>
        <v/>
      </c>
      <c r="AC73" s="63">
        <f>(M73/$P73)</f>
        <v/>
      </c>
      <c r="AD73" s="63">
        <f>(N73/$P73)</f>
        <v/>
      </c>
      <c r="AE73" s="63">
        <f>(O73/$P73)</f>
        <v/>
      </c>
      <c r="AG73" s="63">
        <f>T73+U73+V73</f>
        <v/>
      </c>
      <c r="AH73" s="63">
        <f>SUM(W73:AD73)</f>
        <v/>
      </c>
      <c r="AI73" s="42">
        <f>AE73+AH73</f>
        <v/>
      </c>
      <c r="AJ73" s="41">
        <f>AI73+AG73</f>
        <v/>
      </c>
      <c r="AK73" s="41">
        <f>SUM(R73:S73)</f>
        <v/>
      </c>
      <c r="AL73" s="41">
        <f>AI73</f>
        <v/>
      </c>
      <c r="AM73">
        <f>YEAR(A73)</f>
        <v/>
      </c>
      <c r="AN73">
        <f>MONTH(A73)</f>
        <v/>
      </c>
      <c r="AO73">
        <f>AO72+1</f>
        <v/>
      </c>
    </row>
    <row r="74" hidden="1" ht="18" customHeight="1" s="259">
      <c r="A74" s="9" t="n">
        <v>45397</v>
      </c>
      <c r="B74" s="65" t="n">
        <v>13.78</v>
      </c>
      <c r="C74" s="65" t="n">
        <v>5.92</v>
      </c>
      <c r="D74" s="65" t="n">
        <v>2.1</v>
      </c>
      <c r="E74" s="65" t="n">
        <v>0.98</v>
      </c>
      <c r="F74" s="65" t="n">
        <v>0.38</v>
      </c>
      <c r="G74" s="65" t="n">
        <v>0</v>
      </c>
      <c r="H74" s="65" t="n">
        <v>0.1</v>
      </c>
      <c r="I74" s="65" t="n">
        <v>0</v>
      </c>
      <c r="J74" s="65" t="n">
        <v>0.02</v>
      </c>
      <c r="K74" s="65" t="n">
        <v>0</v>
      </c>
      <c r="L74" s="65" t="n">
        <v>0</v>
      </c>
      <c r="M74" s="65" t="n">
        <v>0.02</v>
      </c>
      <c r="N74" s="65" t="n">
        <v>0</v>
      </c>
      <c r="O74" s="65" t="n">
        <v>1.6</v>
      </c>
      <c r="P74" s="65">
        <f>SUM(B74:O74)</f>
        <v/>
      </c>
      <c r="R74" s="63">
        <f>(B74/$P74)</f>
        <v/>
      </c>
      <c r="S74" s="63">
        <f>(C74/$P74)</f>
        <v/>
      </c>
      <c r="T74" s="63">
        <f>(D74/$P74)</f>
        <v/>
      </c>
      <c r="U74" s="63">
        <f>(E74/$P74)</f>
        <v/>
      </c>
      <c r="V74" s="63">
        <f>(F74/$P74)</f>
        <v/>
      </c>
      <c r="W74" s="63">
        <f>(G74/$P74)</f>
        <v/>
      </c>
      <c r="X74" s="63">
        <f>(H74/$P74)</f>
        <v/>
      </c>
      <c r="Y74" s="63">
        <f>(I74/$P74)</f>
        <v/>
      </c>
      <c r="Z74" s="63">
        <f>(J74/$P74)</f>
        <v/>
      </c>
      <c r="AA74" s="63">
        <f>(K74/$P74)</f>
        <v/>
      </c>
      <c r="AB74" s="63">
        <f>(L74/$P74)</f>
        <v/>
      </c>
      <c r="AC74" s="63">
        <f>(M74/$P74)</f>
        <v/>
      </c>
      <c r="AD74" s="63">
        <f>(N74/$P74)</f>
        <v/>
      </c>
      <c r="AE74" s="63">
        <f>(O74/$P74)</f>
        <v/>
      </c>
      <c r="AG74" s="63">
        <f>T74+U74+V74</f>
        <v/>
      </c>
      <c r="AH74" s="63">
        <f>SUM(W74:AD74)</f>
        <v/>
      </c>
      <c r="AI74" s="42">
        <f>AE74+AH74</f>
        <v/>
      </c>
      <c r="AJ74" s="41">
        <f>AI74+AG74</f>
        <v/>
      </c>
      <c r="AK74" s="41">
        <f>SUM(R74:S74)</f>
        <v/>
      </c>
      <c r="AL74" s="41">
        <f>AI74</f>
        <v/>
      </c>
      <c r="AM74">
        <f>YEAR(A74)</f>
        <v/>
      </c>
      <c r="AN74">
        <f>MONTH(A74)</f>
        <v/>
      </c>
      <c r="AO74">
        <f>AO73+1</f>
        <v/>
      </c>
    </row>
    <row r="75" hidden="1" ht="18" customHeight="1" s="259">
      <c r="A75" s="8" t="n">
        <v>45399</v>
      </c>
      <c r="B75" s="65" t="n">
        <v>8.56</v>
      </c>
      <c r="C75" s="65" t="n">
        <v>3.72</v>
      </c>
      <c r="D75" s="65" t="n">
        <v>3.74</v>
      </c>
      <c r="E75" s="65" t="n">
        <v>0.74</v>
      </c>
      <c r="F75" s="65" t="n">
        <v>0.54</v>
      </c>
      <c r="G75" s="65" t="n">
        <v>0</v>
      </c>
      <c r="H75" s="65" t="n">
        <v>0.02</v>
      </c>
      <c r="I75" s="65" t="n">
        <v>0</v>
      </c>
      <c r="J75" s="65" t="n">
        <v>0.04</v>
      </c>
      <c r="K75" s="65" t="n">
        <v>0</v>
      </c>
      <c r="L75" s="65" t="n">
        <v>0</v>
      </c>
      <c r="M75" s="65" t="n">
        <v>0.02</v>
      </c>
      <c r="N75" s="65" t="n">
        <v>0</v>
      </c>
      <c r="O75" s="65" t="n">
        <v>0.64</v>
      </c>
      <c r="P75" s="65">
        <f>SUM(B75:O75)</f>
        <v/>
      </c>
      <c r="R75" s="63">
        <f>(B75/$P75)</f>
        <v/>
      </c>
      <c r="S75" s="63">
        <f>(C75/$P75)</f>
        <v/>
      </c>
      <c r="T75" s="63">
        <f>(D75/$P75)</f>
        <v/>
      </c>
      <c r="U75" s="63">
        <f>(E75/$P75)</f>
        <v/>
      </c>
      <c r="V75" s="63">
        <f>(F75/$P75)</f>
        <v/>
      </c>
      <c r="W75" s="63">
        <f>(G75/$P75)</f>
        <v/>
      </c>
      <c r="X75" s="63">
        <f>(H75/$P75)</f>
        <v/>
      </c>
      <c r="Y75" s="63">
        <f>(I75/$P75)</f>
        <v/>
      </c>
      <c r="Z75" s="63">
        <f>(J75/$P75)</f>
        <v/>
      </c>
      <c r="AA75" s="63">
        <f>(K75/$P75)</f>
        <v/>
      </c>
      <c r="AB75" s="63">
        <f>(L75/$P75)</f>
        <v/>
      </c>
      <c r="AC75" s="63">
        <f>(M75/$P75)</f>
        <v/>
      </c>
      <c r="AD75" s="63">
        <f>(N75/$P75)</f>
        <v/>
      </c>
      <c r="AE75" s="63">
        <f>(O75/$P75)</f>
        <v/>
      </c>
      <c r="AG75" s="63">
        <f>T75+U75+V75</f>
        <v/>
      </c>
      <c r="AH75" s="63">
        <f>SUM(W75:AD75)</f>
        <v/>
      </c>
      <c r="AI75" s="42">
        <f>AE75+AH75</f>
        <v/>
      </c>
      <c r="AJ75" s="41">
        <f>AI75+AG75</f>
        <v/>
      </c>
      <c r="AK75" s="41">
        <f>SUM(R75:S75)</f>
        <v/>
      </c>
      <c r="AL75" s="41">
        <f>AI75</f>
        <v/>
      </c>
      <c r="AM75">
        <f>YEAR(A75)</f>
        <v/>
      </c>
      <c r="AN75">
        <f>MONTH(A75)</f>
        <v/>
      </c>
      <c r="AO75">
        <f>AO74+1</f>
        <v/>
      </c>
    </row>
    <row r="76" hidden="1" ht="18" customHeight="1" s="259">
      <c r="A76" s="8" t="n">
        <v>45400</v>
      </c>
      <c r="B76" s="65" t="n">
        <v>5.58</v>
      </c>
      <c r="C76" s="65" t="n">
        <v>5.02</v>
      </c>
      <c r="D76" s="65" t="n">
        <v>2.2</v>
      </c>
      <c r="E76" s="65" t="n">
        <v>1.9</v>
      </c>
      <c r="F76" s="65" t="n">
        <v>0.84</v>
      </c>
      <c r="G76" s="65" t="n">
        <v>0</v>
      </c>
      <c r="H76" s="65" t="n">
        <v>0.1</v>
      </c>
      <c r="I76" s="65" t="n">
        <v>0</v>
      </c>
      <c r="J76" s="65" t="n">
        <v>0</v>
      </c>
      <c r="K76" s="65" t="n">
        <v>0</v>
      </c>
      <c r="L76" s="65" t="n">
        <v>0</v>
      </c>
      <c r="M76" s="65" t="n">
        <v>0</v>
      </c>
      <c r="N76" s="65" t="n">
        <v>0</v>
      </c>
      <c r="O76" s="65" t="n">
        <v>1</v>
      </c>
      <c r="P76" s="65">
        <f>SUM(B76:O76)</f>
        <v/>
      </c>
      <c r="R76" s="63">
        <f>(B76/$P76)</f>
        <v/>
      </c>
      <c r="S76" s="63">
        <f>(C76/$P76)</f>
        <v/>
      </c>
      <c r="T76" s="63">
        <f>(D76/$P76)</f>
        <v/>
      </c>
      <c r="U76" s="63">
        <f>(E76/$P76)</f>
        <v/>
      </c>
      <c r="V76" s="63">
        <f>(F76/$P76)</f>
        <v/>
      </c>
      <c r="W76" s="63">
        <f>(G76/$P76)</f>
        <v/>
      </c>
      <c r="X76" s="63">
        <f>(H76/$P76)</f>
        <v/>
      </c>
      <c r="Y76" s="63">
        <f>(I76/$P76)</f>
        <v/>
      </c>
      <c r="Z76" s="63">
        <f>(J76/$P76)</f>
        <v/>
      </c>
      <c r="AA76" s="63">
        <f>(K76/$P76)</f>
        <v/>
      </c>
      <c r="AB76" s="63">
        <f>(L76/$P76)</f>
        <v/>
      </c>
      <c r="AC76" s="63">
        <f>(M76/$P76)</f>
        <v/>
      </c>
      <c r="AD76" s="63">
        <f>(N76/$P76)</f>
        <v/>
      </c>
      <c r="AE76" s="63">
        <f>(O76/$P76)</f>
        <v/>
      </c>
      <c r="AG76" s="63">
        <f>T76+U76+V76</f>
        <v/>
      </c>
      <c r="AH76" s="63">
        <f>SUM(W76:AD76)</f>
        <v/>
      </c>
      <c r="AI76" s="42">
        <f>AE76+AH76</f>
        <v/>
      </c>
      <c r="AJ76" s="41">
        <f>AI76+AG76</f>
        <v/>
      </c>
      <c r="AK76" s="41">
        <f>SUM(R76:S76)</f>
        <v/>
      </c>
      <c r="AL76" s="41">
        <f>AI76</f>
        <v/>
      </c>
      <c r="AM76">
        <f>YEAR(A76)</f>
        <v/>
      </c>
      <c r="AN76">
        <f>MONTH(A76)</f>
        <v/>
      </c>
      <c r="AO76">
        <f>AO75+1</f>
        <v/>
      </c>
    </row>
    <row r="77" hidden="1" ht="18" customHeight="1" s="259">
      <c r="A77" s="8" t="n">
        <v>45404</v>
      </c>
      <c r="B77" s="65" t="n">
        <v>8</v>
      </c>
      <c r="C77" s="65" t="n">
        <v>2.8</v>
      </c>
      <c r="D77" s="65" t="n">
        <v>2.84</v>
      </c>
      <c r="E77" s="65" t="n">
        <v>1.68</v>
      </c>
      <c r="F77" s="65" t="n">
        <v>0.62</v>
      </c>
      <c r="G77" s="65" t="n">
        <v>0</v>
      </c>
      <c r="H77" s="65" t="n">
        <v>0.2</v>
      </c>
      <c r="I77" s="65" t="n">
        <v>0</v>
      </c>
      <c r="J77" s="65" t="n">
        <v>0</v>
      </c>
      <c r="K77" s="65" t="n">
        <v>0</v>
      </c>
      <c r="L77" s="65" t="n">
        <v>0</v>
      </c>
      <c r="M77" s="65" t="n">
        <v>0</v>
      </c>
      <c r="N77" s="65" t="n">
        <v>0</v>
      </c>
      <c r="O77" s="65" t="n">
        <v>1.14</v>
      </c>
      <c r="P77" s="65">
        <f>SUM(B77:O77)</f>
        <v/>
      </c>
      <c r="R77" s="63">
        <f>(B77/$P77)</f>
        <v/>
      </c>
      <c r="S77" s="63">
        <f>(C77/$P77)</f>
        <v/>
      </c>
      <c r="T77" s="63">
        <f>(D77/$P77)</f>
        <v/>
      </c>
      <c r="U77" s="63">
        <f>(E77/$P77)</f>
        <v/>
      </c>
      <c r="V77" s="63">
        <f>(F77/$P77)</f>
        <v/>
      </c>
      <c r="W77" s="63">
        <f>(G77/$P77)</f>
        <v/>
      </c>
      <c r="X77" s="63">
        <f>(H77/$P77)</f>
        <v/>
      </c>
      <c r="Y77" s="63">
        <f>(I77/$P77)</f>
        <v/>
      </c>
      <c r="Z77" s="63">
        <f>(J77/$P77)</f>
        <v/>
      </c>
      <c r="AA77" s="63">
        <f>(K77/$P77)</f>
        <v/>
      </c>
      <c r="AB77" s="63">
        <f>(L77/$P77)</f>
        <v/>
      </c>
      <c r="AC77" s="63">
        <f>(M77/$P77)</f>
        <v/>
      </c>
      <c r="AD77" s="63">
        <f>(N77/$P77)</f>
        <v/>
      </c>
      <c r="AE77" s="63">
        <f>(O77/$P77)</f>
        <v/>
      </c>
      <c r="AG77" s="63">
        <f>T77+U77+V77</f>
        <v/>
      </c>
      <c r="AH77" s="63">
        <f>SUM(W77:AD77)</f>
        <v/>
      </c>
      <c r="AI77" s="42">
        <f>AE77+AH77</f>
        <v/>
      </c>
      <c r="AJ77" s="41">
        <f>AI77+AG77</f>
        <v/>
      </c>
      <c r="AK77" s="41">
        <f>SUM(R77:S77)</f>
        <v/>
      </c>
      <c r="AL77" s="41">
        <f>AI77</f>
        <v/>
      </c>
      <c r="AM77">
        <f>YEAR(A77)</f>
        <v/>
      </c>
      <c r="AN77">
        <f>MONTH(A77)</f>
        <v/>
      </c>
      <c r="AO77">
        <f>AO76+1</f>
        <v/>
      </c>
    </row>
    <row r="78" hidden="1" ht="18" customHeight="1" s="259">
      <c r="A78" s="8" t="n">
        <v>45404</v>
      </c>
      <c r="B78" s="65" t="n">
        <v>7.12</v>
      </c>
      <c r="C78" s="65" t="n">
        <v>3.64</v>
      </c>
      <c r="D78" s="65" t="n">
        <v>3.14</v>
      </c>
      <c r="E78" s="65" t="n">
        <v>1.02</v>
      </c>
      <c r="F78" s="65" t="n">
        <v>0.54</v>
      </c>
      <c r="G78" s="65" t="n">
        <v>0</v>
      </c>
      <c r="H78" s="65" t="n">
        <v>0.1</v>
      </c>
      <c r="I78" s="65" t="n">
        <v>0</v>
      </c>
      <c r="J78" s="65" t="n">
        <v>0</v>
      </c>
      <c r="K78" s="65" t="n">
        <v>0</v>
      </c>
      <c r="L78" s="65" t="n">
        <v>0.12</v>
      </c>
      <c r="M78" s="65" t="n">
        <v>0.02</v>
      </c>
      <c r="N78" s="65" t="n">
        <v>0</v>
      </c>
      <c r="O78" s="65" t="n">
        <v>1.4</v>
      </c>
      <c r="P78" s="65">
        <f>SUM(B78:O78)</f>
        <v/>
      </c>
      <c r="R78" s="63">
        <f>(B78/$P78)</f>
        <v/>
      </c>
      <c r="S78" s="63">
        <f>(C78/$P78)</f>
        <v/>
      </c>
      <c r="T78" s="63">
        <f>(D78/$P78)</f>
        <v/>
      </c>
      <c r="U78" s="63">
        <f>(E78/$P78)</f>
        <v/>
      </c>
      <c r="V78" s="63">
        <f>(F78/$P78)</f>
        <v/>
      </c>
      <c r="W78" s="63">
        <f>(G78/$P78)</f>
        <v/>
      </c>
      <c r="X78" s="63">
        <f>(H78/$P78)</f>
        <v/>
      </c>
      <c r="Y78" s="63">
        <f>(I78/$P78)</f>
        <v/>
      </c>
      <c r="Z78" s="63">
        <f>(J78/$P78)</f>
        <v/>
      </c>
      <c r="AA78" s="63">
        <f>(K78/$P78)</f>
        <v/>
      </c>
      <c r="AB78" s="63">
        <f>(L78/$P78)</f>
        <v/>
      </c>
      <c r="AC78" s="63">
        <f>(M78/$P78)</f>
        <v/>
      </c>
      <c r="AD78" s="63">
        <f>(N78/$P78)</f>
        <v/>
      </c>
      <c r="AE78" s="63">
        <f>(O78/$P78)</f>
        <v/>
      </c>
      <c r="AG78" s="63">
        <f>T78+U78+V78</f>
        <v/>
      </c>
      <c r="AH78" s="63">
        <f>SUM(W78:AD78)</f>
        <v/>
      </c>
      <c r="AI78" s="42">
        <f>AE78+AH78</f>
        <v/>
      </c>
      <c r="AJ78" s="41">
        <f>AI78+AG78</f>
        <v/>
      </c>
      <c r="AK78" s="41">
        <f>SUM(R78:S78)</f>
        <v/>
      </c>
      <c r="AL78" s="41">
        <f>AI78</f>
        <v/>
      </c>
      <c r="AM78">
        <f>YEAR(A78)</f>
        <v/>
      </c>
      <c r="AN78">
        <f>MONTH(A78)</f>
        <v/>
      </c>
      <c r="AO78">
        <f>AO77+1</f>
        <v/>
      </c>
    </row>
    <row r="79" hidden="1" ht="18" customHeight="1" s="259">
      <c r="A79" s="8" t="n">
        <v>45405</v>
      </c>
      <c r="B79" s="65" t="n">
        <v>8.359999999999999</v>
      </c>
      <c r="C79" s="65" t="n">
        <v>3.26</v>
      </c>
      <c r="D79" s="65" t="n">
        <v>2.38</v>
      </c>
      <c r="E79" s="65" t="n">
        <v>0.64</v>
      </c>
      <c r="F79" s="65" t="n">
        <v>0.44</v>
      </c>
      <c r="G79" s="65" t="n">
        <v>0.04</v>
      </c>
      <c r="H79" s="65" t="n">
        <v>0.1</v>
      </c>
      <c r="I79" s="65" t="n">
        <v>0</v>
      </c>
      <c r="J79" s="65" t="n">
        <v>0.12</v>
      </c>
      <c r="K79" s="65" t="n">
        <v>0</v>
      </c>
      <c r="L79" s="65" t="n">
        <v>0.04</v>
      </c>
      <c r="M79" s="65" t="n">
        <v>0.02</v>
      </c>
      <c r="N79" s="65" t="n">
        <v>0</v>
      </c>
      <c r="O79" s="65" t="n">
        <v>1.1</v>
      </c>
      <c r="P79" s="65">
        <f>SUM(B79:O79)</f>
        <v/>
      </c>
      <c r="R79" s="63">
        <f>(B79/$P79)</f>
        <v/>
      </c>
      <c r="S79" s="63">
        <f>(C79/$P79)</f>
        <v/>
      </c>
      <c r="T79" s="63">
        <f>(D79/$P79)</f>
        <v/>
      </c>
      <c r="U79" s="63">
        <f>(E79/$P79)</f>
        <v/>
      </c>
      <c r="V79" s="63">
        <f>(F79/$P79)</f>
        <v/>
      </c>
      <c r="W79" s="63">
        <f>(G79/$P79)</f>
        <v/>
      </c>
      <c r="X79" s="63">
        <f>(H79/$P79)</f>
        <v/>
      </c>
      <c r="Y79" s="63">
        <f>(I79/$P79)</f>
        <v/>
      </c>
      <c r="Z79" s="63">
        <f>(J79/$P79)</f>
        <v/>
      </c>
      <c r="AA79" s="63">
        <f>(K79/$P79)</f>
        <v/>
      </c>
      <c r="AB79" s="63">
        <f>(L79/$P79)</f>
        <v/>
      </c>
      <c r="AC79" s="63">
        <f>(M79/$P79)</f>
        <v/>
      </c>
      <c r="AD79" s="63">
        <f>(N79/$P79)</f>
        <v/>
      </c>
      <c r="AE79" s="63">
        <f>(O79/$P79)</f>
        <v/>
      </c>
      <c r="AG79" s="63">
        <f>T79+U79+V79</f>
        <v/>
      </c>
      <c r="AH79" s="63">
        <f>SUM(W79:AD79)</f>
        <v/>
      </c>
      <c r="AI79" s="42">
        <f>AE79+AH79</f>
        <v/>
      </c>
      <c r="AJ79" s="41">
        <f>AI79+AG79</f>
        <v/>
      </c>
      <c r="AK79" s="41">
        <f>SUM(R79:S79)</f>
        <v/>
      </c>
      <c r="AL79" s="41">
        <f>AI79</f>
        <v/>
      </c>
      <c r="AM79">
        <f>YEAR(A79)</f>
        <v/>
      </c>
      <c r="AN79">
        <f>MONTH(A79)</f>
        <v/>
      </c>
      <c r="AO79">
        <f>AO78+1</f>
        <v/>
      </c>
    </row>
    <row r="80" hidden="1" ht="18" customHeight="1" s="259">
      <c r="A80" s="8" t="n">
        <v>45406</v>
      </c>
      <c r="B80" s="65" t="n">
        <v>16.1</v>
      </c>
      <c r="C80" s="65" t="n">
        <v>3.88</v>
      </c>
      <c r="D80" s="65" t="n">
        <v>1.02</v>
      </c>
      <c r="E80" s="65" t="n">
        <v>0.9</v>
      </c>
      <c r="F80" s="65" t="n">
        <v>0.7</v>
      </c>
      <c r="G80" s="65" t="n">
        <v>0</v>
      </c>
      <c r="H80" s="65" t="n">
        <v>0.26</v>
      </c>
      <c r="I80" s="65" t="n">
        <v>0</v>
      </c>
      <c r="J80" s="65" t="n">
        <v>0.02</v>
      </c>
      <c r="K80" s="65" t="n">
        <v>0</v>
      </c>
      <c r="L80" s="65" t="n">
        <v>0</v>
      </c>
      <c r="M80" s="65" t="n">
        <v>0.02</v>
      </c>
      <c r="N80" s="65" t="n">
        <v>0</v>
      </c>
      <c r="O80" s="65" t="n">
        <v>0.46</v>
      </c>
      <c r="P80" s="65">
        <f>SUM(B80:O80)</f>
        <v/>
      </c>
      <c r="R80" s="63">
        <f>(B80/$P80)</f>
        <v/>
      </c>
      <c r="S80" s="63">
        <f>(C80/$P80)</f>
        <v/>
      </c>
      <c r="T80" s="63">
        <f>(D80/$P80)</f>
        <v/>
      </c>
      <c r="U80" s="63">
        <f>(E80/$P80)</f>
        <v/>
      </c>
      <c r="V80" s="63">
        <f>(F80/$P80)</f>
        <v/>
      </c>
      <c r="W80" s="63">
        <f>(G80/$P80)</f>
        <v/>
      </c>
      <c r="X80" s="63">
        <f>(H80/$P80)</f>
        <v/>
      </c>
      <c r="Y80" s="63">
        <f>(I80/$P80)</f>
        <v/>
      </c>
      <c r="Z80" s="63">
        <f>(J80/$P80)</f>
        <v/>
      </c>
      <c r="AA80" s="63">
        <f>(K80/$P80)</f>
        <v/>
      </c>
      <c r="AB80" s="63">
        <f>(L80/$P80)</f>
        <v/>
      </c>
      <c r="AC80" s="63">
        <f>(M80/$P80)</f>
        <v/>
      </c>
      <c r="AD80" s="63">
        <f>(N80/$P80)</f>
        <v/>
      </c>
      <c r="AE80" s="63">
        <f>(O80/$P80)</f>
        <v/>
      </c>
      <c r="AG80" s="63">
        <f>T80+U80+V80</f>
        <v/>
      </c>
      <c r="AH80" s="63">
        <f>SUM(W80:AD80)</f>
        <v/>
      </c>
      <c r="AI80" s="42">
        <f>AE80+AH80</f>
        <v/>
      </c>
      <c r="AJ80" s="41">
        <f>AI80+AG80</f>
        <v/>
      </c>
      <c r="AK80" s="41">
        <f>SUM(R80:S80)</f>
        <v/>
      </c>
      <c r="AL80" s="41">
        <f>AI80</f>
        <v/>
      </c>
      <c r="AM80">
        <f>YEAR(A80)</f>
        <v/>
      </c>
      <c r="AN80">
        <f>MONTH(A80)</f>
        <v/>
      </c>
      <c r="AO80">
        <f>AO79+1</f>
        <v/>
      </c>
    </row>
    <row r="81" hidden="1" ht="18" customHeight="1" s="259">
      <c r="A81" s="8" t="n">
        <v>45407</v>
      </c>
      <c r="B81" s="65" t="n">
        <v>18.4</v>
      </c>
      <c r="C81" s="65" t="n">
        <v>7.84</v>
      </c>
      <c r="D81" s="65" t="n">
        <v>3.4</v>
      </c>
      <c r="E81" s="65" t="n">
        <v>1.82</v>
      </c>
      <c r="F81" s="65" t="n">
        <v>1.1</v>
      </c>
      <c r="G81" s="65" t="n">
        <v>0</v>
      </c>
      <c r="H81" s="65" t="n">
        <v>0.36</v>
      </c>
      <c r="I81" s="65" t="n">
        <v>0</v>
      </c>
      <c r="J81" s="65" t="n">
        <v>0</v>
      </c>
      <c r="K81" s="65" t="n">
        <v>0</v>
      </c>
      <c r="L81" s="65" t="n">
        <v>0.18</v>
      </c>
      <c r="M81" s="65" t="n">
        <v>0.06</v>
      </c>
      <c r="N81" s="65" t="n">
        <v>0</v>
      </c>
      <c r="O81" s="65" t="n">
        <v>4.74</v>
      </c>
      <c r="P81" s="65">
        <f>SUM(B81:O81)</f>
        <v/>
      </c>
      <c r="R81" s="63">
        <f>(B81/$P81)</f>
        <v/>
      </c>
      <c r="S81" s="63">
        <f>(C81/$P81)</f>
        <v/>
      </c>
      <c r="T81" s="63">
        <f>(D81/$P81)</f>
        <v/>
      </c>
      <c r="U81" s="63">
        <f>(E81/$P81)</f>
        <v/>
      </c>
      <c r="V81" s="63">
        <f>(F81/$P81)</f>
        <v/>
      </c>
      <c r="W81" s="63">
        <f>(G81/$P81)</f>
        <v/>
      </c>
      <c r="X81" s="63">
        <f>(H81/$P81)</f>
        <v/>
      </c>
      <c r="Y81" s="63">
        <f>(I81/$P81)</f>
        <v/>
      </c>
      <c r="Z81" s="63">
        <f>(J81/$P81)</f>
        <v/>
      </c>
      <c r="AA81" s="63">
        <f>(K81/$P81)</f>
        <v/>
      </c>
      <c r="AB81" s="63">
        <f>(L81/$P81)</f>
        <v/>
      </c>
      <c r="AC81" s="63">
        <f>(M81/$P81)</f>
        <v/>
      </c>
      <c r="AD81" s="63">
        <f>(N81/$P81)</f>
        <v/>
      </c>
      <c r="AE81" s="63">
        <f>(O81/$P81)</f>
        <v/>
      </c>
      <c r="AG81" s="63">
        <f>T81+U81+V81</f>
        <v/>
      </c>
      <c r="AH81" s="63">
        <f>SUM(W81:AD81)</f>
        <v/>
      </c>
      <c r="AI81" s="42">
        <f>AE81+AH81</f>
        <v/>
      </c>
      <c r="AJ81" s="41">
        <f>AI81+AG81</f>
        <v/>
      </c>
      <c r="AK81" s="41">
        <f>SUM(R81:S81)</f>
        <v/>
      </c>
      <c r="AL81" s="41">
        <f>AI81</f>
        <v/>
      </c>
      <c r="AM81">
        <f>YEAR(A81)</f>
        <v/>
      </c>
      <c r="AN81">
        <f>MONTH(A81)</f>
        <v/>
      </c>
      <c r="AO81">
        <f>AO80+1</f>
        <v/>
      </c>
    </row>
    <row r="82" hidden="1" ht="18" customHeight="1" s="259">
      <c r="A82" s="8" t="n">
        <v>45411</v>
      </c>
      <c r="B82" s="65" t="n">
        <v>14.1</v>
      </c>
      <c r="C82" s="65" t="n">
        <v>5.02</v>
      </c>
      <c r="D82" s="65" t="n">
        <v>2.16</v>
      </c>
      <c r="E82" s="65" t="n">
        <v>1.34</v>
      </c>
      <c r="F82" s="65" t="n">
        <v>0.82</v>
      </c>
      <c r="G82" s="65" t="n">
        <v>0</v>
      </c>
      <c r="H82" s="65" t="n">
        <v>0.1</v>
      </c>
      <c r="I82" s="65" t="n">
        <v>0</v>
      </c>
      <c r="J82" s="65" t="n">
        <v>0</v>
      </c>
      <c r="K82" s="65" t="n">
        <v>0</v>
      </c>
      <c r="L82" s="65" t="n">
        <v>0.06</v>
      </c>
      <c r="M82" s="65" t="n">
        <v>0.02</v>
      </c>
      <c r="N82" s="65" t="n">
        <v>0</v>
      </c>
      <c r="O82" s="65" t="n">
        <v>2.12</v>
      </c>
      <c r="P82" s="65">
        <f>SUM(B82:O82)</f>
        <v/>
      </c>
      <c r="R82" s="63">
        <f>(B82/$P82)</f>
        <v/>
      </c>
      <c r="S82" s="63">
        <f>(C82/$P82)</f>
        <v/>
      </c>
      <c r="T82" s="63">
        <f>(D82/$P82)</f>
        <v/>
      </c>
      <c r="U82" s="63">
        <f>(E82/$P82)</f>
        <v/>
      </c>
      <c r="V82" s="63">
        <f>(F82/$P82)</f>
        <v/>
      </c>
      <c r="W82" s="63">
        <f>(G82/$P82)</f>
        <v/>
      </c>
      <c r="X82" s="63">
        <f>(H82/$P82)</f>
        <v/>
      </c>
      <c r="Y82" s="63">
        <f>(I82/$P82)</f>
        <v/>
      </c>
      <c r="Z82" s="63">
        <f>(J82/$P82)</f>
        <v/>
      </c>
      <c r="AA82" s="63">
        <f>(K82/$P82)</f>
        <v/>
      </c>
      <c r="AB82" s="63">
        <f>(L82/$P82)</f>
        <v/>
      </c>
      <c r="AC82" s="63">
        <f>(M82/$P82)</f>
        <v/>
      </c>
      <c r="AD82" s="63">
        <f>(N82/$P82)</f>
        <v/>
      </c>
      <c r="AE82" s="63">
        <f>(O82/$P82)</f>
        <v/>
      </c>
      <c r="AG82" s="63">
        <f>T82+U82+V82</f>
        <v/>
      </c>
      <c r="AH82" s="63">
        <f>SUM(W82:AD82)</f>
        <v/>
      </c>
      <c r="AI82" s="42">
        <f>AE82+AH82</f>
        <v/>
      </c>
      <c r="AJ82" s="41">
        <f>AI82+AG82</f>
        <v/>
      </c>
      <c r="AK82" s="41">
        <f>SUM(R82:S82)</f>
        <v/>
      </c>
      <c r="AL82" s="41">
        <f>AI82</f>
        <v/>
      </c>
      <c r="AM82">
        <f>YEAR(A82)</f>
        <v/>
      </c>
      <c r="AN82">
        <f>MONTH(A82)</f>
        <v/>
      </c>
      <c r="AO82">
        <f>AO81+1</f>
        <v/>
      </c>
    </row>
    <row r="83" hidden="1" ht="18" customHeight="1" s="259">
      <c r="A83" s="8" t="n">
        <v>45412</v>
      </c>
      <c r="B83" s="65" t="n">
        <v>23.84</v>
      </c>
      <c r="C83" s="65" t="n">
        <v>5.96</v>
      </c>
      <c r="D83" s="65" t="n">
        <v>3.46</v>
      </c>
      <c r="E83" s="65" t="n">
        <v>2.22</v>
      </c>
      <c r="F83" s="65" t="n">
        <v>1.06</v>
      </c>
      <c r="G83" s="65" t="n">
        <v>0.34</v>
      </c>
      <c r="H83" s="65" t="n">
        <v>0.82</v>
      </c>
      <c r="I83" s="65" t="n">
        <v>0.08</v>
      </c>
      <c r="J83" s="65" t="n">
        <v>0.14</v>
      </c>
      <c r="K83" s="65" t="n">
        <v>0</v>
      </c>
      <c r="L83" s="65" t="n">
        <v>0.42</v>
      </c>
      <c r="M83" s="65" t="n">
        <v>0.1</v>
      </c>
      <c r="N83" s="65" t="n">
        <v>0</v>
      </c>
      <c r="O83" s="65" t="n">
        <v>2.42</v>
      </c>
      <c r="P83" s="65">
        <f>SUM(B83:O83)</f>
        <v/>
      </c>
      <c r="R83" s="63">
        <f>(B83/$P83)</f>
        <v/>
      </c>
      <c r="S83" s="63">
        <f>(C83/$P83)</f>
        <v/>
      </c>
      <c r="T83" s="63">
        <f>(D83/$P83)</f>
        <v/>
      </c>
      <c r="U83" s="63">
        <f>(E83/$P83)</f>
        <v/>
      </c>
      <c r="V83" s="63">
        <f>(F83/$P83)</f>
        <v/>
      </c>
      <c r="W83" s="63">
        <f>(G83/$P83)</f>
        <v/>
      </c>
      <c r="X83" s="63">
        <f>(H83/$P83)</f>
        <v/>
      </c>
      <c r="Y83" s="63">
        <f>(I83/$P83)</f>
        <v/>
      </c>
      <c r="Z83" s="63">
        <f>(J83/$P83)</f>
        <v/>
      </c>
      <c r="AA83" s="63">
        <f>(K83/$P83)</f>
        <v/>
      </c>
      <c r="AB83" s="63">
        <f>(L83/$P83)</f>
        <v/>
      </c>
      <c r="AC83" s="63">
        <f>(M83/$P83)</f>
        <v/>
      </c>
      <c r="AD83" s="63">
        <f>(N83/$P83)</f>
        <v/>
      </c>
      <c r="AE83" s="63">
        <f>(O83/$P83)</f>
        <v/>
      </c>
      <c r="AG83" s="63">
        <f>T83+U83+V83</f>
        <v/>
      </c>
      <c r="AH83" s="63">
        <f>SUM(W83:AD83)</f>
        <v/>
      </c>
      <c r="AI83" s="42">
        <f>AE83+AH83</f>
        <v/>
      </c>
      <c r="AJ83" s="41">
        <f>AI83+AG83</f>
        <v/>
      </c>
      <c r="AK83" s="41">
        <f>SUM(R83:S83)</f>
        <v/>
      </c>
      <c r="AL83" s="41">
        <f>AI83</f>
        <v/>
      </c>
      <c r="AM83">
        <f>YEAR(A83)</f>
        <v/>
      </c>
      <c r="AN83">
        <f>MONTH(A83)</f>
        <v/>
      </c>
      <c r="AO83">
        <f>AO82+1</f>
        <v/>
      </c>
    </row>
    <row r="84" hidden="1" ht="18" customHeight="1" s="259">
      <c r="A84" s="8" t="n">
        <v>45474</v>
      </c>
      <c r="B84" s="65" t="n">
        <v>17.02</v>
      </c>
      <c r="C84" s="65" t="n">
        <v>4.68</v>
      </c>
      <c r="D84" s="65" t="n">
        <v>4</v>
      </c>
      <c r="E84" s="65" t="n">
        <v>0.68</v>
      </c>
      <c r="F84" s="65" t="n">
        <v>0.64</v>
      </c>
      <c r="G84" s="65" t="n">
        <v>0.04</v>
      </c>
      <c r="H84" s="65" t="n">
        <v>0.18</v>
      </c>
      <c r="I84" s="65" t="n">
        <v>0.08</v>
      </c>
      <c r="J84" s="65" t="n">
        <v>0.18</v>
      </c>
      <c r="K84" s="65" t="n">
        <v>0.04</v>
      </c>
      <c r="L84" s="65" t="n">
        <v>0.32</v>
      </c>
      <c r="M84" s="65" t="n">
        <v>0.04</v>
      </c>
      <c r="N84" s="65" t="n">
        <v>0</v>
      </c>
      <c r="O84" s="65" t="n">
        <v>2.32</v>
      </c>
      <c r="P84" s="65">
        <f>SUM(B84:O84)</f>
        <v/>
      </c>
      <c r="R84" s="63">
        <f>(B84/$P84)</f>
        <v/>
      </c>
      <c r="S84" s="63">
        <f>(C84/$P84)</f>
        <v/>
      </c>
      <c r="T84" s="63">
        <f>(D84/$P84)</f>
        <v/>
      </c>
      <c r="U84" s="63">
        <f>(E84/$P84)</f>
        <v/>
      </c>
      <c r="V84" s="63">
        <f>(F84/$P84)</f>
        <v/>
      </c>
      <c r="W84" s="63">
        <f>(G84/$P84)</f>
        <v/>
      </c>
      <c r="X84" s="63">
        <f>(H84/$P84)</f>
        <v/>
      </c>
      <c r="Y84" s="63">
        <f>(I84/$P84)</f>
        <v/>
      </c>
      <c r="Z84" s="63">
        <f>(J84/$P84)</f>
        <v/>
      </c>
      <c r="AA84" s="63">
        <f>(K84/$P84)</f>
        <v/>
      </c>
      <c r="AB84" s="63">
        <f>(L84/$P84)</f>
        <v/>
      </c>
      <c r="AC84" s="63">
        <f>(M84/$P84)</f>
        <v/>
      </c>
      <c r="AD84" s="63">
        <f>(N84/$P84)</f>
        <v/>
      </c>
      <c r="AE84" s="63">
        <f>(O84/$P84)</f>
        <v/>
      </c>
      <c r="AG84" s="63">
        <f>T84+U84+V84</f>
        <v/>
      </c>
      <c r="AH84" s="63">
        <f>SUM(W84:AD84)</f>
        <v/>
      </c>
      <c r="AI84" s="42">
        <f>AE84+AH84</f>
        <v/>
      </c>
      <c r="AJ84" s="41">
        <f>AI84+AG84</f>
        <v/>
      </c>
      <c r="AK84" s="41">
        <f>SUM(R84:S84)</f>
        <v/>
      </c>
      <c r="AL84" s="41">
        <f>AI84</f>
        <v/>
      </c>
      <c r="AM84">
        <f>YEAR(A84)</f>
        <v/>
      </c>
      <c r="AN84">
        <f>MONTH(A84)</f>
        <v/>
      </c>
      <c r="AO84">
        <f>AO83+1</f>
        <v/>
      </c>
    </row>
    <row r="85" hidden="1" ht="18" customHeight="1" s="259">
      <c r="A85" s="8" t="n">
        <v>45500</v>
      </c>
      <c r="B85" s="65" t="n">
        <v>18.76</v>
      </c>
      <c r="C85" s="65" t="n">
        <v>3.41</v>
      </c>
      <c r="D85" s="65" t="n">
        <v>1.22</v>
      </c>
      <c r="E85" s="65" t="n">
        <v>1.06</v>
      </c>
      <c r="F85" s="65" t="n">
        <v>0.9399999999999999</v>
      </c>
      <c r="G85" s="65" t="n">
        <v>0.06</v>
      </c>
      <c r="H85" s="65" t="n">
        <v>0.16</v>
      </c>
      <c r="I85" s="65" t="n">
        <v>0.02</v>
      </c>
      <c r="J85" s="65" t="n">
        <v>0.1</v>
      </c>
      <c r="K85" s="65" t="n">
        <v>0</v>
      </c>
      <c r="L85" s="65" t="n">
        <v>0</v>
      </c>
      <c r="M85" s="65" t="n">
        <v>0.06</v>
      </c>
      <c r="N85" s="65" t="n">
        <v>0</v>
      </c>
      <c r="O85" s="65" t="n">
        <v>1.02</v>
      </c>
      <c r="P85" s="65">
        <f>SUM(B85:O85)</f>
        <v/>
      </c>
      <c r="R85" s="63">
        <f>(B85/$P85)</f>
        <v/>
      </c>
      <c r="S85" s="63">
        <f>(C85/$P85)</f>
        <v/>
      </c>
      <c r="T85" s="63">
        <f>(D85/$P85)</f>
        <v/>
      </c>
      <c r="U85" s="63">
        <f>(E85/$P85)</f>
        <v/>
      </c>
      <c r="V85" s="63">
        <f>(F85/$P85)</f>
        <v/>
      </c>
      <c r="W85" s="63">
        <f>(G85/$P85)</f>
        <v/>
      </c>
      <c r="X85" s="63">
        <f>(H85/$P85)</f>
        <v/>
      </c>
      <c r="Y85" s="63">
        <f>(I85/$P85)</f>
        <v/>
      </c>
      <c r="Z85" s="63">
        <f>(J85/$P85)</f>
        <v/>
      </c>
      <c r="AA85" s="63">
        <f>(K85/$P85)</f>
        <v/>
      </c>
      <c r="AB85" s="63">
        <f>(L85/$P85)</f>
        <v/>
      </c>
      <c r="AC85" s="63">
        <f>(M85/$P85)</f>
        <v/>
      </c>
      <c r="AD85" s="63">
        <f>(N85/$P85)</f>
        <v/>
      </c>
      <c r="AE85" s="63">
        <f>(O85/$P85)</f>
        <v/>
      </c>
      <c r="AG85" s="63">
        <f>T85+U85+V85</f>
        <v/>
      </c>
      <c r="AH85" s="63">
        <f>SUM(W85:AD85)</f>
        <v/>
      </c>
      <c r="AI85" s="42">
        <f>AE85+AH85</f>
        <v/>
      </c>
      <c r="AJ85" s="41">
        <f>AI85+AG85</f>
        <v/>
      </c>
      <c r="AK85" s="41">
        <f>SUM(R85:S85)</f>
        <v/>
      </c>
      <c r="AL85" s="41">
        <f>AI85</f>
        <v/>
      </c>
      <c r="AM85">
        <f>YEAR(A85)</f>
        <v/>
      </c>
      <c r="AN85">
        <f>MONTH(A85)</f>
        <v/>
      </c>
      <c r="AO85">
        <f>AO84+1</f>
        <v/>
      </c>
    </row>
    <row r="86" hidden="1" ht="18" customHeight="1" s="259">
      <c r="A86" s="8" t="n">
        <v>45544</v>
      </c>
      <c r="B86" s="65" t="n">
        <v>16.56</v>
      </c>
      <c r="C86" s="65" t="n">
        <v>4.68</v>
      </c>
      <c r="D86" s="65" t="n">
        <v>2.74</v>
      </c>
      <c r="E86" s="65" t="n">
        <v>0.32</v>
      </c>
      <c r="F86" s="65" t="n">
        <v>0.72</v>
      </c>
      <c r="G86" s="65" t="n">
        <v>0.18</v>
      </c>
      <c r="H86" s="65" t="n">
        <v>0.16</v>
      </c>
      <c r="I86" s="65" t="n">
        <v>0.1</v>
      </c>
      <c r="J86" s="65" t="n">
        <v>0.08</v>
      </c>
      <c r="K86" s="65" t="n">
        <v>0.04</v>
      </c>
      <c r="L86" s="65" t="n">
        <v>0</v>
      </c>
      <c r="M86" s="65" t="n">
        <v>0.02</v>
      </c>
      <c r="N86" s="65" t="n">
        <v>0.02</v>
      </c>
      <c r="O86" s="65" t="n">
        <v>1.98</v>
      </c>
      <c r="P86" s="65">
        <f>SUM(B86:O86)</f>
        <v/>
      </c>
      <c r="R86" s="63">
        <f>(B86/$P86)</f>
        <v/>
      </c>
      <c r="S86" s="63">
        <f>(C86/$P86)</f>
        <v/>
      </c>
      <c r="T86" s="63">
        <f>(D86/$P86)</f>
        <v/>
      </c>
      <c r="U86" s="63">
        <f>(E86/$P86)</f>
        <v/>
      </c>
      <c r="V86" s="63">
        <f>(F86/$P86)</f>
        <v/>
      </c>
      <c r="W86" s="63">
        <f>(G86/$P86)</f>
        <v/>
      </c>
      <c r="X86" s="63">
        <f>(H86/$P86)</f>
        <v/>
      </c>
      <c r="Y86" s="63">
        <f>(I86/$P86)</f>
        <v/>
      </c>
      <c r="Z86" s="63">
        <f>(J86/$P86)</f>
        <v/>
      </c>
      <c r="AA86" s="63">
        <f>(K86/$P86)</f>
        <v/>
      </c>
      <c r="AB86" s="63">
        <f>(L86/$P86)</f>
        <v/>
      </c>
      <c r="AC86" s="63">
        <f>(M86/$P86)</f>
        <v/>
      </c>
      <c r="AD86" s="63">
        <f>(N86/$P86)</f>
        <v/>
      </c>
      <c r="AE86" s="63">
        <f>(O86/$P86)</f>
        <v/>
      </c>
      <c r="AG86" s="63">
        <f>T86+U86+V86</f>
        <v/>
      </c>
      <c r="AH86" s="63">
        <f>SUM(W86:AD86)</f>
        <v/>
      </c>
      <c r="AI86" s="42">
        <f>AE86+AH86</f>
        <v/>
      </c>
      <c r="AJ86" s="41">
        <f>AI86+AG86</f>
        <v/>
      </c>
      <c r="AK86" s="41">
        <f>SUM(R86:S86)</f>
        <v/>
      </c>
      <c r="AL86" s="41">
        <f>AI86</f>
        <v/>
      </c>
      <c r="AM86">
        <f>YEAR(A86)</f>
        <v/>
      </c>
      <c r="AN86">
        <f>MONTH(A86)</f>
        <v/>
      </c>
      <c r="AO86">
        <f>AO85+1</f>
        <v/>
      </c>
    </row>
    <row r="87" hidden="1" ht="18" customHeight="1" s="259">
      <c r="A87" s="8" t="n">
        <v>45563</v>
      </c>
      <c r="B87" s="65" t="n">
        <v>13.82</v>
      </c>
      <c r="C87" s="65" t="n">
        <v>5.3</v>
      </c>
      <c r="D87" s="65" t="n">
        <v>3.88</v>
      </c>
      <c r="E87" s="65" t="n">
        <v>0.54</v>
      </c>
      <c r="F87" s="65" t="n">
        <v>2</v>
      </c>
      <c r="G87" s="65" t="n">
        <v>0.06</v>
      </c>
      <c r="H87" s="65" t="n">
        <v>0.04</v>
      </c>
      <c r="I87" s="65" t="n">
        <v>0.06</v>
      </c>
      <c r="J87" s="65" t="n">
        <v>0.22</v>
      </c>
      <c r="K87" s="65" t="n">
        <v>0.04</v>
      </c>
      <c r="L87" s="65" t="n">
        <v>0.08</v>
      </c>
      <c r="M87" s="65" t="n">
        <v>0.06</v>
      </c>
      <c r="N87" s="65" t="n">
        <v>0</v>
      </c>
      <c r="O87" s="65" t="n">
        <v>2.08</v>
      </c>
      <c r="P87" s="65">
        <f>SUM(B87:O87)</f>
        <v/>
      </c>
      <c r="R87" s="63">
        <f>(B87/$P87)</f>
        <v/>
      </c>
      <c r="S87" s="63">
        <f>(C87/$P87)</f>
        <v/>
      </c>
      <c r="T87" s="63">
        <f>(D87/$P87)</f>
        <v/>
      </c>
      <c r="U87" s="63">
        <f>(E87/$P87)</f>
        <v/>
      </c>
      <c r="V87" s="63">
        <f>(F87/$P87)</f>
        <v/>
      </c>
      <c r="W87" s="63">
        <f>(G87/$P87)</f>
        <v/>
      </c>
      <c r="X87" s="63">
        <f>(H87/$P87)</f>
        <v/>
      </c>
      <c r="Y87" s="63">
        <f>(I87/$P87)</f>
        <v/>
      </c>
      <c r="Z87" s="63">
        <f>(J87/$P87)</f>
        <v/>
      </c>
      <c r="AA87" s="63">
        <f>(K87/$P87)</f>
        <v/>
      </c>
      <c r="AB87" s="63">
        <f>(L87/$P87)</f>
        <v/>
      </c>
      <c r="AC87" s="63">
        <f>(M87/$P87)</f>
        <v/>
      </c>
      <c r="AD87" s="63">
        <f>(N87/$P87)</f>
        <v/>
      </c>
      <c r="AE87" s="63">
        <f>(O87/$P87)</f>
        <v/>
      </c>
      <c r="AG87" s="63">
        <f>T87+U87+V87</f>
        <v/>
      </c>
      <c r="AH87" s="63">
        <f>SUM(W87:AD87)</f>
        <v/>
      </c>
      <c r="AI87" s="42">
        <f>AE87+AH87</f>
        <v/>
      </c>
      <c r="AJ87" s="41">
        <f>AI87+AG87</f>
        <v/>
      </c>
      <c r="AK87" s="41">
        <f>SUM(R87:S87)</f>
        <v/>
      </c>
      <c r="AL87" s="41">
        <f>AI87</f>
        <v/>
      </c>
      <c r="AM87">
        <f>YEAR(A87)</f>
        <v/>
      </c>
      <c r="AN87">
        <f>MONTH(A87)</f>
        <v/>
      </c>
      <c r="AO87">
        <f>AO86+1</f>
        <v/>
      </c>
    </row>
    <row r="88" hidden="1" ht="18" customHeight="1" s="259">
      <c r="A88" s="8" t="n">
        <v>45572</v>
      </c>
      <c r="B88" s="65" t="n">
        <v>22.22</v>
      </c>
      <c r="C88" s="65" t="n">
        <v>5.62</v>
      </c>
      <c r="D88" s="65" t="n">
        <v>3.84</v>
      </c>
      <c r="E88" s="65" t="n">
        <v>0.64</v>
      </c>
      <c r="F88" s="65" t="n">
        <v>0.24</v>
      </c>
      <c r="G88" s="65" t="n">
        <v>0</v>
      </c>
      <c r="H88" s="65" t="n">
        <v>0.2</v>
      </c>
      <c r="I88" s="65" t="n">
        <v>0</v>
      </c>
      <c r="J88" s="65" t="n">
        <v>0</v>
      </c>
      <c r="K88" s="65" t="n">
        <v>0</v>
      </c>
      <c r="L88" s="65" t="n">
        <v>0.08</v>
      </c>
      <c r="M88" s="65" t="n">
        <v>0</v>
      </c>
      <c r="N88" s="65" t="n">
        <v>0</v>
      </c>
      <c r="O88" s="65" t="n">
        <v>0.88</v>
      </c>
      <c r="P88" s="65">
        <f>SUM(B88:O88)</f>
        <v/>
      </c>
      <c r="R88" s="63">
        <f>(B88/$P88)</f>
        <v/>
      </c>
      <c r="S88" s="63">
        <f>(C88/$P88)</f>
        <v/>
      </c>
      <c r="T88" s="63">
        <f>(D88/$P88)</f>
        <v/>
      </c>
      <c r="U88" s="63">
        <f>(E88/$P88)</f>
        <v/>
      </c>
      <c r="V88" s="63">
        <f>(F88/$P88)</f>
        <v/>
      </c>
      <c r="W88" s="63">
        <f>(G88/$P88)</f>
        <v/>
      </c>
      <c r="X88" s="63">
        <f>(H88/$P88)</f>
        <v/>
      </c>
      <c r="Y88" s="63">
        <f>(I88/$P88)</f>
        <v/>
      </c>
      <c r="Z88" s="63">
        <f>(J88/$P88)</f>
        <v/>
      </c>
      <c r="AA88" s="63">
        <f>(K88/$P88)</f>
        <v/>
      </c>
      <c r="AB88" s="63">
        <f>(L88/$P88)</f>
        <v/>
      </c>
      <c r="AC88" s="63">
        <f>(M88/$P88)</f>
        <v/>
      </c>
      <c r="AD88" s="63">
        <f>(N88/$P88)</f>
        <v/>
      </c>
      <c r="AE88" s="63">
        <f>(O88/$P88)</f>
        <v/>
      </c>
      <c r="AG88" s="63">
        <f>T88+U88+V88</f>
        <v/>
      </c>
      <c r="AH88" s="63">
        <f>SUM(W88:AD88)</f>
        <v/>
      </c>
      <c r="AI88" s="42">
        <f>AE88+AH88</f>
        <v/>
      </c>
      <c r="AJ88" s="41">
        <f>AI88+AG88</f>
        <v/>
      </c>
      <c r="AK88" s="41">
        <f>SUM(R88:S88)</f>
        <v/>
      </c>
      <c r="AL88" s="41">
        <f>AI88</f>
        <v/>
      </c>
      <c r="AM88">
        <f>YEAR(A88)</f>
        <v/>
      </c>
      <c r="AN88">
        <f>MONTH(A88)</f>
        <v/>
      </c>
      <c r="AO88">
        <f>AO87+1</f>
        <v/>
      </c>
    </row>
    <row r="89" hidden="1" ht="18" customHeight="1" s="259">
      <c r="A89" s="8" t="n">
        <v>45584</v>
      </c>
      <c r="B89" s="65" t="n">
        <v>20.36</v>
      </c>
      <c r="C89" s="65" t="n">
        <v>3.88</v>
      </c>
      <c r="D89" s="65" t="n">
        <v>2.74</v>
      </c>
      <c r="E89" s="65" t="n">
        <v>0.34</v>
      </c>
      <c r="F89" s="65" t="n">
        <v>0.82</v>
      </c>
      <c r="G89" s="65" t="n">
        <v>0.5</v>
      </c>
      <c r="H89" s="65" t="n">
        <v>0.32</v>
      </c>
      <c r="I89" s="65" t="n">
        <v>0.02</v>
      </c>
      <c r="J89" s="65" t="n">
        <v>0.32</v>
      </c>
      <c r="K89" s="65" t="n">
        <v>0</v>
      </c>
      <c r="L89" s="65" t="n">
        <v>0.16</v>
      </c>
      <c r="M89" s="65" t="n">
        <v>0.08</v>
      </c>
      <c r="N89" s="65" t="n">
        <v>0</v>
      </c>
      <c r="O89" s="65" t="n">
        <v>2.34</v>
      </c>
      <c r="P89" s="65">
        <f>SUM(B89:O89)</f>
        <v/>
      </c>
      <c r="R89" s="63">
        <f>(B89/$P89)</f>
        <v/>
      </c>
      <c r="S89" s="63">
        <f>(C89/$P89)</f>
        <v/>
      </c>
      <c r="T89" s="63">
        <f>(D89/$P89)</f>
        <v/>
      </c>
      <c r="U89" s="63">
        <f>(E89/$P89)</f>
        <v/>
      </c>
      <c r="V89" s="63">
        <f>(F89/$P89)</f>
        <v/>
      </c>
      <c r="W89" s="63">
        <f>(G89/$P89)</f>
        <v/>
      </c>
      <c r="X89" s="63">
        <f>(H89/$P89)</f>
        <v/>
      </c>
      <c r="Y89" s="63">
        <f>(I89/$P89)</f>
        <v/>
      </c>
      <c r="Z89" s="63">
        <f>(J89/$P89)</f>
        <v/>
      </c>
      <c r="AA89" s="63">
        <f>(K89/$P89)</f>
        <v/>
      </c>
      <c r="AB89" s="63">
        <f>(L89/$P89)</f>
        <v/>
      </c>
      <c r="AC89" s="63">
        <f>(M89/$P89)</f>
        <v/>
      </c>
      <c r="AD89" s="63">
        <f>(N89/$P89)</f>
        <v/>
      </c>
      <c r="AE89" s="63">
        <f>(O89/$P89)</f>
        <v/>
      </c>
      <c r="AG89" s="63">
        <f>T89+U89+V89</f>
        <v/>
      </c>
      <c r="AH89" s="63">
        <f>SUM(W89:AD89)</f>
        <v/>
      </c>
      <c r="AI89" s="42">
        <f>AE89+AH89</f>
        <v/>
      </c>
      <c r="AJ89" s="41">
        <f>AI89+AG89</f>
        <v/>
      </c>
      <c r="AK89" s="41">
        <f>SUM(R89:S89)</f>
        <v/>
      </c>
      <c r="AL89" s="41">
        <f>AI89</f>
        <v/>
      </c>
      <c r="AM89">
        <f>YEAR(A89)</f>
        <v/>
      </c>
      <c r="AN89">
        <f>MONTH(A89)</f>
        <v/>
      </c>
      <c r="AO89">
        <f>AO88+1</f>
        <v/>
      </c>
    </row>
    <row r="90" hidden="1" ht="18" customHeight="1" s="259">
      <c r="A90" s="8" t="n">
        <v>45590</v>
      </c>
      <c r="B90" s="65" t="n">
        <v>22.62</v>
      </c>
      <c r="C90" s="65" t="n">
        <v>3.14</v>
      </c>
      <c r="D90" s="65" t="n">
        <v>1.76</v>
      </c>
      <c r="E90" s="65" t="n">
        <v>0</v>
      </c>
      <c r="F90" s="65" t="n">
        <v>0.48</v>
      </c>
      <c r="G90" s="65" t="n">
        <v>0.18</v>
      </c>
      <c r="H90" s="65" t="n">
        <v>0.1</v>
      </c>
      <c r="I90" s="65" t="n">
        <v>0</v>
      </c>
      <c r="J90" s="65" t="n">
        <v>0.06</v>
      </c>
      <c r="K90" s="65" t="n">
        <v>0.02</v>
      </c>
      <c r="L90" s="65" t="n">
        <v>0</v>
      </c>
      <c r="M90" s="65" t="n">
        <v>0.02</v>
      </c>
      <c r="N90" s="65" t="n">
        <v>0</v>
      </c>
      <c r="O90" s="65" t="n">
        <v>1.26</v>
      </c>
      <c r="P90" s="65">
        <f>SUM(B90:O90)</f>
        <v/>
      </c>
      <c r="R90" s="63">
        <f>(B90/$P90)</f>
        <v/>
      </c>
      <c r="S90" s="63">
        <f>(C90/$P90)</f>
        <v/>
      </c>
      <c r="T90" s="63">
        <f>(D90/$P90)</f>
        <v/>
      </c>
      <c r="U90" s="63">
        <f>(E90/$P90)</f>
        <v/>
      </c>
      <c r="V90" s="63">
        <f>(F90/$P90)</f>
        <v/>
      </c>
      <c r="W90" s="63">
        <f>(G90/$P90)</f>
        <v/>
      </c>
      <c r="X90" s="63">
        <f>(H90/$P90)</f>
        <v/>
      </c>
      <c r="Y90" s="63">
        <f>(I90/$P90)</f>
        <v/>
      </c>
      <c r="Z90" s="63">
        <f>(J90/$P90)</f>
        <v/>
      </c>
      <c r="AA90" s="63">
        <f>(K90/$P90)</f>
        <v/>
      </c>
      <c r="AB90" s="63">
        <f>(L90/$P90)</f>
        <v/>
      </c>
      <c r="AC90" s="63">
        <f>(M90/$P90)</f>
        <v/>
      </c>
      <c r="AD90" s="63">
        <f>(N90/$P90)</f>
        <v/>
      </c>
      <c r="AE90" s="63">
        <f>(O90/$P90)</f>
        <v/>
      </c>
      <c r="AG90" s="63">
        <f>T90+U90+V90</f>
        <v/>
      </c>
      <c r="AH90" s="63">
        <f>SUM(W90:AD90)</f>
        <v/>
      </c>
      <c r="AI90" s="42">
        <f>AE90+AH90</f>
        <v/>
      </c>
      <c r="AJ90" s="41">
        <f>AI90+AG90</f>
        <v/>
      </c>
      <c r="AK90" s="41">
        <f>SUM(R90:S90)</f>
        <v/>
      </c>
      <c r="AL90" s="41">
        <f>AI90</f>
        <v/>
      </c>
      <c r="AM90">
        <f>YEAR(A90)</f>
        <v/>
      </c>
      <c r="AN90">
        <f>MONTH(A90)</f>
        <v/>
      </c>
      <c r="AO90">
        <f>AO89+1</f>
        <v/>
      </c>
    </row>
    <row r="91" hidden="1" ht="18" customHeight="1" s="259">
      <c r="A91" s="8" t="n">
        <v>45601</v>
      </c>
      <c r="B91" s="65" t="n">
        <v>21.78</v>
      </c>
      <c r="C91" s="65" t="n">
        <v>3.98</v>
      </c>
      <c r="D91" s="65" t="n">
        <v>2.02</v>
      </c>
      <c r="E91" s="65" t="n">
        <v>0.64</v>
      </c>
      <c r="F91" s="65" t="n">
        <v>0.58</v>
      </c>
      <c r="G91" s="65" t="n">
        <v>0.16</v>
      </c>
      <c r="H91" s="65" t="n">
        <v>0.28</v>
      </c>
      <c r="I91" s="65" t="n">
        <v>0</v>
      </c>
      <c r="J91" s="65" t="n">
        <v>0.1</v>
      </c>
      <c r="K91" s="65" t="n">
        <v>0.02</v>
      </c>
      <c r="L91" s="65" t="n">
        <v>0</v>
      </c>
      <c r="M91" s="65" t="n">
        <v>0</v>
      </c>
      <c r="N91" s="65" t="n">
        <v>0</v>
      </c>
      <c r="O91" s="65" t="n">
        <v>0.9399999999999999</v>
      </c>
      <c r="P91" s="65">
        <f>SUM(B91:O91)</f>
        <v/>
      </c>
      <c r="R91" s="63">
        <f>(B91/$P91)</f>
        <v/>
      </c>
      <c r="S91" s="63">
        <f>(C91/$P91)</f>
        <v/>
      </c>
      <c r="T91" s="63">
        <f>(D91/$P91)</f>
        <v/>
      </c>
      <c r="U91" s="63">
        <f>(E91/$P91)</f>
        <v/>
      </c>
      <c r="V91" s="63">
        <f>(F91/$P91)</f>
        <v/>
      </c>
      <c r="W91" s="63">
        <f>(G91/$P91)</f>
        <v/>
      </c>
      <c r="X91" s="63">
        <f>(H91/$P91)</f>
        <v/>
      </c>
      <c r="Y91" s="63">
        <f>(I91/$P91)</f>
        <v/>
      </c>
      <c r="Z91" s="63">
        <f>(J91/$P91)</f>
        <v/>
      </c>
      <c r="AA91" s="63">
        <f>(K91/$P91)</f>
        <v/>
      </c>
      <c r="AB91" s="63">
        <f>(L91/$P91)</f>
        <v/>
      </c>
      <c r="AC91" s="63">
        <f>(M91/$P91)</f>
        <v/>
      </c>
      <c r="AD91" s="63">
        <f>(N91/$P91)</f>
        <v/>
      </c>
      <c r="AE91" s="63">
        <f>(O91/$P91)</f>
        <v/>
      </c>
      <c r="AG91" s="63">
        <f>T91+U91+V91</f>
        <v/>
      </c>
      <c r="AH91" s="63">
        <f>SUM(W91:AD91)</f>
        <v/>
      </c>
      <c r="AI91" s="42">
        <f>AE91+AH91</f>
        <v/>
      </c>
      <c r="AJ91" s="41">
        <f>AI91+AG91</f>
        <v/>
      </c>
      <c r="AK91" s="41">
        <f>SUM(R91:S91)</f>
        <v/>
      </c>
      <c r="AL91" s="41">
        <f>AI91</f>
        <v/>
      </c>
      <c r="AM91">
        <f>YEAR(A91)</f>
        <v/>
      </c>
      <c r="AN91">
        <f>MONTH(A91)</f>
        <v/>
      </c>
      <c r="AO91">
        <f>AO90+1</f>
        <v/>
      </c>
    </row>
    <row r="92" hidden="1" ht="18" customHeight="1" s="259">
      <c r="A92" s="8" t="n">
        <v>45612</v>
      </c>
      <c r="B92" s="65" t="n">
        <v>26.54</v>
      </c>
      <c r="C92" s="65" t="n">
        <v>3.06</v>
      </c>
      <c r="D92" s="65" t="n">
        <v>2.16</v>
      </c>
      <c r="E92" s="65" t="n">
        <v>0.16</v>
      </c>
      <c r="F92" s="65" t="n">
        <v>0.36</v>
      </c>
      <c r="G92" s="65" t="n">
        <v>0</v>
      </c>
      <c r="H92" s="65" t="n">
        <v>0.22</v>
      </c>
      <c r="I92" s="65" t="n">
        <v>0</v>
      </c>
      <c r="J92" s="65" t="n">
        <v>0.02</v>
      </c>
      <c r="K92" s="65" t="n">
        <v>0.08</v>
      </c>
      <c r="L92" s="65" t="n">
        <v>0</v>
      </c>
      <c r="M92" s="65" t="n">
        <v>0.1</v>
      </c>
      <c r="N92" s="65" t="n">
        <v>0</v>
      </c>
      <c r="O92" s="65" t="n">
        <v>0.44</v>
      </c>
      <c r="P92" s="65">
        <f>SUM(B92:O92)</f>
        <v/>
      </c>
      <c r="R92" s="63">
        <f>(B92/$P92)</f>
        <v/>
      </c>
      <c r="S92" s="63">
        <f>(C92/$P92)</f>
        <v/>
      </c>
      <c r="T92" s="63">
        <f>(D92/$P92)</f>
        <v/>
      </c>
      <c r="U92" s="63">
        <f>(E92/$P92)</f>
        <v/>
      </c>
      <c r="V92" s="63">
        <f>(F92/$P92)</f>
        <v/>
      </c>
      <c r="W92" s="63">
        <f>(G92/$P92)</f>
        <v/>
      </c>
      <c r="X92" s="63">
        <f>(H92/$P92)</f>
        <v/>
      </c>
      <c r="Y92" s="63">
        <f>(I92/$P92)</f>
        <v/>
      </c>
      <c r="Z92" s="63">
        <f>(J92/$P92)</f>
        <v/>
      </c>
      <c r="AA92" s="63">
        <f>(K92/$P92)</f>
        <v/>
      </c>
      <c r="AB92" s="63">
        <f>(L92/$P92)</f>
        <v/>
      </c>
      <c r="AC92" s="63">
        <f>(M92/$P92)</f>
        <v/>
      </c>
      <c r="AD92" s="63">
        <f>(N92/$P92)</f>
        <v/>
      </c>
      <c r="AE92" s="63">
        <f>(O92/$P92)</f>
        <v/>
      </c>
      <c r="AG92" s="63">
        <f>T92+U92+V92</f>
        <v/>
      </c>
      <c r="AH92" s="63">
        <f>SUM(W92:AD92)</f>
        <v/>
      </c>
      <c r="AI92" s="42">
        <f>AE92+AH92</f>
        <v/>
      </c>
      <c r="AJ92" s="41">
        <f>AI92+AG92</f>
        <v/>
      </c>
      <c r="AK92" s="41">
        <f>SUM(R92:S92)</f>
        <v/>
      </c>
      <c r="AL92" s="41">
        <f>AI92</f>
        <v/>
      </c>
      <c r="AM92">
        <f>YEAR(A92)</f>
        <v/>
      </c>
      <c r="AN92">
        <f>MONTH(A92)</f>
        <v/>
      </c>
      <c r="AO92">
        <f>AO91+1</f>
        <v/>
      </c>
    </row>
    <row r="93" hidden="1" ht="18" customHeight="1" s="259">
      <c r="A93" s="8" t="n">
        <v>45630</v>
      </c>
      <c r="B93" s="65" t="n">
        <v>19.54</v>
      </c>
      <c r="C93" s="65" t="n">
        <v>6.64</v>
      </c>
      <c r="D93" s="65" t="n">
        <v>1.38</v>
      </c>
      <c r="E93" s="65" t="n">
        <v>0.49</v>
      </c>
      <c r="F93" s="65" t="n">
        <v>0</v>
      </c>
      <c r="G93" s="65" t="n">
        <v>0</v>
      </c>
      <c r="H93" s="65" t="n">
        <v>0</v>
      </c>
      <c r="I93" s="65" t="n">
        <v>0</v>
      </c>
      <c r="J93" s="65" t="n">
        <v>0</v>
      </c>
      <c r="K93" s="65" t="n">
        <v>0.18</v>
      </c>
      <c r="L93" s="65" t="n">
        <v>0</v>
      </c>
      <c r="M93" s="65" t="n">
        <v>0</v>
      </c>
      <c r="N93" s="65" t="n">
        <v>0</v>
      </c>
      <c r="O93" s="65" t="n">
        <v>0.24</v>
      </c>
      <c r="P93" s="65">
        <f>SUM(B93:O93)</f>
        <v/>
      </c>
      <c r="R93" s="63">
        <f>(B93/$P93)</f>
        <v/>
      </c>
      <c r="S93" s="63">
        <f>(C93/$P93)</f>
        <v/>
      </c>
      <c r="T93" s="63">
        <f>(D93/$P93)</f>
        <v/>
      </c>
      <c r="U93" s="63">
        <f>(E93/$P93)</f>
        <v/>
      </c>
      <c r="V93" s="63">
        <f>(F93/$P93)</f>
        <v/>
      </c>
      <c r="W93" s="63">
        <f>(G93/$P93)</f>
        <v/>
      </c>
      <c r="X93" s="63">
        <f>(H93/$P93)</f>
        <v/>
      </c>
      <c r="Y93" s="63">
        <f>(I93/$P93)</f>
        <v/>
      </c>
      <c r="Z93" s="63">
        <f>(J93/$P93)</f>
        <v/>
      </c>
      <c r="AA93" s="63">
        <f>(K93/$P93)</f>
        <v/>
      </c>
      <c r="AB93" s="63">
        <f>(L93/$P93)</f>
        <v/>
      </c>
      <c r="AC93" s="63">
        <f>(M93/$P93)</f>
        <v/>
      </c>
      <c r="AD93" s="63">
        <f>(N93/$P93)</f>
        <v/>
      </c>
      <c r="AE93" s="63">
        <f>(O93/$P93)</f>
        <v/>
      </c>
      <c r="AG93" s="63">
        <f>T93+U93+V93</f>
        <v/>
      </c>
      <c r="AH93" s="63">
        <f>SUM(W93:AD93)</f>
        <v/>
      </c>
      <c r="AI93" s="42">
        <f>AE93+AH93</f>
        <v/>
      </c>
      <c r="AJ93" s="41">
        <f>AI93+AG93</f>
        <v/>
      </c>
      <c r="AK93" s="41">
        <f>SUM(R93:S93)</f>
        <v/>
      </c>
      <c r="AL93" s="41">
        <f>AI93</f>
        <v/>
      </c>
      <c r="AM93">
        <f>YEAR(A93)</f>
        <v/>
      </c>
      <c r="AN93">
        <f>MONTH(A93)</f>
        <v/>
      </c>
    </row>
    <row r="94" hidden="1" ht="18" customHeight="1" s="259">
      <c r="A94" s="8" t="n">
        <v>45647</v>
      </c>
      <c r="B94" s="65" t="n">
        <v>20.2</v>
      </c>
      <c r="C94" s="65" t="n">
        <v>3.9</v>
      </c>
      <c r="D94" s="65" t="n">
        <v>2.82</v>
      </c>
      <c r="E94" s="65" t="n">
        <v>0.8</v>
      </c>
      <c r="F94" s="65" t="n">
        <v>0.5</v>
      </c>
      <c r="G94" s="65" t="n">
        <v>0.04</v>
      </c>
      <c r="H94" s="65" t="n">
        <v>0.12</v>
      </c>
      <c r="I94" s="65" t="n">
        <v>0</v>
      </c>
      <c r="J94" s="65" t="n">
        <v>0.12</v>
      </c>
      <c r="K94" s="65" t="n">
        <v>0.18</v>
      </c>
      <c r="L94" s="65" t="n">
        <v>0.08</v>
      </c>
      <c r="M94" s="65" t="n">
        <v>0.16</v>
      </c>
      <c r="N94" s="65" t="n">
        <v>0</v>
      </c>
      <c r="O94" s="65" t="n">
        <v>1.02</v>
      </c>
      <c r="P94" s="65">
        <f>SUM(B94:O94)</f>
        <v/>
      </c>
      <c r="R94" s="63">
        <f>(B94/$P94)</f>
        <v/>
      </c>
      <c r="S94" s="63">
        <f>(C94/$P94)</f>
        <v/>
      </c>
      <c r="T94" s="63">
        <f>(D94/$P94)</f>
        <v/>
      </c>
      <c r="U94" s="63">
        <f>(E94/$P94)</f>
        <v/>
      </c>
      <c r="V94" s="63">
        <f>(F94/$P94)</f>
        <v/>
      </c>
      <c r="W94" s="63">
        <f>(G94/$P94)</f>
        <v/>
      </c>
      <c r="X94" s="63">
        <f>(H94/$P94)</f>
        <v/>
      </c>
      <c r="Y94" s="63">
        <f>(I94/$P94)</f>
        <v/>
      </c>
      <c r="Z94" s="63">
        <f>(J94/$P94)</f>
        <v/>
      </c>
      <c r="AA94" s="63">
        <f>(K94/$P94)</f>
        <v/>
      </c>
      <c r="AB94" s="63">
        <f>(L94/$P94)</f>
        <v/>
      </c>
      <c r="AC94" s="63">
        <f>(M94/$P94)</f>
        <v/>
      </c>
      <c r="AD94" s="63">
        <f>(N94/$P94)</f>
        <v/>
      </c>
      <c r="AE94" s="63">
        <f>(O94/$P94)</f>
        <v/>
      </c>
      <c r="AG94" s="63">
        <f>T94+U94+V94</f>
        <v/>
      </c>
      <c r="AH94" s="63">
        <f>SUM(W94:AD94)</f>
        <v/>
      </c>
      <c r="AI94" s="42">
        <f>AE94+AH94</f>
        <v/>
      </c>
      <c r="AJ94" s="41">
        <f>AI94+AG94</f>
        <v/>
      </c>
      <c r="AK94" s="41">
        <f>SUM(R94:S94)</f>
        <v/>
      </c>
      <c r="AL94" s="41">
        <f>AI94</f>
        <v/>
      </c>
      <c r="AM94">
        <f>YEAR(A94)</f>
        <v/>
      </c>
      <c r="AN94">
        <f>MONTH(A94)</f>
        <v/>
      </c>
      <c r="AO94">
        <f>AO92+1</f>
        <v/>
      </c>
    </row>
    <row r="95" ht="18" customHeight="1" s="259">
      <c r="A95" s="8" t="n">
        <v>45663</v>
      </c>
      <c r="B95" s="65" t="n">
        <v>19.26</v>
      </c>
      <c r="C95" s="65" t="n">
        <v>3.94</v>
      </c>
      <c r="D95" s="65" t="n">
        <v>0.98</v>
      </c>
      <c r="E95" s="65" t="n">
        <v>0.12</v>
      </c>
      <c r="F95" s="65" t="n">
        <v>0.7</v>
      </c>
      <c r="G95" s="65" t="n">
        <v>0</v>
      </c>
      <c r="H95" s="65" t="n">
        <v>0.06</v>
      </c>
      <c r="I95" s="65" t="n">
        <v>0.08</v>
      </c>
      <c r="J95" s="65" t="n">
        <v>0.08</v>
      </c>
      <c r="K95" s="65" t="n">
        <v>0.04</v>
      </c>
      <c r="L95" s="65" t="n">
        <v>0</v>
      </c>
      <c r="M95" s="65" t="n">
        <v>0.06</v>
      </c>
      <c r="N95" s="65" t="n">
        <v>0</v>
      </c>
      <c r="O95" s="65" t="n">
        <v>0.22</v>
      </c>
      <c r="P95" s="65">
        <f>SUM(B95:O95)</f>
        <v/>
      </c>
      <c r="R95" s="63">
        <f>(B95/$P95)</f>
        <v/>
      </c>
      <c r="S95" s="63">
        <f>(C95/$P95)</f>
        <v/>
      </c>
      <c r="T95" s="63">
        <f>(D95/$P95)</f>
        <v/>
      </c>
      <c r="U95" s="63">
        <f>(E95/$P95)</f>
        <v/>
      </c>
      <c r="V95" s="63">
        <f>(F95/$P95)</f>
        <v/>
      </c>
      <c r="W95" s="63">
        <f>(G95/$P95)</f>
        <v/>
      </c>
      <c r="X95" s="63">
        <f>(H95/$P95)</f>
        <v/>
      </c>
      <c r="Y95" s="63">
        <f>(I95/$P95)</f>
        <v/>
      </c>
      <c r="Z95" s="63">
        <f>(J95/$P95)</f>
        <v/>
      </c>
      <c r="AA95" s="63">
        <f>(K95/$P95)</f>
        <v/>
      </c>
      <c r="AB95" s="63">
        <f>(L95/$P95)</f>
        <v/>
      </c>
      <c r="AC95" s="63">
        <f>(M95/$P95)</f>
        <v/>
      </c>
      <c r="AD95" s="63">
        <f>(N95/$P95)</f>
        <v/>
      </c>
      <c r="AE95" s="63">
        <f>(O95/$P95)</f>
        <v/>
      </c>
      <c r="AG95" s="63">
        <f>T95+U95+V95</f>
        <v/>
      </c>
      <c r="AH95" s="63">
        <f>SUM(W95:AD95)</f>
        <v/>
      </c>
      <c r="AI95" s="42">
        <f>AE95+AH95</f>
        <v/>
      </c>
      <c r="AJ95" s="41">
        <f>AI95+AG95</f>
        <v/>
      </c>
      <c r="AK95" s="41">
        <f>SUM(R95:S95)</f>
        <v/>
      </c>
      <c r="AL95" s="41">
        <f>AI95</f>
        <v/>
      </c>
      <c r="AM95">
        <f>YEAR(A95)</f>
        <v/>
      </c>
      <c r="AN95">
        <f>MONTH(A95)</f>
        <v/>
      </c>
      <c r="AO95">
        <f>AO94+1</f>
        <v/>
      </c>
    </row>
    <row r="96" ht="18" customHeight="1" s="259">
      <c r="A96" s="8" t="n">
        <v>45670</v>
      </c>
      <c r="B96" s="65" t="n">
        <v>20.26</v>
      </c>
      <c r="C96" s="65" t="n">
        <v>4.04</v>
      </c>
      <c r="D96" s="65" t="n">
        <v>2.34</v>
      </c>
      <c r="E96" s="65" t="n">
        <v>0.44</v>
      </c>
      <c r="F96" s="65" t="n">
        <v>0.28</v>
      </c>
      <c r="G96" s="65" t="n">
        <v>0</v>
      </c>
      <c r="H96" s="65" t="n">
        <v>0.4</v>
      </c>
      <c r="I96" s="65" t="n">
        <v>0</v>
      </c>
      <c r="J96" s="65" t="n">
        <v>0</v>
      </c>
      <c r="K96" s="65" t="n">
        <v>0.16</v>
      </c>
      <c r="L96" s="65" t="n">
        <v>0</v>
      </c>
      <c r="M96" s="65" t="n">
        <v>0</v>
      </c>
      <c r="N96" s="65" t="n">
        <v>0.04</v>
      </c>
      <c r="O96" s="65" t="n">
        <v>1.1</v>
      </c>
      <c r="P96" s="65">
        <f>SUM(B96:O96)</f>
        <v/>
      </c>
      <c r="R96" s="63">
        <f>(B96/$P96)</f>
        <v/>
      </c>
      <c r="S96" s="63">
        <f>(C96/$P96)</f>
        <v/>
      </c>
      <c r="T96" s="63">
        <f>(D96/$P96)</f>
        <v/>
      </c>
      <c r="U96" s="63">
        <f>(E96/$P96)</f>
        <v/>
      </c>
      <c r="V96" s="63">
        <f>(F96/$P96)</f>
        <v/>
      </c>
      <c r="W96" s="63">
        <f>(G96/$P96)</f>
        <v/>
      </c>
      <c r="X96" s="63">
        <f>(H96/$P96)</f>
        <v/>
      </c>
      <c r="Y96" s="63">
        <f>(I96/$P96)</f>
        <v/>
      </c>
      <c r="Z96" s="63">
        <f>(J96/$P96)</f>
        <v/>
      </c>
      <c r="AA96" s="63">
        <f>(K96/$P96)</f>
        <v/>
      </c>
      <c r="AB96" s="63">
        <f>(L96/$P96)</f>
        <v/>
      </c>
      <c r="AC96" s="63">
        <f>(M96/$P96)</f>
        <v/>
      </c>
      <c r="AD96" s="63">
        <f>(N96/$P96)</f>
        <v/>
      </c>
      <c r="AE96" s="63">
        <f>(O96/$P96)</f>
        <v/>
      </c>
      <c r="AG96" s="63">
        <f>T96+U96+V96</f>
        <v/>
      </c>
      <c r="AH96" s="63">
        <f>SUM(W96:AD96)</f>
        <v/>
      </c>
      <c r="AI96" s="42">
        <f>AE96+AH96</f>
        <v/>
      </c>
      <c r="AJ96" s="41">
        <f>AI96+AG96</f>
        <v/>
      </c>
      <c r="AK96" s="41">
        <f>SUM(R96:S96)</f>
        <v/>
      </c>
      <c r="AL96" s="41">
        <f>AI96</f>
        <v/>
      </c>
      <c r="AM96">
        <f>YEAR(A96)</f>
        <v/>
      </c>
      <c r="AN96">
        <f>MONTH(A96)</f>
        <v/>
      </c>
      <c r="AO96">
        <f>AO95+1</f>
        <v/>
      </c>
    </row>
    <row r="97" ht="18" customHeight="1" s="259">
      <c r="P97" s="65" t="n"/>
      <c r="R97" s="63">
        <f>(B97/$P97)</f>
        <v/>
      </c>
      <c r="S97" s="63">
        <f>(C97/$P97)</f>
        <v/>
      </c>
      <c r="T97" s="63">
        <f>(D97/$P97)</f>
        <v/>
      </c>
      <c r="U97" s="63">
        <f>(E97/$P97)</f>
        <v/>
      </c>
      <c r="V97" s="63">
        <f>(F97/$P97)</f>
        <v/>
      </c>
      <c r="W97" s="63">
        <f>(G97/$P97)</f>
        <v/>
      </c>
      <c r="X97" s="63">
        <f>(H97/$P97)</f>
        <v/>
      </c>
      <c r="Y97" s="63">
        <f>(I97/$P97)</f>
        <v/>
      </c>
      <c r="Z97" s="63">
        <f>(J97/$P97)</f>
        <v/>
      </c>
      <c r="AA97" s="63">
        <f>(K97/$P97)</f>
        <v/>
      </c>
      <c r="AB97" s="63">
        <f>(L97/$P97)</f>
        <v/>
      </c>
      <c r="AC97" s="63">
        <f>(M97/$P97)</f>
        <v/>
      </c>
      <c r="AD97" s="63">
        <f>(N97/$P97)</f>
        <v/>
      </c>
      <c r="AE97" s="63">
        <f>(O97/$P97)</f>
        <v/>
      </c>
      <c r="AG97" s="63">
        <f>T97+U97+V97</f>
        <v/>
      </c>
      <c r="AH97" s="63">
        <f>SUM(W97:AD97)</f>
        <v/>
      </c>
      <c r="AI97" s="42">
        <f>AE97+AH97</f>
        <v/>
      </c>
      <c r="AJ97" s="41">
        <f>AI97+AG97</f>
        <v/>
      </c>
      <c r="AK97" s="41">
        <f>SUM(R97:S97)</f>
        <v/>
      </c>
      <c r="AL97" s="41">
        <f>AI97</f>
        <v/>
      </c>
      <c r="AM97">
        <f>YEAR(A97)</f>
        <v/>
      </c>
      <c r="AN97">
        <f>MONTH(A97)</f>
        <v/>
      </c>
      <c r="AO97">
        <f>AO96+1</f>
        <v/>
      </c>
    </row>
    <row r="98" ht="18" customHeight="1" s="259">
      <c r="R98" s="63">
        <f>(B98/$P98)</f>
        <v/>
      </c>
      <c r="S98" s="63">
        <f>(C98/$P98)</f>
        <v/>
      </c>
      <c r="T98" s="63">
        <f>(D98/$P98)</f>
        <v/>
      </c>
      <c r="U98" s="63">
        <f>(E98/$P98)</f>
        <v/>
      </c>
      <c r="V98" s="63">
        <f>(F98/$P98)</f>
        <v/>
      </c>
      <c r="W98" s="63">
        <f>(G98/$P98)</f>
        <v/>
      </c>
      <c r="X98" s="63">
        <f>(H98/$P98)</f>
        <v/>
      </c>
      <c r="Y98" s="63">
        <f>(I98/$P98)</f>
        <v/>
      </c>
      <c r="Z98" s="63">
        <f>(J98/$P98)</f>
        <v/>
      </c>
      <c r="AA98" s="63">
        <f>(K98/$P98)</f>
        <v/>
      </c>
      <c r="AB98" s="63">
        <f>(L98/$P98)</f>
        <v/>
      </c>
      <c r="AC98" s="63">
        <f>(M98/$P98)</f>
        <v/>
      </c>
      <c r="AD98" s="63">
        <f>(N98/$P98)</f>
        <v/>
      </c>
      <c r="AE98" s="63">
        <f>(O98/$P98)</f>
        <v/>
      </c>
      <c r="AG98" s="63">
        <f>T98+U98+V98</f>
        <v/>
      </c>
      <c r="AH98" s="63">
        <f>SUM(W98:AD98)</f>
        <v/>
      </c>
      <c r="AI98" s="42">
        <f>AE98+AH98</f>
        <v/>
      </c>
      <c r="AJ98" s="41">
        <f>AI98+AG98</f>
        <v/>
      </c>
      <c r="AK98" s="41">
        <f>SUM(R98:S98)</f>
        <v/>
      </c>
      <c r="AL98" s="41">
        <f>AI98</f>
        <v/>
      </c>
      <c r="AM98">
        <f>YEAR(A98)</f>
        <v/>
      </c>
      <c r="AN98">
        <f>MONTH(A98)</f>
        <v/>
      </c>
      <c r="AO98">
        <f>AO97+1</f>
        <v/>
      </c>
    </row>
    <row r="99" ht="18" customHeight="1" s="259">
      <c r="R99" s="63">
        <f>(B99/$P99)</f>
        <v/>
      </c>
      <c r="S99" s="63">
        <f>(C99/$P99)</f>
        <v/>
      </c>
      <c r="T99" s="63">
        <f>(D99/$P99)</f>
        <v/>
      </c>
      <c r="U99" s="63">
        <f>(E99/$P99)</f>
        <v/>
      </c>
      <c r="V99" s="63">
        <f>(F99/$P99)</f>
        <v/>
      </c>
      <c r="W99" s="63">
        <f>(G99/$P99)</f>
        <v/>
      </c>
      <c r="X99" s="63">
        <f>(H99/$P99)</f>
        <v/>
      </c>
      <c r="Y99" s="63">
        <f>(I99/$P99)</f>
        <v/>
      </c>
      <c r="Z99" s="63">
        <f>(J99/$P99)</f>
        <v/>
      </c>
      <c r="AA99" s="63">
        <f>(K99/$P99)</f>
        <v/>
      </c>
      <c r="AB99" s="63">
        <f>(L99/$P99)</f>
        <v/>
      </c>
      <c r="AC99" s="63">
        <f>(M99/$P99)</f>
        <v/>
      </c>
      <c r="AD99" s="63">
        <f>(N99/$P99)</f>
        <v/>
      </c>
      <c r="AE99" s="63">
        <f>(O99/$P99)</f>
        <v/>
      </c>
      <c r="AG99" s="63">
        <f>T99+U99+V99</f>
        <v/>
      </c>
      <c r="AH99" s="63">
        <f>SUM(W99:AD99)</f>
        <v/>
      </c>
      <c r="AI99" s="42">
        <f>AE99+AH99</f>
        <v/>
      </c>
      <c r="AJ99" s="41">
        <f>AI99+AG99</f>
        <v/>
      </c>
      <c r="AK99" s="41">
        <f>SUM(R99:S99)</f>
        <v/>
      </c>
      <c r="AL99" s="41">
        <f>AI99</f>
        <v/>
      </c>
      <c r="AM99">
        <f>YEAR(A99)</f>
        <v/>
      </c>
      <c r="AN99">
        <f>MONTH(A99)</f>
        <v/>
      </c>
      <c r="AO99">
        <f>AO98+1</f>
        <v/>
      </c>
    </row>
    <row r="102" ht="23.25" customHeight="1" s="259">
      <c r="Q102" s="67" t="inlineStr">
        <is>
          <t>EMR</t>
        </is>
      </c>
      <c r="R102" s="54">
        <f>AVERAGE(R2:R90)</f>
        <v/>
      </c>
      <c r="S102" s="54">
        <f>AVERAGE(S2:S90)</f>
        <v/>
      </c>
      <c r="T102" s="50">
        <f>AVERAGE(T2:T90)</f>
        <v/>
      </c>
      <c r="U102" s="50">
        <f>AVERAGE(U2:U90)</f>
        <v/>
      </c>
      <c r="V102" s="50">
        <f>AVERAGE(V2:V90)</f>
        <v/>
      </c>
      <c r="W102" s="55">
        <f>AVERAGE(W2:W90)</f>
        <v/>
      </c>
      <c r="X102" s="55">
        <f>AVERAGE(X2:X90)</f>
        <v/>
      </c>
      <c r="Y102" s="55">
        <f>AVERAGE(Y2:Y90)</f>
        <v/>
      </c>
      <c r="Z102" s="55">
        <f>AVERAGE(Z2:Z90)</f>
        <v/>
      </c>
      <c r="AA102" s="55">
        <f>AVERAGE(AA2:AA90)</f>
        <v/>
      </c>
      <c r="AB102" s="55">
        <f>AVERAGE(AB2:AB90)</f>
        <v/>
      </c>
      <c r="AC102" s="55">
        <f>AVERAGE(AC2:AC90)</f>
        <v/>
      </c>
      <c r="AD102" s="55">
        <f>AVERAGE(AD2:AD90)</f>
        <v/>
      </c>
      <c r="AE102" s="49">
        <f>AVERAGE(AE2:AE90)</f>
        <v/>
      </c>
      <c r="AF102" s="31">
        <f>AVERAGE(AF2:AF89)</f>
        <v/>
      </c>
      <c r="AG102" s="55">
        <f>AVERAGE(AG2:AG90)</f>
        <v/>
      </c>
      <c r="AH102" s="49">
        <f>AVERAGE(AH2:AH90)</f>
        <v/>
      </c>
      <c r="AI102" s="50">
        <f>AVERAGE(AI2:AI90)</f>
        <v/>
      </c>
      <c r="AJ102" s="70">
        <f>AVERAGE(AJ2:AJ90)</f>
        <v/>
      </c>
      <c r="AK102" s="70" t="n"/>
      <c r="AL102" s="70" t="n"/>
    </row>
    <row r="104" ht="23.25" customHeight="1" s="259">
      <c r="Q104" s="67" t="n">
        <v>2024</v>
      </c>
      <c r="R104" s="68">
        <f>AVERAGE(R65:R94)</f>
        <v/>
      </c>
      <c r="S104" s="68">
        <f>AVERAGE(S65:S94)</f>
        <v/>
      </c>
      <c r="T104" s="68">
        <f>AVERAGE(T65:T94)</f>
        <v/>
      </c>
      <c r="U104" s="68">
        <f>AVERAGE(U65:U94)</f>
        <v/>
      </c>
      <c r="V104" s="68">
        <f>AVERAGE(V65:V94)</f>
        <v/>
      </c>
      <c r="W104" s="68">
        <f>AVERAGE(W65:W94)</f>
        <v/>
      </c>
      <c r="X104" s="68">
        <f>AVERAGE(X65:X94)</f>
        <v/>
      </c>
      <c r="Y104" s="68">
        <f>AVERAGE(Y65:Y94)</f>
        <v/>
      </c>
      <c r="Z104" s="68">
        <f>AVERAGE(Z65:Z94)</f>
        <v/>
      </c>
      <c r="AA104" s="68">
        <f>AVERAGE(AA65:AA94)</f>
        <v/>
      </c>
      <c r="AB104" s="68">
        <f>AVERAGE(AB65:AB94)</f>
        <v/>
      </c>
      <c r="AC104" s="68">
        <f>AVERAGE(AC65:AC94)</f>
        <v/>
      </c>
      <c r="AD104" s="68">
        <f>AVERAGE(AD65:AD94)</f>
        <v/>
      </c>
      <c r="AE104" s="68">
        <f>AVERAGE(AE65:AE94)</f>
        <v/>
      </c>
      <c r="AF104" s="68">
        <f>AVERAGE(AF65:AF94)</f>
        <v/>
      </c>
      <c r="AG104" s="68">
        <f>AVERAGE(AG65:AG94)</f>
        <v/>
      </c>
      <c r="AH104" s="68">
        <f>AVERAGE(AH65:AH94)</f>
        <v/>
      </c>
      <c r="AI104" s="68">
        <f>AVERAGE(AI65:AI94)</f>
        <v/>
      </c>
      <c r="AJ104" s="68">
        <f>AVERAGE(AJ65:AJ94)</f>
        <v/>
      </c>
      <c r="AK104" s="68" t="n"/>
      <c r="AL104" s="68" t="n"/>
    </row>
    <row r="105" ht="15.75" customHeight="1" s="259">
      <c r="Q105" s="84" t="inlineStr">
        <is>
          <t>Janvier</t>
        </is>
      </c>
      <c r="R105" s="87">
        <f>AVERAGE(R65:R67)</f>
        <v/>
      </c>
      <c r="S105" s="87">
        <f>AVERAGE(S65:S67)</f>
        <v/>
      </c>
      <c r="T105" s="87">
        <f>AVERAGE(T65:T67)</f>
        <v/>
      </c>
      <c r="U105" s="87">
        <f>AVERAGE(U65:U67)</f>
        <v/>
      </c>
      <c r="V105" s="87">
        <f>AVERAGE(V65:V67)</f>
        <v/>
      </c>
      <c r="W105" s="87">
        <f>AVERAGE(W65:W67)</f>
        <v/>
      </c>
      <c r="X105" s="87">
        <f>AVERAGE(X65:X67)</f>
        <v/>
      </c>
      <c r="Y105" s="87">
        <f>AVERAGE(Y65:Y67)</f>
        <v/>
      </c>
      <c r="Z105" s="87">
        <f>AVERAGE(Z65:Z67)</f>
        <v/>
      </c>
      <c r="AA105" s="87">
        <f>AVERAGE(AA65:AA67)</f>
        <v/>
      </c>
      <c r="AB105" s="87">
        <f>AVERAGE(AB65:AB67)</f>
        <v/>
      </c>
      <c r="AC105" s="87">
        <f>AVERAGE(AC65:AC67)</f>
        <v/>
      </c>
      <c r="AD105" s="87">
        <f>AVERAGE(AD65:AD67)</f>
        <v/>
      </c>
      <c r="AE105" s="87">
        <f>AVERAGE(AE65:AE67)</f>
        <v/>
      </c>
      <c r="AF105" s="87">
        <f>AVERAGE(AF65:AF67)</f>
        <v/>
      </c>
      <c r="AG105" s="87">
        <f>AVERAGE(AG65:AG67)</f>
        <v/>
      </c>
      <c r="AH105" s="87">
        <f>AVERAGE(AH65:AH67)</f>
        <v/>
      </c>
      <c r="AI105" s="87">
        <f>AVERAGE(AI65:AI67)</f>
        <v/>
      </c>
      <c r="AJ105" s="87">
        <f>AVERAGE(AJ65:AJ67)</f>
        <v/>
      </c>
      <c r="AK105" s="87" t="n"/>
      <c r="AL105" s="87" t="n"/>
    </row>
    <row r="106" ht="15.75" customHeight="1" s="259">
      <c r="Q106" s="84" t="inlineStr">
        <is>
          <t>Février</t>
        </is>
      </c>
      <c r="R106" s="74">
        <f>AVERAGE(R68:R70)</f>
        <v/>
      </c>
      <c r="S106" s="74">
        <f>AVERAGE(S68:S70)</f>
        <v/>
      </c>
      <c r="T106" s="74">
        <f>AVERAGE(T68:T70)</f>
        <v/>
      </c>
      <c r="U106" s="74">
        <f>AVERAGE(U68:U70)</f>
        <v/>
      </c>
      <c r="V106" s="74">
        <f>AVERAGE(V68:V70)</f>
        <v/>
      </c>
      <c r="W106" s="74">
        <f>AVERAGE(W68:W70)</f>
        <v/>
      </c>
      <c r="X106" s="74">
        <f>AVERAGE(X68:X70)</f>
        <v/>
      </c>
      <c r="Y106" s="74">
        <f>AVERAGE(Y68:Y70)</f>
        <v/>
      </c>
      <c r="Z106" s="74">
        <f>AVERAGE(Z68:Z70)</f>
        <v/>
      </c>
      <c r="AA106" s="74">
        <f>AVERAGE(AA68:AA70)</f>
        <v/>
      </c>
      <c r="AB106" s="74">
        <f>AVERAGE(AB68:AB70)</f>
        <v/>
      </c>
      <c r="AC106" s="74">
        <f>AVERAGE(AC68:AC70)</f>
        <v/>
      </c>
      <c r="AD106" s="74">
        <f>AVERAGE(AD68:AD70)</f>
        <v/>
      </c>
      <c r="AE106" s="74">
        <f>AVERAGE(AE68:AE70)</f>
        <v/>
      </c>
      <c r="AF106" s="74">
        <f>AVERAGE(AF68:AF70)</f>
        <v/>
      </c>
      <c r="AG106" s="74">
        <f>AVERAGE(AG68:AG70)</f>
        <v/>
      </c>
      <c r="AH106" s="74">
        <f>AVERAGE(AH68:AH70)</f>
        <v/>
      </c>
      <c r="AI106" s="74">
        <f>AVERAGE(AI68:AI70)</f>
        <v/>
      </c>
      <c r="AJ106" s="74">
        <f>AVERAGE(AJ68:AJ70)</f>
        <v/>
      </c>
      <c r="AK106" s="74" t="n"/>
      <c r="AL106" s="74" t="n"/>
    </row>
    <row r="107" ht="15.75" customHeight="1" s="259">
      <c r="Q107" s="84" t="inlineStr">
        <is>
          <t>Mars</t>
        </is>
      </c>
      <c r="R107" s="74">
        <f>AVERAGE(R71:R72)</f>
        <v/>
      </c>
      <c r="S107" s="74">
        <f>AVERAGE(S71:S72)</f>
        <v/>
      </c>
      <c r="T107" s="74">
        <f>AVERAGE(T71:T72)</f>
        <v/>
      </c>
      <c r="U107" s="74">
        <f>AVERAGE(U71:U72)</f>
        <v/>
      </c>
      <c r="V107" s="74">
        <f>AVERAGE(V71:V72)</f>
        <v/>
      </c>
      <c r="W107" s="74">
        <f>AVERAGE(W71:W72)</f>
        <v/>
      </c>
      <c r="X107" s="74">
        <f>AVERAGE(X71:X72)</f>
        <v/>
      </c>
      <c r="Y107" s="74">
        <f>AVERAGE(Y71:Y72)</f>
        <v/>
      </c>
      <c r="Z107" s="74">
        <f>AVERAGE(Z71:Z72)</f>
        <v/>
      </c>
      <c r="AA107" s="74">
        <f>AVERAGE(AA71:AA72)</f>
        <v/>
      </c>
      <c r="AB107" s="74">
        <f>AVERAGE(AB71:AB72)</f>
        <v/>
      </c>
      <c r="AC107" s="74">
        <f>AVERAGE(AC71:AC72)</f>
        <v/>
      </c>
      <c r="AD107" s="74">
        <f>AVERAGE(AD71:AD72)</f>
        <v/>
      </c>
      <c r="AE107" s="74">
        <f>AVERAGE(AE71:AE72)</f>
        <v/>
      </c>
      <c r="AF107" s="74">
        <f>AVERAGE(AF71:AF72)</f>
        <v/>
      </c>
      <c r="AG107" s="74">
        <f>AVERAGE(AG71:AG72)</f>
        <v/>
      </c>
      <c r="AH107" s="74">
        <f>AVERAGE(AH71:AH72)</f>
        <v/>
      </c>
      <c r="AI107" s="74">
        <f>AVERAGE(AI71:AI72)</f>
        <v/>
      </c>
      <c r="AJ107" s="74">
        <f>AVERAGE(AJ71:AJ72)</f>
        <v/>
      </c>
      <c r="AK107" s="74" t="n"/>
      <c r="AL107" s="74" t="n"/>
    </row>
    <row r="108" ht="15.75" customHeight="1" s="259">
      <c r="Q108" s="84" t="inlineStr">
        <is>
          <t>Avril</t>
        </is>
      </c>
      <c r="R108" s="74">
        <f>AVERAGE(R72:R73)</f>
        <v/>
      </c>
      <c r="S108" s="74">
        <f>AVERAGE(S72:S73)</f>
        <v/>
      </c>
      <c r="T108" s="74">
        <f>AVERAGE(T72:T73)</f>
        <v/>
      </c>
      <c r="U108" s="74">
        <f>AVERAGE(U72:U73)</f>
        <v/>
      </c>
      <c r="V108" s="74">
        <f>AVERAGE(V72:V73)</f>
        <v/>
      </c>
      <c r="W108" s="74">
        <f>AVERAGE(W72:W73)</f>
        <v/>
      </c>
      <c r="X108" s="74">
        <f>AVERAGE(X72:X73)</f>
        <v/>
      </c>
      <c r="Y108" s="74">
        <f>AVERAGE(Y72:Y73)</f>
        <v/>
      </c>
      <c r="Z108" s="74">
        <f>AVERAGE(Z72:Z73)</f>
        <v/>
      </c>
      <c r="AA108" s="74">
        <f>AVERAGE(AA72:AA73)</f>
        <v/>
      </c>
      <c r="AB108" s="74">
        <f>AVERAGE(AB72:AB73)</f>
        <v/>
      </c>
      <c r="AC108" s="74">
        <f>AVERAGE(AC72:AC73)</f>
        <v/>
      </c>
      <c r="AD108" s="74">
        <f>AVERAGE(AD72:AD73)</f>
        <v/>
      </c>
      <c r="AE108" s="74">
        <f>AVERAGE(AE72:AE73)</f>
        <v/>
      </c>
      <c r="AF108" s="74">
        <f>AVERAGE(AF73:AF83)</f>
        <v/>
      </c>
      <c r="AG108" s="74">
        <f>AVERAGE(AG72:AG73)</f>
        <v/>
      </c>
      <c r="AH108" s="74">
        <f>AVERAGE(AH72:AH73)</f>
        <v/>
      </c>
      <c r="AI108" s="74">
        <f>AVERAGE(AI72:AI73)</f>
        <v/>
      </c>
      <c r="AJ108" s="74">
        <f>AVERAGE(AJ72:AJ73)</f>
        <v/>
      </c>
      <c r="AK108" s="74" t="n"/>
      <c r="AL108" s="74" t="n"/>
    </row>
    <row r="109" ht="15.75" customHeight="1" s="259">
      <c r="Q109" s="84" t="inlineStr">
        <is>
          <t>Mai</t>
        </is>
      </c>
      <c r="R109" s="74" t="inlineStr">
        <is>
          <t>/</t>
        </is>
      </c>
      <c r="S109" s="74" t="inlineStr">
        <is>
          <t>/</t>
        </is>
      </c>
      <c r="T109" s="74" t="inlineStr">
        <is>
          <t>/</t>
        </is>
      </c>
      <c r="U109" s="74" t="inlineStr">
        <is>
          <t>/</t>
        </is>
      </c>
      <c r="V109" s="74" t="inlineStr">
        <is>
          <t>/</t>
        </is>
      </c>
      <c r="W109" s="74" t="inlineStr">
        <is>
          <t>/</t>
        </is>
      </c>
      <c r="X109" s="74" t="inlineStr">
        <is>
          <t>/</t>
        </is>
      </c>
      <c r="Y109" s="74" t="inlineStr">
        <is>
          <t>/</t>
        </is>
      </c>
      <c r="Z109" s="74" t="inlineStr">
        <is>
          <t>/</t>
        </is>
      </c>
      <c r="AA109" s="74" t="inlineStr">
        <is>
          <t>/</t>
        </is>
      </c>
      <c r="AB109" s="74" t="inlineStr">
        <is>
          <t>/</t>
        </is>
      </c>
      <c r="AC109" s="74" t="inlineStr">
        <is>
          <t>/</t>
        </is>
      </c>
      <c r="AD109" s="74" t="inlineStr">
        <is>
          <t>/</t>
        </is>
      </c>
      <c r="AE109" s="74" t="inlineStr">
        <is>
          <t>/</t>
        </is>
      </c>
      <c r="AG109" s="74" t="inlineStr">
        <is>
          <t>/</t>
        </is>
      </c>
      <c r="AH109" s="74" t="inlineStr">
        <is>
          <t>/</t>
        </is>
      </c>
      <c r="AI109" s="74" t="inlineStr">
        <is>
          <t>/</t>
        </is>
      </c>
      <c r="AJ109" s="74" t="inlineStr">
        <is>
          <t>/</t>
        </is>
      </c>
      <c r="AK109" s="74" t="n"/>
      <c r="AL109" s="74" t="n"/>
    </row>
    <row r="110" ht="15.75" customHeight="1" s="259">
      <c r="Q110" s="84" t="inlineStr">
        <is>
          <t>Juin</t>
        </is>
      </c>
      <c r="R110" s="74" t="inlineStr">
        <is>
          <t>/</t>
        </is>
      </c>
      <c r="S110" s="74" t="inlineStr">
        <is>
          <t>/</t>
        </is>
      </c>
      <c r="T110" s="74" t="inlineStr">
        <is>
          <t>/</t>
        </is>
      </c>
      <c r="U110" s="74" t="inlineStr">
        <is>
          <t>/</t>
        </is>
      </c>
      <c r="V110" s="74" t="inlineStr">
        <is>
          <t>/</t>
        </is>
      </c>
      <c r="W110" s="74" t="inlineStr">
        <is>
          <t>/</t>
        </is>
      </c>
      <c r="X110" s="74" t="inlineStr">
        <is>
          <t>/</t>
        </is>
      </c>
      <c r="Y110" s="74" t="inlineStr">
        <is>
          <t>/</t>
        </is>
      </c>
      <c r="Z110" s="74" t="inlineStr">
        <is>
          <t>/</t>
        </is>
      </c>
      <c r="AA110" s="74" t="inlineStr">
        <is>
          <t>/</t>
        </is>
      </c>
      <c r="AB110" s="74" t="inlineStr">
        <is>
          <t>/</t>
        </is>
      </c>
      <c r="AC110" s="74" t="inlineStr">
        <is>
          <t>/</t>
        </is>
      </c>
      <c r="AD110" s="74" t="inlineStr">
        <is>
          <t>/</t>
        </is>
      </c>
      <c r="AE110" s="74" t="inlineStr">
        <is>
          <t>/</t>
        </is>
      </c>
      <c r="AG110" s="74" t="inlineStr">
        <is>
          <t>/</t>
        </is>
      </c>
      <c r="AH110" s="74" t="inlineStr">
        <is>
          <t>/</t>
        </is>
      </c>
      <c r="AI110" s="74" t="inlineStr">
        <is>
          <t>/</t>
        </is>
      </c>
      <c r="AJ110" s="74" t="inlineStr">
        <is>
          <t>/</t>
        </is>
      </c>
      <c r="AK110" s="74" t="n"/>
      <c r="AL110" s="74" t="n"/>
    </row>
    <row r="111" ht="15.75" customHeight="1" s="259">
      <c r="Q111" s="84" t="inlineStr">
        <is>
          <t>Juillet</t>
        </is>
      </c>
      <c r="R111" s="74">
        <f>AVERAGE(R84:R85)</f>
        <v/>
      </c>
      <c r="S111" s="74">
        <f>AVERAGE(S84:S85)</f>
        <v/>
      </c>
      <c r="T111" s="74">
        <f>AVERAGE(T84:T85)</f>
        <v/>
      </c>
      <c r="U111" s="74">
        <f>AVERAGE(U84:U85)</f>
        <v/>
      </c>
      <c r="V111" s="74">
        <f>AVERAGE(V84:V85)</f>
        <v/>
      </c>
      <c r="W111" s="74">
        <f>AVERAGE(W84:W85)</f>
        <v/>
      </c>
      <c r="X111" s="74">
        <f>AVERAGE(X84:X85)</f>
        <v/>
      </c>
      <c r="Y111" s="74">
        <f>AVERAGE(Y84:Y85)</f>
        <v/>
      </c>
      <c r="Z111" s="74">
        <f>AVERAGE(Z84:Z85)</f>
        <v/>
      </c>
      <c r="AA111" s="74">
        <f>AVERAGE(AA84:AA85)</f>
        <v/>
      </c>
      <c r="AB111" s="74">
        <f>AVERAGE(AB84:AB85)</f>
        <v/>
      </c>
      <c r="AC111" s="74">
        <f>AVERAGE(AC84:AC85)</f>
        <v/>
      </c>
      <c r="AD111" s="74">
        <f>AVERAGE(AD84:AD85)</f>
        <v/>
      </c>
      <c r="AE111" s="74">
        <f>AVERAGE(AE84:AE85)</f>
        <v/>
      </c>
      <c r="AF111" s="74">
        <f>AVERAGE(AF84:AF85)</f>
        <v/>
      </c>
      <c r="AG111" s="74">
        <f>AVERAGE(AG84:AG85)</f>
        <v/>
      </c>
      <c r="AH111" s="74">
        <f>AVERAGE(AH84:AH85)</f>
        <v/>
      </c>
      <c r="AI111" s="74">
        <f>AVERAGE(AI84:AI85)</f>
        <v/>
      </c>
      <c r="AJ111" s="74">
        <f>AVERAGE(AJ84:AJ85)</f>
        <v/>
      </c>
      <c r="AK111" s="74" t="n"/>
      <c r="AL111" s="74" t="n"/>
    </row>
    <row r="112" ht="15.75" customHeight="1" s="259">
      <c r="Q112" s="84" t="inlineStr">
        <is>
          <t>Aout</t>
        </is>
      </c>
      <c r="R112" s="74" t="inlineStr">
        <is>
          <t>/</t>
        </is>
      </c>
      <c r="S112" s="74" t="inlineStr">
        <is>
          <t>/</t>
        </is>
      </c>
      <c r="T112" s="74" t="inlineStr">
        <is>
          <t>/</t>
        </is>
      </c>
      <c r="U112" s="74" t="inlineStr">
        <is>
          <t>/</t>
        </is>
      </c>
      <c r="V112" s="74" t="inlineStr">
        <is>
          <t>/</t>
        </is>
      </c>
      <c r="W112" s="74" t="inlineStr">
        <is>
          <t>/</t>
        </is>
      </c>
      <c r="X112" s="74" t="inlineStr">
        <is>
          <t>/</t>
        </is>
      </c>
      <c r="Y112" s="74" t="inlineStr">
        <is>
          <t>/</t>
        </is>
      </c>
      <c r="Z112" s="74" t="inlineStr">
        <is>
          <t>/</t>
        </is>
      </c>
      <c r="AA112" s="74" t="inlineStr">
        <is>
          <t>/</t>
        </is>
      </c>
      <c r="AB112" s="74" t="inlineStr">
        <is>
          <t>/</t>
        </is>
      </c>
      <c r="AC112" s="74" t="inlineStr">
        <is>
          <t>/</t>
        </is>
      </c>
      <c r="AD112" s="74" t="inlineStr">
        <is>
          <t>/</t>
        </is>
      </c>
      <c r="AE112" s="74" t="inlineStr">
        <is>
          <t>/</t>
        </is>
      </c>
      <c r="AF112" s="74" t="inlineStr">
        <is>
          <t>/</t>
        </is>
      </c>
      <c r="AG112" s="74" t="inlineStr">
        <is>
          <t>/</t>
        </is>
      </c>
      <c r="AH112" s="74" t="inlineStr">
        <is>
          <t>/</t>
        </is>
      </c>
      <c r="AI112" s="74" t="inlineStr">
        <is>
          <t>/</t>
        </is>
      </c>
      <c r="AJ112" s="74" t="inlineStr">
        <is>
          <t>/</t>
        </is>
      </c>
      <c r="AK112" s="74" t="n"/>
      <c r="AL112" s="74" t="n"/>
    </row>
    <row r="113" ht="15.75" customHeight="1" s="259">
      <c r="Q113" s="84" t="inlineStr">
        <is>
          <t>Septembre</t>
        </is>
      </c>
      <c r="R113" s="74">
        <f>AVERAGE(R86:R87)</f>
        <v/>
      </c>
      <c r="S113" s="74">
        <f>AVERAGE(S86:S87)</f>
        <v/>
      </c>
      <c r="T113" s="74">
        <f>AVERAGE(T86:T87)</f>
        <v/>
      </c>
      <c r="U113" s="74">
        <f>AVERAGE(U86:U87)</f>
        <v/>
      </c>
      <c r="V113" s="74">
        <f>AVERAGE(V86:V87)</f>
        <v/>
      </c>
      <c r="W113" s="74">
        <f>AVERAGE(W86:W87)</f>
        <v/>
      </c>
      <c r="X113" s="74">
        <f>AVERAGE(X86:X87)</f>
        <v/>
      </c>
      <c r="Y113" s="74">
        <f>AVERAGE(Y86:Y87)</f>
        <v/>
      </c>
      <c r="Z113" s="74">
        <f>AVERAGE(Z86:Z87)</f>
        <v/>
      </c>
      <c r="AA113" s="74">
        <f>AVERAGE(AA86:AA87)</f>
        <v/>
      </c>
      <c r="AB113" s="74">
        <f>AVERAGE(AB86:AB87)</f>
        <v/>
      </c>
      <c r="AC113" s="74">
        <f>AVERAGE(AC86:AC87)</f>
        <v/>
      </c>
      <c r="AD113" s="74">
        <f>AVERAGE(AD86:AD87)</f>
        <v/>
      </c>
      <c r="AE113" s="74">
        <f>AVERAGE(AE86:AE87)</f>
        <v/>
      </c>
      <c r="AF113" s="74">
        <f>AVERAGE(AF86:AF87)</f>
        <v/>
      </c>
      <c r="AG113" s="74">
        <f>AVERAGE(AG86:AG87)</f>
        <v/>
      </c>
      <c r="AH113" s="74">
        <f>AVERAGE(AH86:AH87)</f>
        <v/>
      </c>
      <c r="AI113" s="74">
        <f>AVERAGE(AI86:AI87)</f>
        <v/>
      </c>
      <c r="AJ113" s="74">
        <f>AVERAGE(AJ86:AJ87)</f>
        <v/>
      </c>
      <c r="AK113" s="74" t="n"/>
      <c r="AL113" s="74" t="n"/>
    </row>
    <row r="114" ht="15.75" customHeight="1" s="259">
      <c r="Q114" s="84" t="inlineStr">
        <is>
          <t>Octobre</t>
        </is>
      </c>
      <c r="R114" s="74">
        <f>AVERAGE(R88:R89)</f>
        <v/>
      </c>
      <c r="S114" s="74">
        <f>AVERAGE(S88:S89)</f>
        <v/>
      </c>
      <c r="T114" s="74">
        <f>AVERAGE(T88:T89)</f>
        <v/>
      </c>
      <c r="U114" s="74">
        <f>AVERAGE(U88:U89)</f>
        <v/>
      </c>
      <c r="V114" s="74">
        <f>AVERAGE(V88:V89)</f>
        <v/>
      </c>
      <c r="W114" s="74">
        <f>AVERAGE(W88:W89)</f>
        <v/>
      </c>
      <c r="X114" s="74">
        <f>AVERAGE(X88:X89)</f>
        <v/>
      </c>
      <c r="Y114" s="74">
        <f>AVERAGE(Y88:Y89)</f>
        <v/>
      </c>
      <c r="Z114" s="74">
        <f>AVERAGE(Z88:Z89)</f>
        <v/>
      </c>
      <c r="AA114" s="74">
        <f>AVERAGE(AA88:AA89)</f>
        <v/>
      </c>
      <c r="AB114" s="74">
        <f>AVERAGE(AB88:AB89)</f>
        <v/>
      </c>
      <c r="AC114" s="74">
        <f>AVERAGE(AC88:AC89)</f>
        <v/>
      </c>
      <c r="AD114" s="74">
        <f>AVERAGE(AD88:AD89)</f>
        <v/>
      </c>
      <c r="AE114" s="74">
        <f>AVERAGE(AE88:AE89)</f>
        <v/>
      </c>
      <c r="AF114" s="74">
        <f>AVERAGE(AF88:AF89)</f>
        <v/>
      </c>
      <c r="AG114" s="74">
        <f>AVERAGE(AG88:AG89)</f>
        <v/>
      </c>
      <c r="AH114" s="74">
        <f>AVERAGE(AH88:AH89)</f>
        <v/>
      </c>
      <c r="AI114" s="74">
        <f>AVERAGE(AI88:AI89)</f>
        <v/>
      </c>
      <c r="AJ114" s="74">
        <f>AVERAGE(AJ88:AJ89)</f>
        <v/>
      </c>
    </row>
    <row r="115" ht="15.75" customHeight="1" s="259">
      <c r="Q115" s="84" t="inlineStr">
        <is>
          <t>Novembre</t>
        </is>
      </c>
      <c r="R115" s="74" t="n"/>
      <c r="S115" s="74" t="n"/>
      <c r="T115" s="74" t="n"/>
      <c r="U115" s="74" t="n"/>
      <c r="V115" s="74" t="n"/>
      <c r="W115" s="74" t="n"/>
      <c r="X115" s="74" t="n"/>
      <c r="Y115" s="74" t="n"/>
      <c r="Z115" s="74" t="n"/>
      <c r="AA115" s="74" t="n"/>
      <c r="AB115" s="74" t="n"/>
      <c r="AC115" s="74" t="n"/>
      <c r="AD115" s="74" t="n"/>
      <c r="AE115" s="74" t="n"/>
      <c r="AG115" s="74" t="n"/>
      <c r="AH115" s="74" t="n"/>
      <c r="AI115" s="74" t="n"/>
      <c r="AJ115" s="74" t="n"/>
    </row>
    <row r="116" ht="15.75" customHeight="1" s="259">
      <c r="Q116" s="84" t="inlineStr">
        <is>
          <t>Decembre</t>
        </is>
      </c>
      <c r="R116" s="74" t="n"/>
      <c r="S116" s="74" t="n"/>
      <c r="T116" s="74" t="n"/>
      <c r="U116" s="74" t="n"/>
      <c r="V116" s="74" t="n"/>
      <c r="W116" s="74" t="n"/>
      <c r="X116" s="74" t="n"/>
      <c r="Y116" s="74" t="n"/>
      <c r="Z116" s="74" t="n"/>
      <c r="AA116" s="74" t="n"/>
      <c r="AB116" s="74" t="n"/>
      <c r="AC116" s="74" t="n"/>
      <c r="AD116" s="74" t="n"/>
      <c r="AE116" s="74" t="n"/>
      <c r="AG116" s="74" t="n"/>
      <c r="AH116" s="74" t="n"/>
      <c r="AI116" s="74" t="n"/>
      <c r="AJ116" s="74" t="n"/>
    </row>
  </sheetData>
  <autoFilter ref="A1:P96">
    <filterColumn colId="0" hiddenButton="0" showButton="1">
      <filters>
        <dateGroupItem year="2025" dateTimeGrouping="year"/>
      </filters>
    </filterColumn>
  </autoFilter>
  <pageMargins left="0.7086614173228347" right="0.7086614173228347" top="0.7480314960629921" bottom="0.7480314960629921" header="0.3149606299212598" footer="0.3149606299212598"/>
  <pageSetup orientation="landscape" paperSize="9" scale="23"/>
</worksheet>
</file>

<file path=xl/worksheets/sheet10.xml><?xml version="1.0" encoding="utf-8"?>
<worksheet xmlns="http://schemas.openxmlformats.org/spreadsheetml/2006/main">
  <sheetPr codeName="Feuil8" filterMode="1">
    <tabColor rgb="FF00B0F0"/>
    <outlinePr summaryBelow="1" summaryRight="1"/>
    <pageSetUpPr fitToPage="1"/>
  </sheetPr>
  <dimension ref="A1:AI57"/>
  <sheetViews>
    <sheetView zoomScale="55" zoomScaleNormal="55" workbookViewId="0">
      <pane ySplit="22" topLeftCell="A32" activePane="bottomLeft" state="frozen"/>
      <selection activeCell="H12" sqref="H12"/>
      <selection pane="bottomLeft" activeCell="H12" sqref="H12"/>
    </sheetView>
  </sheetViews>
  <sheetFormatPr baseColWidth="10" defaultRowHeight="12.75"/>
  <cols>
    <col width="19.7109375" customWidth="1" style="259" min="1" max="1"/>
    <col width="15.42578125" bestFit="1" customWidth="1" style="259" min="2" max="2"/>
    <col width="13.7109375" customWidth="1" style="259" min="3" max="3"/>
    <col width="16" customWidth="1" style="259" min="7" max="7"/>
    <col width="16.42578125" customWidth="1" style="259" min="8" max="8"/>
    <col width="15.28515625" customWidth="1" style="259" min="9" max="9"/>
    <col width="12.42578125" customWidth="1" style="259" min="16" max="16"/>
  </cols>
  <sheetData>
    <row r="1" ht="108" customHeight="1" s="259">
      <c r="A1" s="93" t="inlineStr">
        <is>
          <t>Date</t>
        </is>
      </c>
      <c r="B1" s="30" t="inlineStr">
        <is>
          <t>JRM</t>
        </is>
      </c>
      <c r="C1" s="30" t="inlineStr">
        <is>
          <t>Cartons 1.05</t>
        </is>
      </c>
      <c r="D1" s="30" t="inlineStr">
        <is>
          <t>Cartons 1.04</t>
        </is>
      </c>
      <c r="E1" s="30" t="inlineStr">
        <is>
          <t>GM</t>
        </is>
      </c>
      <c r="F1" s="32" t="inlineStr">
        <is>
          <t>ELA</t>
        </is>
      </c>
      <c r="G1" s="32" t="inlineStr">
        <is>
          <t>PET Q7 (dont barquettes)</t>
        </is>
      </c>
      <c r="H1" s="32" t="inlineStr">
        <is>
          <t>PET Q8 (dont barquettes)</t>
        </is>
      </c>
      <c r="I1" s="32" t="inlineStr">
        <is>
          <t>PEPPPS (dont barquettes)</t>
        </is>
      </c>
      <c r="J1" s="32" t="inlineStr">
        <is>
          <t>films</t>
        </is>
      </c>
      <c r="K1" s="32" t="inlineStr">
        <is>
          <t>acier</t>
        </is>
      </c>
      <c r="L1" s="32" t="inlineStr">
        <is>
          <t>alu</t>
        </is>
      </c>
      <c r="M1" s="32" t="inlineStr">
        <is>
          <t>petits alu</t>
        </is>
      </c>
      <c r="N1" s="33" t="inlineStr">
        <is>
          <t>refus indésirables</t>
        </is>
      </c>
      <c r="O1" s="32" t="inlineStr">
        <is>
          <t>TOTAL</t>
        </is>
      </c>
      <c r="P1" s="32" t="n"/>
      <c r="Q1" s="30" t="inlineStr">
        <is>
          <t>jrm</t>
        </is>
      </c>
      <c r="R1" s="30" t="inlineStr">
        <is>
          <t>carton brun (1.05)</t>
        </is>
      </c>
      <c r="S1" s="30" t="inlineStr">
        <is>
          <t>EMR 5,02</t>
        </is>
      </c>
      <c r="T1" s="30" t="inlineStr">
        <is>
          <t>GM</t>
        </is>
      </c>
      <c r="U1" s="32" t="inlineStr">
        <is>
          <t>ELA</t>
        </is>
      </c>
      <c r="V1" s="32" t="inlineStr">
        <is>
          <t>PET Q7 (dont barquettes)</t>
        </is>
      </c>
      <c r="W1" s="32" t="inlineStr">
        <is>
          <t>PET Q8 (dont barquettes)</t>
        </is>
      </c>
      <c r="X1" s="32" t="inlineStr">
        <is>
          <t>PEPPPS (dont barquettes)</t>
        </is>
      </c>
      <c r="Y1" s="32" t="inlineStr">
        <is>
          <t>films</t>
        </is>
      </c>
      <c r="Z1" s="32" t="inlineStr">
        <is>
          <t>acier</t>
        </is>
      </c>
      <c r="AA1" s="32" t="inlineStr">
        <is>
          <t>alu</t>
        </is>
      </c>
      <c r="AB1" s="32" t="inlineStr">
        <is>
          <t>petits alu</t>
        </is>
      </c>
      <c r="AC1" s="33" t="inlineStr">
        <is>
          <t>refus indésirables</t>
        </is>
      </c>
      <c r="AD1" s="32" t="inlineStr">
        <is>
          <t>TOTAL refus non fibreux valorisables</t>
        </is>
      </c>
      <c r="AE1" s="28" t="inlineStr">
        <is>
          <t xml:space="preserve">TOTAL REFUS </t>
        </is>
      </c>
      <c r="AF1" s="32" t="inlineStr">
        <is>
          <t>GM</t>
        </is>
      </c>
      <c r="AG1" s="32" t="inlineStr">
        <is>
          <t>Année</t>
        </is>
      </c>
      <c r="AH1" s="32" t="inlineStr">
        <is>
          <t>Mois</t>
        </is>
      </c>
      <c r="AI1" s="32" t="inlineStr">
        <is>
          <t>Nb Caract</t>
        </is>
      </c>
    </row>
    <row r="2" hidden="1" ht="15.75" customHeight="1" s="259">
      <c r="A2" s="7" t="n">
        <v>44610</v>
      </c>
      <c r="B2" t="n">
        <v>2.38</v>
      </c>
      <c r="C2" t="n">
        <v>1.38</v>
      </c>
      <c r="D2" t="n">
        <v>1.79</v>
      </c>
      <c r="E2" t="n">
        <v>1.35</v>
      </c>
      <c r="G2" t="n">
        <v>0.23</v>
      </c>
      <c r="H2" t="n">
        <v>0.09</v>
      </c>
      <c r="L2" t="n">
        <v>0.12</v>
      </c>
      <c r="N2" t="n">
        <v>1.73</v>
      </c>
      <c r="O2">
        <f>SUM(B2:N2)</f>
        <v/>
      </c>
      <c r="P2" s="32" t="n"/>
      <c r="Q2" s="41">
        <f>B2/$O2</f>
        <v/>
      </c>
      <c r="R2" s="41">
        <f>C2/$O2</f>
        <v/>
      </c>
      <c r="S2" s="41">
        <f>D2/$O2</f>
        <v/>
      </c>
      <c r="T2" s="41">
        <f>E2/$O2</f>
        <v/>
      </c>
      <c r="U2" s="41">
        <f>F2/$O2</f>
        <v/>
      </c>
      <c r="V2" s="41">
        <f>G2/$O2</f>
        <v/>
      </c>
      <c r="W2" s="41">
        <f>H2/$O2</f>
        <v/>
      </c>
      <c r="X2" s="41">
        <f>I2/$O2</f>
        <v/>
      </c>
      <c r="Y2" s="41">
        <f>J2/$O2</f>
        <v/>
      </c>
      <c r="Z2" s="41">
        <f>K2/$O2</f>
        <v/>
      </c>
      <c r="AA2" s="41">
        <f>L2/$O2</f>
        <v/>
      </c>
      <c r="AB2" s="41">
        <f>M2/$O2</f>
        <v/>
      </c>
      <c r="AC2" s="41">
        <f>N2/$O2</f>
        <v/>
      </c>
      <c r="AD2" s="41">
        <f>SUM(U2:AB2)</f>
        <v/>
      </c>
      <c r="AE2" s="42">
        <f>AC2+AD2</f>
        <v/>
      </c>
      <c r="AF2" s="42" t="n"/>
    </row>
    <row r="3" hidden="1" ht="15.75" customHeight="1" s="259">
      <c r="A3" s="8" t="n">
        <v>44645</v>
      </c>
      <c r="B3" t="n">
        <v>9.199999999999999</v>
      </c>
      <c r="C3" t="n">
        <v>2.36</v>
      </c>
      <c r="D3" t="n">
        <v>5.66</v>
      </c>
      <c r="E3" t="n">
        <v>3</v>
      </c>
      <c r="F3" t="n">
        <v>0.14</v>
      </c>
      <c r="G3" t="n">
        <v>0.5</v>
      </c>
      <c r="J3" t="n">
        <v>0.18</v>
      </c>
      <c r="K3" t="n">
        <v>0.34</v>
      </c>
      <c r="L3" t="n">
        <v>0.12</v>
      </c>
      <c r="M3" t="n">
        <v>0.02</v>
      </c>
      <c r="N3" t="n">
        <v>1.78</v>
      </c>
      <c r="O3">
        <f>SUM(B3:N3)</f>
        <v/>
      </c>
      <c r="P3" s="32" t="n"/>
      <c r="Q3" s="41">
        <f>B3/$O3</f>
        <v/>
      </c>
      <c r="R3" s="41">
        <f>C3/$O3</f>
        <v/>
      </c>
      <c r="S3" s="41">
        <f>D3/$O3</f>
        <v/>
      </c>
      <c r="T3" s="41">
        <f>E3/$O3</f>
        <v/>
      </c>
      <c r="U3" s="41">
        <f>F3/$O3</f>
        <v/>
      </c>
      <c r="V3" s="41">
        <f>G3/$O3</f>
        <v/>
      </c>
      <c r="W3" s="41">
        <f>H3/$O3</f>
        <v/>
      </c>
      <c r="X3" s="41">
        <f>I3/$O3</f>
        <v/>
      </c>
      <c r="Y3" s="41">
        <f>J3/$O3</f>
        <v/>
      </c>
      <c r="Z3" s="41">
        <f>K3/$O3</f>
        <v/>
      </c>
      <c r="AA3" s="41">
        <f>L3/$O3</f>
        <v/>
      </c>
      <c r="AB3" s="41">
        <f>M3/$O3</f>
        <v/>
      </c>
      <c r="AC3" s="41">
        <f>N3/$O3</f>
        <v/>
      </c>
      <c r="AD3" s="41">
        <f>SUM(U3:AB3)</f>
        <v/>
      </c>
      <c r="AE3" s="42">
        <f>AC3+AD3</f>
        <v/>
      </c>
      <c r="AF3" s="42" t="n"/>
    </row>
    <row r="4" hidden="1" ht="15.75" customHeight="1" s="259">
      <c r="A4" s="8" t="n">
        <v>44652</v>
      </c>
      <c r="B4" t="n">
        <v>6.34</v>
      </c>
      <c r="C4" t="n">
        <v>2.64</v>
      </c>
      <c r="D4" t="n">
        <v>6.3</v>
      </c>
      <c r="E4" t="n">
        <v>4.58</v>
      </c>
      <c r="G4" t="n">
        <v>0.86</v>
      </c>
      <c r="H4" t="n">
        <v>0.02</v>
      </c>
      <c r="I4" t="n">
        <v>0.04</v>
      </c>
      <c r="J4" t="n">
        <v>0.34</v>
      </c>
      <c r="K4" t="n">
        <v>0.2</v>
      </c>
      <c r="L4" t="n">
        <v>0.18</v>
      </c>
      <c r="M4" t="n">
        <v>0.06</v>
      </c>
      <c r="N4" t="n">
        <v>3.46</v>
      </c>
      <c r="O4">
        <f>SUM(B4:N4)</f>
        <v/>
      </c>
      <c r="P4" s="32" t="n"/>
      <c r="Q4" s="41">
        <f>B4/$O4</f>
        <v/>
      </c>
      <c r="R4" s="41">
        <f>C4/$O4</f>
        <v/>
      </c>
      <c r="S4" s="41">
        <f>D4/$O4</f>
        <v/>
      </c>
      <c r="T4" s="41">
        <f>E4/$O4</f>
        <v/>
      </c>
      <c r="U4" s="41">
        <f>F4/$O4</f>
        <v/>
      </c>
      <c r="V4" s="41">
        <f>G4/$O4</f>
        <v/>
      </c>
      <c r="W4" s="41">
        <f>H4/$O4</f>
        <v/>
      </c>
      <c r="X4" s="41">
        <f>I4/$O4</f>
        <v/>
      </c>
      <c r="Y4" s="41">
        <f>J4/$O4</f>
        <v/>
      </c>
      <c r="Z4" s="41">
        <f>K4/$O4</f>
        <v/>
      </c>
      <c r="AA4" s="41">
        <f>L4/$O4</f>
        <v/>
      </c>
      <c r="AB4" s="41">
        <f>M4/$O4</f>
        <v/>
      </c>
      <c r="AC4" s="41">
        <f>N4/$O4</f>
        <v/>
      </c>
      <c r="AD4" s="41">
        <f>SUM(U4:AB4)</f>
        <v/>
      </c>
      <c r="AE4" s="42">
        <f>AC4+AD4</f>
        <v/>
      </c>
      <c r="AF4" s="42" t="n"/>
    </row>
    <row r="5" hidden="1" ht="15.75" customHeight="1" s="259">
      <c r="A5" s="8" t="n">
        <v>44666</v>
      </c>
      <c r="B5" t="n">
        <v>4.96</v>
      </c>
      <c r="C5" t="n">
        <v>1.58</v>
      </c>
      <c r="D5" t="n">
        <v>3.58</v>
      </c>
      <c r="E5" t="n">
        <v>16.2</v>
      </c>
      <c r="F5" t="n">
        <v>0.08</v>
      </c>
      <c r="G5" t="n">
        <v>0.88</v>
      </c>
      <c r="I5" t="n">
        <v>0.14</v>
      </c>
      <c r="J5" t="n">
        <v>0.2</v>
      </c>
      <c r="K5" t="n">
        <v>0.12</v>
      </c>
      <c r="L5" t="n">
        <v>0.18</v>
      </c>
      <c r="M5" t="n">
        <v>0.12</v>
      </c>
      <c r="N5" t="n">
        <v>4.4</v>
      </c>
      <c r="O5">
        <f>SUM(B5:N5)</f>
        <v/>
      </c>
      <c r="P5" s="32" t="n"/>
      <c r="Q5" s="41">
        <f>B5/$O5</f>
        <v/>
      </c>
      <c r="R5" s="41">
        <f>C5/$O5</f>
        <v/>
      </c>
      <c r="S5" s="41">
        <f>D5/$O5</f>
        <v/>
      </c>
      <c r="T5" s="41">
        <f>E5/$O5</f>
        <v/>
      </c>
      <c r="U5" s="41">
        <f>F5/$O5</f>
        <v/>
      </c>
      <c r="V5" s="41">
        <f>G5/$O5</f>
        <v/>
      </c>
      <c r="W5" s="41">
        <f>H5/$O5</f>
        <v/>
      </c>
      <c r="X5" s="41">
        <f>I5/$O5</f>
        <v/>
      </c>
      <c r="Y5" s="41">
        <f>J5/$O5</f>
        <v/>
      </c>
      <c r="Z5" s="41">
        <f>K5/$O5</f>
        <v/>
      </c>
      <c r="AA5" s="41">
        <f>L5/$O5</f>
        <v/>
      </c>
      <c r="AB5" s="41">
        <f>M5/$O5</f>
        <v/>
      </c>
      <c r="AC5" s="41">
        <f>N5/$O5</f>
        <v/>
      </c>
      <c r="AD5" s="41">
        <f>SUM(U5:AB5)</f>
        <v/>
      </c>
      <c r="AE5" s="42">
        <f>AC5+AD5</f>
        <v/>
      </c>
      <c r="AF5" s="42" t="n"/>
    </row>
    <row r="6" hidden="1" ht="15.75" customHeight="1" s="259">
      <c r="A6" s="8" t="n">
        <v>44681</v>
      </c>
      <c r="B6" t="n">
        <v>4.98</v>
      </c>
      <c r="C6" t="n">
        <v>2</v>
      </c>
      <c r="D6" t="n">
        <v>5.3</v>
      </c>
      <c r="E6" t="n">
        <v>6.08</v>
      </c>
      <c r="F6" t="n">
        <v>0.14</v>
      </c>
      <c r="G6" t="n">
        <v>0.64</v>
      </c>
      <c r="I6" t="n">
        <v>0.08</v>
      </c>
      <c r="J6" t="n">
        <v>0.16</v>
      </c>
      <c r="K6" t="n">
        <v>0.26</v>
      </c>
      <c r="L6" t="n">
        <v>0.26</v>
      </c>
      <c r="M6" t="n">
        <v>0.04</v>
      </c>
      <c r="N6" t="n">
        <v>2.58</v>
      </c>
      <c r="O6">
        <f>SUM(B6:N6)</f>
        <v/>
      </c>
      <c r="P6" s="32" t="n"/>
      <c r="Q6" s="41">
        <f>B6/$O6</f>
        <v/>
      </c>
      <c r="R6" s="41">
        <f>C6/$O6</f>
        <v/>
      </c>
      <c r="S6" s="41">
        <f>D6/$O6</f>
        <v/>
      </c>
      <c r="T6" s="41">
        <f>E6/$O6</f>
        <v/>
      </c>
      <c r="U6" s="41">
        <f>F6/$O6</f>
        <v/>
      </c>
      <c r="V6" s="41">
        <f>G6/$O6</f>
        <v/>
      </c>
      <c r="W6" s="41">
        <f>H6/$O6</f>
        <v/>
      </c>
      <c r="X6" s="41">
        <f>I6/$O6</f>
        <v/>
      </c>
      <c r="Y6" s="41">
        <f>J6/$O6</f>
        <v/>
      </c>
      <c r="Z6" s="41">
        <f>K6/$O6</f>
        <v/>
      </c>
      <c r="AA6" s="41">
        <f>L6/$O6</f>
        <v/>
      </c>
      <c r="AB6" s="41">
        <f>M6/$O6</f>
        <v/>
      </c>
      <c r="AC6" s="41">
        <f>N6/$O6</f>
        <v/>
      </c>
      <c r="AD6" s="41">
        <f>SUM(U6:AB6)</f>
        <v/>
      </c>
      <c r="AE6" s="42">
        <f>AC6+AD6</f>
        <v/>
      </c>
      <c r="AF6" s="42" t="n"/>
    </row>
    <row r="7" hidden="1" ht="15.75" customHeight="1" s="259">
      <c r="A7" s="8" t="n">
        <v>44691</v>
      </c>
      <c r="B7" t="n">
        <v>3.78</v>
      </c>
      <c r="C7" t="n">
        <v>1.82</v>
      </c>
      <c r="D7" t="n">
        <v>5.46</v>
      </c>
      <c r="E7" t="n">
        <v>6.06</v>
      </c>
      <c r="F7" t="n">
        <v>0.08</v>
      </c>
      <c r="G7" t="n">
        <v>0.74</v>
      </c>
      <c r="H7" t="n">
        <v>0.12</v>
      </c>
      <c r="I7" t="n">
        <v>0.04</v>
      </c>
      <c r="J7" t="n">
        <v>0.18</v>
      </c>
      <c r="K7" t="n">
        <v>0.26</v>
      </c>
      <c r="L7" t="n">
        <v>0.1</v>
      </c>
      <c r="M7" t="n">
        <v>0.06</v>
      </c>
      <c r="N7" t="n">
        <v>1.8</v>
      </c>
      <c r="O7">
        <f>SUM(B7:N7)</f>
        <v/>
      </c>
      <c r="P7" s="32" t="n"/>
      <c r="Q7" s="41">
        <f>B7/$O7</f>
        <v/>
      </c>
      <c r="R7" s="41">
        <f>C7/$O7</f>
        <v/>
      </c>
      <c r="S7" s="41">
        <f>D7/$O7</f>
        <v/>
      </c>
      <c r="T7" s="41">
        <f>E7/$O7</f>
        <v/>
      </c>
      <c r="U7" s="41">
        <f>F7/$O7</f>
        <v/>
      </c>
      <c r="V7" s="41">
        <f>G7/$O7</f>
        <v/>
      </c>
      <c r="W7" s="41">
        <f>H7/$O7</f>
        <v/>
      </c>
      <c r="X7" s="41">
        <f>I7/$O7</f>
        <v/>
      </c>
      <c r="Y7" s="41">
        <f>J7/$O7</f>
        <v/>
      </c>
      <c r="Z7" s="41">
        <f>K7/$O7</f>
        <v/>
      </c>
      <c r="AA7" s="41">
        <f>L7/$O7</f>
        <v/>
      </c>
      <c r="AB7" s="41">
        <f>M7/$O7</f>
        <v/>
      </c>
      <c r="AC7" s="41">
        <f>N7/$O7</f>
        <v/>
      </c>
      <c r="AD7" s="41">
        <f>SUM(U7:AB7)</f>
        <v/>
      </c>
      <c r="AE7" s="42">
        <f>AC7+AD7</f>
        <v/>
      </c>
      <c r="AF7" s="42" t="n"/>
    </row>
    <row r="8" hidden="1" ht="15.75" customHeight="1" s="259">
      <c r="A8" s="8" t="n">
        <v>44697</v>
      </c>
      <c r="B8" t="n">
        <v>5.26</v>
      </c>
      <c r="C8" t="n">
        <v>3.66</v>
      </c>
      <c r="D8" t="n">
        <v>9.720000000000001</v>
      </c>
      <c r="E8" t="n">
        <v>7.82</v>
      </c>
      <c r="F8" t="n">
        <v>0.4</v>
      </c>
      <c r="G8" t="n">
        <v>0.8</v>
      </c>
      <c r="H8" t="n">
        <v>0.04</v>
      </c>
      <c r="I8" t="n">
        <v>0.04</v>
      </c>
      <c r="J8" t="n">
        <v>0.4</v>
      </c>
      <c r="K8" t="n">
        <v>0.42</v>
      </c>
      <c r="L8" t="n">
        <v>0.4</v>
      </c>
      <c r="M8" t="n">
        <v>0.2</v>
      </c>
      <c r="N8" t="n">
        <v>4.58</v>
      </c>
      <c r="O8">
        <f>SUM(B8:N8)</f>
        <v/>
      </c>
      <c r="P8" s="32" t="n"/>
      <c r="Q8" s="41">
        <f>B8/$O8</f>
        <v/>
      </c>
      <c r="R8" s="41">
        <f>C8/$O8</f>
        <v/>
      </c>
      <c r="S8" s="41">
        <f>D8/$O8</f>
        <v/>
      </c>
      <c r="T8" s="41">
        <f>E8/$O8</f>
        <v/>
      </c>
      <c r="U8" s="41">
        <f>F8/$O8</f>
        <v/>
      </c>
      <c r="V8" s="41">
        <f>G8/$O8</f>
        <v/>
      </c>
      <c r="W8" s="41">
        <f>H8/$O8</f>
        <v/>
      </c>
      <c r="X8" s="41">
        <f>I8/$O8</f>
        <v/>
      </c>
      <c r="Y8" s="41">
        <f>J8/$O8</f>
        <v/>
      </c>
      <c r="Z8" s="41">
        <f>K8/$O8</f>
        <v/>
      </c>
      <c r="AA8" s="41">
        <f>L8/$O8</f>
        <v/>
      </c>
      <c r="AB8" s="41">
        <f>M8/$O8</f>
        <v/>
      </c>
      <c r="AC8" s="41">
        <f>N8/$O8</f>
        <v/>
      </c>
      <c r="AD8" s="41">
        <f>SUM(U8:AB8)</f>
        <v/>
      </c>
      <c r="AE8" s="42">
        <f>AC8+AD8</f>
        <v/>
      </c>
      <c r="AF8" s="42" t="n"/>
    </row>
    <row r="9" hidden="1" ht="15.75" customHeight="1" s="259">
      <c r="A9" s="8" t="n">
        <v>44747</v>
      </c>
      <c r="B9" t="n">
        <v>3.06</v>
      </c>
      <c r="C9" t="n">
        <v>1.14</v>
      </c>
      <c r="D9" t="n">
        <v>2.8</v>
      </c>
      <c r="E9" t="n">
        <v>9.859999999999999</v>
      </c>
      <c r="F9" t="n">
        <v>0.08</v>
      </c>
      <c r="G9" t="n">
        <v>1.3</v>
      </c>
      <c r="I9" t="n">
        <v>0.1</v>
      </c>
      <c r="J9" t="n">
        <v>0.12</v>
      </c>
      <c r="K9" t="n">
        <v>1.5</v>
      </c>
      <c r="L9" t="n">
        <v>0.5</v>
      </c>
      <c r="M9" t="n">
        <v>0.12</v>
      </c>
      <c r="N9" t="n">
        <v>2.7</v>
      </c>
      <c r="O9">
        <f>SUM(B9:N9)</f>
        <v/>
      </c>
      <c r="P9" s="32" t="n"/>
      <c r="Q9" s="41">
        <f>B9/$O9</f>
        <v/>
      </c>
      <c r="R9" s="41">
        <f>C9/$O9</f>
        <v/>
      </c>
      <c r="S9" s="41">
        <f>D9/$O9</f>
        <v/>
      </c>
      <c r="T9" s="41">
        <f>E9/$O9</f>
        <v/>
      </c>
      <c r="U9" s="41">
        <f>F9/$O9</f>
        <v/>
      </c>
      <c r="V9" s="41">
        <f>G9/$O9</f>
        <v/>
      </c>
      <c r="W9" s="41">
        <f>H9/$O9</f>
        <v/>
      </c>
      <c r="X9" s="41">
        <f>I9/$O9</f>
        <v/>
      </c>
      <c r="Y9" s="41">
        <f>J9/$O9</f>
        <v/>
      </c>
      <c r="Z9" s="41">
        <f>K9/$O9</f>
        <v/>
      </c>
      <c r="AA9" s="41">
        <f>L9/$O9</f>
        <v/>
      </c>
      <c r="AB9" s="41">
        <f>M9/$O9</f>
        <v/>
      </c>
      <c r="AC9" s="41">
        <f>N9/$O9</f>
        <v/>
      </c>
      <c r="AD9" s="41">
        <f>SUM(U9:AB9)</f>
        <v/>
      </c>
      <c r="AE9" s="42">
        <f>AC9+AD9</f>
        <v/>
      </c>
      <c r="AF9" s="42" t="n"/>
    </row>
    <row r="10" hidden="1" ht="15.75" customHeight="1" s="259">
      <c r="A10" s="8" t="n">
        <v>44848</v>
      </c>
      <c r="B10" t="n">
        <v>7.12</v>
      </c>
      <c r="C10" t="n">
        <v>0.68</v>
      </c>
      <c r="D10" t="n">
        <v>9.859999999999999</v>
      </c>
      <c r="E10" t="n">
        <v>1.92</v>
      </c>
      <c r="F10" t="n">
        <v>0.38</v>
      </c>
      <c r="G10" t="n">
        <v>1.44</v>
      </c>
      <c r="H10" t="n">
        <v>0.34</v>
      </c>
      <c r="I10" t="n">
        <v>0.54</v>
      </c>
      <c r="J10" t="n">
        <v>0.6</v>
      </c>
      <c r="K10" t="n">
        <v>0.16</v>
      </c>
      <c r="L10" t="n">
        <v>1.32</v>
      </c>
      <c r="N10" t="n">
        <v>5.36</v>
      </c>
      <c r="O10">
        <f>SUM(B10:N10)</f>
        <v/>
      </c>
      <c r="P10" s="32" t="n"/>
      <c r="Q10" s="41">
        <f>B10/$O10</f>
        <v/>
      </c>
      <c r="R10" s="41">
        <f>C10/$O10</f>
        <v/>
      </c>
      <c r="S10" s="41">
        <f>D10/$O10</f>
        <v/>
      </c>
      <c r="T10" s="41">
        <f>E10/$O10</f>
        <v/>
      </c>
      <c r="U10" s="41">
        <f>F10/$O10</f>
        <v/>
      </c>
      <c r="V10" s="41">
        <f>G10/$O10</f>
        <v/>
      </c>
      <c r="W10" s="41">
        <f>H10/$O10</f>
        <v/>
      </c>
      <c r="X10" s="41">
        <f>I10/$O10</f>
        <v/>
      </c>
      <c r="Y10" s="41">
        <f>J10/$O10</f>
        <v/>
      </c>
      <c r="Z10" s="41">
        <f>K10/$O10</f>
        <v/>
      </c>
      <c r="AA10" s="41">
        <f>L10/$O10</f>
        <v/>
      </c>
      <c r="AB10" s="41">
        <f>M10/$O10</f>
        <v/>
      </c>
      <c r="AC10" s="41">
        <f>N10/$O10</f>
        <v/>
      </c>
      <c r="AD10" s="41">
        <f>SUM(U10:AB10)</f>
        <v/>
      </c>
      <c r="AE10" s="42">
        <f>AC10+AD10</f>
        <v/>
      </c>
      <c r="AF10" s="42" t="n"/>
    </row>
    <row r="11" hidden="1" ht="15.75" customHeight="1" s="259">
      <c r="A11" s="8" t="n">
        <v>44855</v>
      </c>
      <c r="B11" t="n">
        <v>4.66</v>
      </c>
      <c r="C11" t="n">
        <v>0.16</v>
      </c>
      <c r="D11" t="n">
        <v>8.34</v>
      </c>
      <c r="E11" t="n">
        <v>2.06</v>
      </c>
      <c r="F11" t="n">
        <v>0.26</v>
      </c>
      <c r="G11" t="n">
        <v>1.52</v>
      </c>
      <c r="H11" t="n">
        <v>0.1</v>
      </c>
      <c r="I11" t="n">
        <v>0.18</v>
      </c>
      <c r="L11" t="n">
        <v>0.6</v>
      </c>
      <c r="N11" t="n">
        <v>4.22</v>
      </c>
      <c r="O11">
        <f>SUM(B11:N11)</f>
        <v/>
      </c>
      <c r="P11" s="32" t="n"/>
      <c r="Q11" s="41">
        <f>B11/$O11</f>
        <v/>
      </c>
      <c r="R11" s="41">
        <f>C11/$O11</f>
        <v/>
      </c>
      <c r="S11" s="41">
        <f>D11/$O11</f>
        <v/>
      </c>
      <c r="T11" s="41">
        <f>E11/$O11</f>
        <v/>
      </c>
      <c r="U11" s="41">
        <f>F11/$O11</f>
        <v/>
      </c>
      <c r="V11" s="41">
        <f>G11/$O11</f>
        <v/>
      </c>
      <c r="W11" s="41">
        <f>H11/$O11</f>
        <v/>
      </c>
      <c r="X11" s="41">
        <f>I11/$O11</f>
        <v/>
      </c>
      <c r="Y11" s="41">
        <f>J11/$O11</f>
        <v/>
      </c>
      <c r="Z11" s="41">
        <f>K11/$O11</f>
        <v/>
      </c>
      <c r="AA11" s="41">
        <f>L11/$O11</f>
        <v/>
      </c>
      <c r="AB11" s="41">
        <f>M11/$O11</f>
        <v/>
      </c>
      <c r="AC11" s="41">
        <f>N11/$O11</f>
        <v/>
      </c>
      <c r="AD11" s="41">
        <f>SUM(U11:AB11)</f>
        <v/>
      </c>
      <c r="AE11" s="42">
        <f>AC11+AD11</f>
        <v/>
      </c>
      <c r="AF11" s="42" t="n"/>
    </row>
    <row r="12" hidden="1" ht="15.75" customHeight="1" s="259">
      <c r="A12" s="8" t="n">
        <v>44858</v>
      </c>
      <c r="B12" t="n">
        <v>6.1</v>
      </c>
      <c r="C12" t="n">
        <v>3.8</v>
      </c>
      <c r="D12" t="n">
        <v>4.72</v>
      </c>
      <c r="E12" t="n">
        <v>1.9</v>
      </c>
      <c r="F12" t="n">
        <v>0.28</v>
      </c>
      <c r="G12" t="n">
        <v>0.84</v>
      </c>
      <c r="I12" t="n">
        <v>0.14</v>
      </c>
      <c r="L12" t="n">
        <v>0.74</v>
      </c>
      <c r="N12" t="n">
        <v>3.68</v>
      </c>
      <c r="O12">
        <f>SUM(B12:N12)</f>
        <v/>
      </c>
      <c r="P12" s="32" t="n"/>
      <c r="Q12" s="41">
        <f>B12/$O12</f>
        <v/>
      </c>
      <c r="R12" s="41">
        <f>C12/$O12</f>
        <v/>
      </c>
      <c r="S12" s="41">
        <f>D12/$O12</f>
        <v/>
      </c>
      <c r="T12" s="41">
        <f>E12/$O12</f>
        <v/>
      </c>
      <c r="U12" s="41">
        <f>F12/$O12</f>
        <v/>
      </c>
      <c r="V12" s="41">
        <f>G12/$O12</f>
        <v/>
      </c>
      <c r="W12" s="41">
        <f>H12/$O12</f>
        <v/>
      </c>
      <c r="X12" s="41">
        <f>I12/$O12</f>
        <v/>
      </c>
      <c r="Y12" s="41">
        <f>J12/$O12</f>
        <v/>
      </c>
      <c r="Z12" s="41">
        <f>K12/$O12</f>
        <v/>
      </c>
      <c r="AA12" s="41">
        <f>L12/$O12</f>
        <v/>
      </c>
      <c r="AB12" s="41">
        <f>M12/$O12</f>
        <v/>
      </c>
      <c r="AC12" s="41">
        <f>N12/$O12</f>
        <v/>
      </c>
      <c r="AD12" s="41">
        <f>SUM(U12:AB12)</f>
        <v/>
      </c>
      <c r="AE12" s="42">
        <f>AC12+AD12</f>
        <v/>
      </c>
      <c r="AF12" s="42" t="n"/>
    </row>
    <row r="13" hidden="1" ht="15.75" customHeight="1" s="259">
      <c r="A13" s="8" t="n">
        <v>44866</v>
      </c>
      <c r="B13" t="n">
        <v>5.86</v>
      </c>
      <c r="C13" t="n">
        <v>3.22</v>
      </c>
      <c r="D13" t="n">
        <v>6.2</v>
      </c>
      <c r="E13" t="n">
        <v>1.74</v>
      </c>
      <c r="F13" t="n">
        <v>0.08</v>
      </c>
      <c r="G13" t="n">
        <v>0.9</v>
      </c>
      <c r="H13" t="n">
        <v>0.2</v>
      </c>
      <c r="I13" t="n">
        <v>0.08</v>
      </c>
      <c r="K13" t="n">
        <v>0.44</v>
      </c>
      <c r="L13" t="n">
        <v>0.38</v>
      </c>
      <c r="N13" t="n">
        <v>4.88</v>
      </c>
      <c r="O13">
        <f>SUM(B13:N13)</f>
        <v/>
      </c>
      <c r="P13" s="32" t="n"/>
      <c r="Q13" s="41">
        <f>B13/$O13</f>
        <v/>
      </c>
      <c r="R13" s="41">
        <f>C13/$O13</f>
        <v/>
      </c>
      <c r="S13" s="41">
        <f>D13/$O13</f>
        <v/>
      </c>
      <c r="T13" s="41">
        <f>E13/$O13</f>
        <v/>
      </c>
      <c r="U13" s="41">
        <f>F13/$O13</f>
        <v/>
      </c>
      <c r="V13" s="41">
        <f>G13/$O13</f>
        <v/>
      </c>
      <c r="W13" s="41">
        <f>H13/$O13</f>
        <v/>
      </c>
      <c r="X13" s="41">
        <f>I13/$O13</f>
        <v/>
      </c>
      <c r="Y13" s="41">
        <f>J13/$O13</f>
        <v/>
      </c>
      <c r="Z13" s="41">
        <f>K13/$O13</f>
        <v/>
      </c>
      <c r="AA13" s="41">
        <f>L13/$O13</f>
        <v/>
      </c>
      <c r="AB13" s="41">
        <f>M13/$O13</f>
        <v/>
      </c>
      <c r="AC13" s="41">
        <f>N13/$O13</f>
        <v/>
      </c>
      <c r="AD13" s="41">
        <f>SUM(U13:AB13)</f>
        <v/>
      </c>
      <c r="AE13" s="42">
        <f>AC13+AD13</f>
        <v/>
      </c>
      <c r="AF13" s="42" t="n"/>
    </row>
    <row r="14" hidden="1" ht="15.75" customHeight="1" s="259">
      <c r="A14" s="8" t="n">
        <v>44870</v>
      </c>
      <c r="B14" t="n">
        <v>6.48</v>
      </c>
      <c r="C14" t="n">
        <v>2.84</v>
      </c>
      <c r="D14" t="n">
        <v>5.02</v>
      </c>
      <c r="E14" t="n">
        <v>1.86</v>
      </c>
      <c r="F14" t="n">
        <v>0.12</v>
      </c>
      <c r="G14" t="n">
        <v>0.96</v>
      </c>
      <c r="H14" t="n">
        <v>0.08</v>
      </c>
      <c r="I14" t="n">
        <v>0.12</v>
      </c>
      <c r="K14" t="n">
        <v>0.2</v>
      </c>
      <c r="L14" t="n">
        <v>0.24</v>
      </c>
      <c r="N14" t="n">
        <v>4.42</v>
      </c>
      <c r="O14">
        <f>SUM(B14:N14)</f>
        <v/>
      </c>
      <c r="P14" s="32" t="n"/>
      <c r="Q14" s="41">
        <f>B14/$O14</f>
        <v/>
      </c>
      <c r="R14" s="41">
        <f>C14/$O14</f>
        <v/>
      </c>
      <c r="S14" s="41">
        <f>D14/$O14</f>
        <v/>
      </c>
      <c r="T14" s="41">
        <f>E14/$O14</f>
        <v/>
      </c>
      <c r="U14" s="41">
        <f>F14/$O14</f>
        <v/>
      </c>
      <c r="V14" s="41">
        <f>G14/$O14</f>
        <v/>
      </c>
      <c r="W14" s="41">
        <f>H14/$O14</f>
        <v/>
      </c>
      <c r="X14" s="41">
        <f>I14/$O14</f>
        <v/>
      </c>
      <c r="Y14" s="41">
        <f>J14/$O14</f>
        <v/>
      </c>
      <c r="Z14" s="41">
        <f>K14/$O14</f>
        <v/>
      </c>
      <c r="AA14" s="41">
        <f>L14/$O14</f>
        <v/>
      </c>
      <c r="AB14" s="41">
        <f>M14/$O14</f>
        <v/>
      </c>
      <c r="AC14" s="41">
        <f>N14/$O14</f>
        <v/>
      </c>
      <c r="AD14" s="41">
        <f>SUM(U14:AB14)</f>
        <v/>
      </c>
      <c r="AE14" s="42">
        <f>AC14+AD14</f>
        <v/>
      </c>
      <c r="AF14" s="42" t="n"/>
    </row>
    <row r="15" hidden="1" ht="15.75" customHeight="1" s="259">
      <c r="A15" s="8" t="n">
        <v>44872</v>
      </c>
      <c r="B15" t="n">
        <v>7.26</v>
      </c>
      <c r="C15" t="n">
        <v>2.66</v>
      </c>
      <c r="D15" t="n">
        <v>5.3</v>
      </c>
      <c r="E15" t="n">
        <v>2.04</v>
      </c>
      <c r="F15" t="n">
        <v>0.5</v>
      </c>
      <c r="G15" t="n">
        <v>1.74</v>
      </c>
      <c r="H15" t="n">
        <v>0.12</v>
      </c>
      <c r="I15" t="n">
        <v>0.38</v>
      </c>
      <c r="K15" t="n">
        <v>0.58</v>
      </c>
      <c r="L15" t="n">
        <v>0.66</v>
      </c>
      <c r="N15" t="n">
        <v>6.44</v>
      </c>
      <c r="O15">
        <f>SUM(B15:N15)</f>
        <v/>
      </c>
      <c r="P15" s="32" t="n"/>
      <c r="Q15" s="41">
        <f>B15/$O15</f>
        <v/>
      </c>
      <c r="R15" s="41">
        <f>C15/$O15</f>
        <v/>
      </c>
      <c r="S15" s="41">
        <f>D15/$O15</f>
        <v/>
      </c>
      <c r="T15" s="41">
        <f>E15/$O15</f>
        <v/>
      </c>
      <c r="U15" s="41">
        <f>F15/$O15</f>
        <v/>
      </c>
      <c r="V15" s="41">
        <f>G15/$O15</f>
        <v/>
      </c>
      <c r="W15" s="41">
        <f>H15/$O15</f>
        <v/>
      </c>
      <c r="X15" s="41">
        <f>I15/$O15</f>
        <v/>
      </c>
      <c r="Y15" s="41">
        <f>J15/$O15</f>
        <v/>
      </c>
      <c r="Z15" s="41">
        <f>K15/$O15</f>
        <v/>
      </c>
      <c r="AA15" s="41">
        <f>L15/$O15</f>
        <v/>
      </c>
      <c r="AB15" s="41">
        <f>M15/$O15</f>
        <v/>
      </c>
      <c r="AC15" s="41">
        <f>N15/$O15</f>
        <v/>
      </c>
      <c r="AD15" s="41">
        <f>SUM(U15:AB15)</f>
        <v/>
      </c>
      <c r="AE15" s="42">
        <f>AC15+AD15</f>
        <v/>
      </c>
      <c r="AF15" s="42" t="n"/>
    </row>
    <row r="16" hidden="1" ht="15.75" customHeight="1" s="259">
      <c r="A16" s="8" t="n">
        <v>44884</v>
      </c>
      <c r="B16" t="n">
        <v>3.48</v>
      </c>
      <c r="C16" t="n">
        <v>3.14</v>
      </c>
      <c r="D16" t="n">
        <v>4.3</v>
      </c>
      <c r="E16" t="n">
        <v>0.66</v>
      </c>
      <c r="F16" t="n">
        <v>0.26</v>
      </c>
      <c r="G16" t="n">
        <v>1.22</v>
      </c>
      <c r="H16" t="n">
        <v>0.02</v>
      </c>
      <c r="I16" t="n">
        <v>0.08</v>
      </c>
      <c r="K16" t="n">
        <v>0.12</v>
      </c>
      <c r="L16" t="n">
        <v>0.24</v>
      </c>
      <c r="N16" t="n">
        <v>6.88</v>
      </c>
      <c r="O16">
        <f>SUM(B16:N16)</f>
        <v/>
      </c>
      <c r="P16" s="32" t="n"/>
      <c r="Q16" s="41">
        <f>B16/$O16</f>
        <v/>
      </c>
      <c r="R16" s="41">
        <f>C16/$O16</f>
        <v/>
      </c>
      <c r="S16" s="41">
        <f>D16/$O16</f>
        <v/>
      </c>
      <c r="T16" s="41">
        <f>E16/$O16</f>
        <v/>
      </c>
      <c r="U16" s="41">
        <f>F16/$O16</f>
        <v/>
      </c>
      <c r="V16" s="41">
        <f>G16/$O16</f>
        <v/>
      </c>
      <c r="W16" s="41">
        <f>H16/$O16</f>
        <v/>
      </c>
      <c r="X16" s="41">
        <f>I16/$O16</f>
        <v/>
      </c>
      <c r="Y16" s="41">
        <f>J16/$O16</f>
        <v/>
      </c>
      <c r="Z16" s="41">
        <f>K16/$O16</f>
        <v/>
      </c>
      <c r="AA16" s="41">
        <f>L16/$O16</f>
        <v/>
      </c>
      <c r="AB16" s="41">
        <f>M16/$O16</f>
        <v/>
      </c>
      <c r="AC16" s="41">
        <f>N16/$O16</f>
        <v/>
      </c>
      <c r="AD16" s="41">
        <f>SUM(U16:AB16)</f>
        <v/>
      </c>
      <c r="AE16" s="42">
        <f>AC16+AD16</f>
        <v/>
      </c>
      <c r="AF16" s="42" t="n"/>
    </row>
    <row r="17" hidden="1" ht="15.75" customHeight="1" s="259">
      <c r="A17" s="8" t="n">
        <v>44891</v>
      </c>
      <c r="B17" t="n">
        <v>5.06</v>
      </c>
      <c r="C17" t="n">
        <v>3.6</v>
      </c>
      <c r="D17" t="n">
        <v>5.04</v>
      </c>
      <c r="E17" t="n">
        <v>0.96</v>
      </c>
      <c r="F17" t="n">
        <v>0.5600000000000001</v>
      </c>
      <c r="G17" t="n">
        <v>1.28</v>
      </c>
      <c r="H17" t="n">
        <v>0.14</v>
      </c>
      <c r="I17" t="n">
        <v>0.16</v>
      </c>
      <c r="K17" t="n">
        <v>0.44</v>
      </c>
      <c r="L17" t="n">
        <v>0.46</v>
      </c>
      <c r="N17" t="n">
        <v>3.66</v>
      </c>
      <c r="O17">
        <f>SUM(B17:N17)</f>
        <v/>
      </c>
      <c r="P17" s="32" t="n"/>
      <c r="Q17" s="41">
        <f>B17/$O17</f>
        <v/>
      </c>
      <c r="R17" s="41">
        <f>C17/$O17</f>
        <v/>
      </c>
      <c r="S17" s="41">
        <f>D17/$O17</f>
        <v/>
      </c>
      <c r="T17" s="41">
        <f>E17/$O17</f>
        <v/>
      </c>
      <c r="U17" s="41">
        <f>F17/$O17</f>
        <v/>
      </c>
      <c r="V17" s="41">
        <f>G17/$O17</f>
        <v/>
      </c>
      <c r="W17" s="41">
        <f>H17/$O17</f>
        <v/>
      </c>
      <c r="X17" s="41">
        <f>I17/$O17</f>
        <v/>
      </c>
      <c r="Y17" s="41">
        <f>J17/$O17</f>
        <v/>
      </c>
      <c r="Z17" s="41">
        <f>K17/$O17</f>
        <v/>
      </c>
      <c r="AA17" s="41">
        <f>L17/$O17</f>
        <v/>
      </c>
      <c r="AB17" s="41">
        <f>M17/$O17</f>
        <v/>
      </c>
      <c r="AC17" s="41">
        <f>N17/$O17</f>
        <v/>
      </c>
      <c r="AD17" s="41">
        <f>SUM(U17:AB17)</f>
        <v/>
      </c>
      <c r="AE17" s="42">
        <f>AC17+AD17</f>
        <v/>
      </c>
      <c r="AF17" s="42" t="n"/>
    </row>
    <row r="18" hidden="1" ht="15.75" customHeight="1" s="259">
      <c r="A18" s="8" t="n">
        <v>44894</v>
      </c>
      <c r="B18" t="n">
        <v>8.039999999999999</v>
      </c>
      <c r="C18" t="n">
        <v>3.26</v>
      </c>
      <c r="D18" t="n">
        <v>4.96</v>
      </c>
      <c r="E18" t="n">
        <v>16.48</v>
      </c>
      <c r="F18" t="n">
        <v>0.16</v>
      </c>
      <c r="G18" t="n">
        <v>0.46</v>
      </c>
      <c r="H18" t="n">
        <v>0.06</v>
      </c>
      <c r="I18" t="n">
        <v>0.18</v>
      </c>
      <c r="J18" t="n">
        <v>0.04</v>
      </c>
      <c r="K18" t="n">
        <v>0.08</v>
      </c>
      <c r="L18" t="n">
        <v>0.18</v>
      </c>
      <c r="M18" t="n">
        <v>0.04</v>
      </c>
      <c r="N18" t="n">
        <v>5.18</v>
      </c>
      <c r="O18">
        <f>SUM(B18:N18)</f>
        <v/>
      </c>
      <c r="P18" s="32" t="n"/>
      <c r="Q18" s="41">
        <f>B18/$O18</f>
        <v/>
      </c>
      <c r="R18" s="41">
        <f>C18/$O18</f>
        <v/>
      </c>
      <c r="S18" s="41">
        <f>D18/$O18</f>
        <v/>
      </c>
      <c r="T18" s="41">
        <f>E18/$O18</f>
        <v/>
      </c>
      <c r="U18" s="41">
        <f>F18/$O18</f>
        <v/>
      </c>
      <c r="V18" s="41">
        <f>G18/$O18</f>
        <v/>
      </c>
      <c r="W18" s="41">
        <f>H18/$O18</f>
        <v/>
      </c>
      <c r="X18" s="41">
        <f>I18/$O18</f>
        <v/>
      </c>
      <c r="Y18" s="41">
        <f>J18/$O18</f>
        <v/>
      </c>
      <c r="Z18" s="41">
        <f>K18/$O18</f>
        <v/>
      </c>
      <c r="AA18" s="41">
        <f>L18/$O18</f>
        <v/>
      </c>
      <c r="AB18" s="41">
        <f>M18/$O18</f>
        <v/>
      </c>
      <c r="AC18" s="41">
        <f>N18/$O18</f>
        <v/>
      </c>
      <c r="AD18" s="41">
        <f>SUM(U18:AB18)</f>
        <v/>
      </c>
      <c r="AE18" s="42">
        <f>AC18+AD18</f>
        <v/>
      </c>
      <c r="AF18" s="42" t="n"/>
    </row>
    <row r="19" hidden="1" ht="15.75" customHeight="1" s="259">
      <c r="A19" s="8" t="n">
        <v>44904</v>
      </c>
      <c r="B19" t="n">
        <v>4.62</v>
      </c>
      <c r="C19" t="n">
        <v>3.42</v>
      </c>
      <c r="D19" t="n">
        <v>4.7</v>
      </c>
      <c r="E19" t="n">
        <v>0.9399999999999999</v>
      </c>
      <c r="F19" t="n">
        <v>0.22</v>
      </c>
      <c r="G19" t="n">
        <v>1.62</v>
      </c>
      <c r="H19" t="n">
        <v>0.14</v>
      </c>
      <c r="I19" t="n">
        <v>0.24</v>
      </c>
      <c r="K19" t="n">
        <v>0.64</v>
      </c>
      <c r="L19" t="n">
        <v>0.46</v>
      </c>
      <c r="N19" t="n">
        <v>7.76</v>
      </c>
      <c r="O19">
        <f>SUM(B19:N19)</f>
        <v/>
      </c>
      <c r="P19" s="32" t="n"/>
      <c r="Q19" s="41">
        <f>B19/$O19</f>
        <v/>
      </c>
      <c r="R19" s="41">
        <f>C19/$O19</f>
        <v/>
      </c>
      <c r="S19" s="41">
        <f>D19/$O19</f>
        <v/>
      </c>
      <c r="T19" s="41">
        <f>E19/$O19</f>
        <v/>
      </c>
      <c r="U19" s="41">
        <f>F19/$O19</f>
        <v/>
      </c>
      <c r="V19" s="41">
        <f>G19/$O19</f>
        <v/>
      </c>
      <c r="W19" s="41">
        <f>H19/$O19</f>
        <v/>
      </c>
      <c r="X19" s="41">
        <f>I19/$O19</f>
        <v/>
      </c>
      <c r="Y19" s="41">
        <f>J19/$O19</f>
        <v/>
      </c>
      <c r="Z19" s="41">
        <f>K19/$O19</f>
        <v/>
      </c>
      <c r="AA19" s="41">
        <f>L19/$O19</f>
        <v/>
      </c>
      <c r="AB19" s="41">
        <f>M19/$O19</f>
        <v/>
      </c>
      <c r="AC19" s="41">
        <f>N19/$O19</f>
        <v/>
      </c>
      <c r="AD19" s="41">
        <f>SUM(U19:AB19)</f>
        <v/>
      </c>
      <c r="AE19" s="42">
        <f>AC19+AD19</f>
        <v/>
      </c>
      <c r="AF19" s="42" t="n"/>
    </row>
    <row r="20" hidden="1" ht="15.75" customHeight="1" s="259">
      <c r="A20" s="8" t="n">
        <v>44912</v>
      </c>
      <c r="B20" t="n">
        <v>2.76</v>
      </c>
      <c r="C20" t="n">
        <v>2.22</v>
      </c>
      <c r="D20" t="n">
        <v>2.86</v>
      </c>
      <c r="E20" t="n">
        <v>0.54</v>
      </c>
      <c r="F20" t="n">
        <v>0.28</v>
      </c>
      <c r="G20" t="n">
        <v>0.72</v>
      </c>
      <c r="I20" t="n">
        <v>0.08</v>
      </c>
      <c r="J20" t="n">
        <v>0.04</v>
      </c>
      <c r="K20" t="n">
        <v>0.06</v>
      </c>
      <c r="L20" t="n">
        <v>0.18</v>
      </c>
      <c r="N20" t="n">
        <v>4.12</v>
      </c>
      <c r="O20">
        <f>SUM(B20:N20)</f>
        <v/>
      </c>
      <c r="P20" s="32" t="n"/>
      <c r="Q20" s="41">
        <f>B20/$O20</f>
        <v/>
      </c>
      <c r="R20" s="41">
        <f>C20/$O20</f>
        <v/>
      </c>
      <c r="S20" s="41">
        <f>D20/$O20</f>
        <v/>
      </c>
      <c r="T20" s="41">
        <f>E20/$O20</f>
        <v/>
      </c>
      <c r="U20" s="41">
        <f>F20/$O20</f>
        <v/>
      </c>
      <c r="V20" s="41">
        <f>G20/$O20</f>
        <v/>
      </c>
      <c r="W20" s="41">
        <f>H20/$O20</f>
        <v/>
      </c>
      <c r="X20" s="41">
        <f>I20/$O20</f>
        <v/>
      </c>
      <c r="Y20" s="41">
        <f>J20/$O20</f>
        <v/>
      </c>
      <c r="Z20" s="41">
        <f>K20/$O20</f>
        <v/>
      </c>
      <c r="AA20" s="41">
        <f>L20/$O20</f>
        <v/>
      </c>
      <c r="AB20" s="41">
        <f>M20/$O20</f>
        <v/>
      </c>
      <c r="AC20" s="41">
        <f>N20/$O20</f>
        <v/>
      </c>
      <c r="AD20" s="41">
        <f>SUM(U20:AB20)</f>
        <v/>
      </c>
      <c r="AE20" s="42">
        <f>AC20+AD20</f>
        <v/>
      </c>
      <c r="AF20" s="42" t="n"/>
    </row>
    <row r="21" hidden="1" ht="15.75" customHeight="1" s="259">
      <c r="A21" s="8" t="n">
        <v>44917</v>
      </c>
      <c r="B21" t="n">
        <v>4.18</v>
      </c>
      <c r="C21" t="n">
        <v>2.42</v>
      </c>
      <c r="D21" t="n">
        <v>4</v>
      </c>
      <c r="E21" t="n">
        <v>0.96</v>
      </c>
      <c r="F21" t="n">
        <v>0.62</v>
      </c>
      <c r="G21" t="n">
        <v>1.08</v>
      </c>
      <c r="H21" t="n">
        <v>0.02</v>
      </c>
      <c r="I21" t="n">
        <v>0.1</v>
      </c>
      <c r="K21" t="n">
        <v>0.7</v>
      </c>
      <c r="L21" t="n">
        <v>0.2</v>
      </c>
      <c r="N21" t="n">
        <v>4.48</v>
      </c>
      <c r="O21">
        <f>SUM(B21:N21)</f>
        <v/>
      </c>
      <c r="P21" s="32" t="n"/>
      <c r="Q21" s="41">
        <f>B21/$O21</f>
        <v/>
      </c>
      <c r="R21" s="41">
        <f>C21/$O21</f>
        <v/>
      </c>
      <c r="S21" s="41">
        <f>D21/$O21</f>
        <v/>
      </c>
      <c r="T21" s="41">
        <f>E21/$O21</f>
        <v/>
      </c>
      <c r="U21" s="41">
        <f>F21/$O21</f>
        <v/>
      </c>
      <c r="V21" s="41">
        <f>G21/$O21</f>
        <v/>
      </c>
      <c r="W21" s="41">
        <f>H21/$O21</f>
        <v/>
      </c>
      <c r="X21" s="41">
        <f>I21/$O21</f>
        <v/>
      </c>
      <c r="Y21" s="41">
        <f>J21/$O21</f>
        <v/>
      </c>
      <c r="Z21" s="41">
        <f>K21/$O21</f>
        <v/>
      </c>
      <c r="AA21" s="41">
        <f>L21/$O21</f>
        <v/>
      </c>
      <c r="AB21" s="41">
        <f>M21/$O21</f>
        <v/>
      </c>
      <c r="AC21" s="41">
        <f>N21/$O21</f>
        <v/>
      </c>
      <c r="AD21" s="41">
        <f>SUM(U21:AB21)</f>
        <v/>
      </c>
      <c r="AE21" s="42">
        <f>AC21+AD21</f>
        <v/>
      </c>
      <c r="AF21" s="42" t="n"/>
    </row>
    <row r="22" hidden="1" ht="15.75" customHeight="1" s="259">
      <c r="A22" s="8" t="n">
        <v>44924</v>
      </c>
      <c r="B22" t="n">
        <v>4.1</v>
      </c>
      <c r="C22" t="n">
        <v>2.38</v>
      </c>
      <c r="D22" t="n">
        <v>4.38</v>
      </c>
      <c r="E22" t="n">
        <v>1.12</v>
      </c>
      <c r="F22" t="n">
        <v>0.34</v>
      </c>
      <c r="G22" t="n">
        <v>0.44</v>
      </c>
      <c r="H22" t="n">
        <v>0.08</v>
      </c>
      <c r="I22" t="n">
        <v>0.16</v>
      </c>
      <c r="J22" t="n">
        <v>0.04</v>
      </c>
      <c r="K22" t="n">
        <v>0.42</v>
      </c>
      <c r="L22" t="n">
        <v>0.32</v>
      </c>
      <c r="N22" t="n">
        <v>5.22</v>
      </c>
      <c r="O22">
        <f>SUM(B22:N22)</f>
        <v/>
      </c>
      <c r="P22" s="32" t="n"/>
      <c r="Q22" s="41">
        <f>B22/$O22</f>
        <v/>
      </c>
      <c r="R22" s="41">
        <f>C22/$O22</f>
        <v/>
      </c>
      <c r="S22" s="41">
        <f>D22/$O22</f>
        <v/>
      </c>
      <c r="T22" s="41">
        <f>E22/$O22</f>
        <v/>
      </c>
      <c r="U22" s="41">
        <f>F22/$O22</f>
        <v/>
      </c>
      <c r="V22" s="41">
        <f>G22/$O22</f>
        <v/>
      </c>
      <c r="W22" s="41">
        <f>H22/$O22</f>
        <v/>
      </c>
      <c r="X22" s="41">
        <f>I22/$O22</f>
        <v/>
      </c>
      <c r="Y22" s="41">
        <f>J22/$O22</f>
        <v/>
      </c>
      <c r="Z22" s="41">
        <f>K22/$O22</f>
        <v/>
      </c>
      <c r="AA22" s="41">
        <f>L22/$O22</f>
        <v/>
      </c>
      <c r="AB22" s="41">
        <f>M22/$O22</f>
        <v/>
      </c>
      <c r="AC22" s="41">
        <f>N22/$O22</f>
        <v/>
      </c>
      <c r="AD22" s="41">
        <f>SUM(U22:AB22)</f>
        <v/>
      </c>
      <c r="AE22" s="42">
        <f>AC22+AD22</f>
        <v/>
      </c>
      <c r="AF22" s="42" t="n"/>
    </row>
    <row r="23" hidden="1" ht="15.75" customHeight="1" s="259">
      <c r="A23" s="8" t="n">
        <v>45110</v>
      </c>
      <c r="B23" t="n">
        <v>2.98</v>
      </c>
      <c r="C23" t="n">
        <v>1.06</v>
      </c>
      <c r="D23" t="n">
        <v>3.9</v>
      </c>
      <c r="E23" t="n">
        <v>9.039999999999999</v>
      </c>
      <c r="F23" t="n">
        <v>0.2</v>
      </c>
      <c r="G23" t="n">
        <v>0.44</v>
      </c>
      <c r="H23" t="n">
        <v>0.02</v>
      </c>
      <c r="I23" t="n">
        <v>0.68</v>
      </c>
      <c r="J23" t="n">
        <v>0.02</v>
      </c>
      <c r="K23" t="n">
        <v>0.48</v>
      </c>
      <c r="L23" t="n">
        <v>0.36</v>
      </c>
      <c r="M23" t="n">
        <v>0.12</v>
      </c>
      <c r="N23" t="n">
        <v>2.9</v>
      </c>
      <c r="O23">
        <f>SUM(B23:N23)</f>
        <v/>
      </c>
      <c r="P23" s="32" t="n"/>
      <c r="Q23" s="41">
        <f>B23/$O23</f>
        <v/>
      </c>
      <c r="R23" s="41">
        <f>C23/$O23</f>
        <v/>
      </c>
      <c r="S23" s="41">
        <f>D23/$O23</f>
        <v/>
      </c>
      <c r="T23" s="41">
        <f>E23/$O23</f>
        <v/>
      </c>
      <c r="U23" s="41">
        <f>F23/$O23</f>
        <v/>
      </c>
      <c r="V23" s="41">
        <f>G23/$O23</f>
        <v/>
      </c>
      <c r="W23" s="41">
        <f>H23/$O23</f>
        <v/>
      </c>
      <c r="X23" s="41">
        <f>I23/$O23</f>
        <v/>
      </c>
      <c r="Y23" s="41">
        <f>J23/$O23</f>
        <v/>
      </c>
      <c r="Z23" s="41">
        <f>K23/$O23</f>
        <v/>
      </c>
      <c r="AA23" s="41">
        <f>L23/$O23</f>
        <v/>
      </c>
      <c r="AB23" s="41">
        <f>M23/$O23</f>
        <v/>
      </c>
      <c r="AC23" s="41">
        <f>N23/$O23</f>
        <v/>
      </c>
      <c r="AD23" s="41">
        <f>SUM(U23:AB23)</f>
        <v/>
      </c>
      <c r="AE23" s="42">
        <f>AC23+AD23</f>
        <v/>
      </c>
      <c r="AF23" s="42" t="n"/>
    </row>
    <row r="24" hidden="1" ht="15.75" customHeight="1" s="259">
      <c r="A24" s="8" t="n">
        <v>45118</v>
      </c>
      <c r="B24" t="n">
        <v>1.44</v>
      </c>
      <c r="C24" t="n">
        <v>1.04</v>
      </c>
      <c r="D24" t="n">
        <v>2.7</v>
      </c>
      <c r="E24" t="n">
        <v>5.98</v>
      </c>
      <c r="F24" t="n">
        <v>0.12</v>
      </c>
      <c r="G24" t="n">
        <v>0.64</v>
      </c>
      <c r="H24" t="n">
        <v>0.08</v>
      </c>
      <c r="I24" t="n">
        <v>0.76</v>
      </c>
      <c r="J24" t="n">
        <v>0.06</v>
      </c>
      <c r="K24" t="n">
        <v>0.42</v>
      </c>
      <c r="L24" t="n">
        <v>0.36</v>
      </c>
      <c r="M24" t="n">
        <v>0.1</v>
      </c>
      <c r="N24" t="n">
        <v>5.78</v>
      </c>
      <c r="O24">
        <f>SUM(B24:N24)</f>
        <v/>
      </c>
      <c r="P24" s="32" t="n"/>
      <c r="Q24" s="41">
        <f>B24/$O24</f>
        <v/>
      </c>
      <c r="R24" s="41">
        <f>C24/$O24</f>
        <v/>
      </c>
      <c r="S24" s="41">
        <f>D24/$O24</f>
        <v/>
      </c>
      <c r="T24" s="41">
        <f>E24/$O24</f>
        <v/>
      </c>
      <c r="U24" s="41">
        <f>F24/$O24</f>
        <v/>
      </c>
      <c r="V24" s="41">
        <f>G24/$O24</f>
        <v/>
      </c>
      <c r="W24" s="41">
        <f>H24/$O24</f>
        <v/>
      </c>
      <c r="X24" s="41">
        <f>I24/$O24</f>
        <v/>
      </c>
      <c r="Y24" s="41">
        <f>J24/$O24</f>
        <v/>
      </c>
      <c r="Z24" s="41">
        <f>K24/$O24</f>
        <v/>
      </c>
      <c r="AA24" s="41">
        <f>L24/$O24</f>
        <v/>
      </c>
      <c r="AB24" s="41">
        <f>M24/$O24</f>
        <v/>
      </c>
      <c r="AC24" s="41">
        <f>N24/$O24</f>
        <v/>
      </c>
      <c r="AD24" s="41">
        <f>SUM(U24:AB24)</f>
        <v/>
      </c>
      <c r="AE24" s="42">
        <f>AC24+AD24</f>
        <v/>
      </c>
      <c r="AF24" s="42" t="n"/>
    </row>
    <row r="25" hidden="1" ht="15.75" customHeight="1" s="259">
      <c r="A25" s="8" t="n">
        <v>45124</v>
      </c>
      <c r="B25" t="n">
        <v>3.74</v>
      </c>
      <c r="C25" t="n">
        <v>1.72</v>
      </c>
      <c r="D25" t="n">
        <v>2.06</v>
      </c>
      <c r="E25" t="n">
        <v>5.98</v>
      </c>
      <c r="F25" t="n">
        <v>0.06</v>
      </c>
      <c r="G25" t="n">
        <v>0.68</v>
      </c>
      <c r="H25" t="n">
        <v>0.02</v>
      </c>
      <c r="I25" t="n">
        <v>0.5</v>
      </c>
      <c r="J25" t="n">
        <v>0</v>
      </c>
      <c r="K25" t="n">
        <v>0.18</v>
      </c>
      <c r="L25" t="n">
        <v>0.2</v>
      </c>
      <c r="M25" t="n">
        <v>0.06</v>
      </c>
      <c r="N25" t="n">
        <v>1.7</v>
      </c>
      <c r="O25">
        <f>SUM(B25:N25)</f>
        <v/>
      </c>
      <c r="P25" s="32" t="n"/>
      <c r="Q25" s="41">
        <f>B25/$O25</f>
        <v/>
      </c>
      <c r="R25" s="41">
        <f>C25/$O25</f>
        <v/>
      </c>
      <c r="S25" s="41">
        <f>D25/$O25</f>
        <v/>
      </c>
      <c r="T25" s="41">
        <f>E25/$O25</f>
        <v/>
      </c>
      <c r="U25" s="41">
        <f>F25/$O25</f>
        <v/>
      </c>
      <c r="V25" s="41">
        <f>G25/$O25</f>
        <v/>
      </c>
      <c r="W25" s="41">
        <f>H25/$O25</f>
        <v/>
      </c>
      <c r="X25" s="41">
        <f>I25/$O25</f>
        <v/>
      </c>
      <c r="Y25" s="41">
        <f>J25/$O25</f>
        <v/>
      </c>
      <c r="Z25" s="41">
        <f>K25/$O25</f>
        <v/>
      </c>
      <c r="AA25" s="41">
        <f>L25/$O25</f>
        <v/>
      </c>
      <c r="AB25" s="41">
        <f>M25/$O25</f>
        <v/>
      </c>
      <c r="AC25" s="41">
        <f>N25/$O25</f>
        <v/>
      </c>
      <c r="AD25" s="41">
        <f>SUM(U25:AB25)</f>
        <v/>
      </c>
      <c r="AE25" s="42">
        <f>AC25+AD25</f>
        <v/>
      </c>
      <c r="AF25" s="42" t="n"/>
    </row>
    <row r="26" hidden="1" ht="15.75" customHeight="1" s="259">
      <c r="A26" s="8" t="n">
        <v>45152</v>
      </c>
      <c r="B26" t="n">
        <v>2.58</v>
      </c>
      <c r="C26" t="n">
        <v>0.82</v>
      </c>
      <c r="D26" t="n">
        <v>1.66</v>
      </c>
      <c r="E26" t="n">
        <v>21.14</v>
      </c>
      <c r="F26" t="n">
        <v>0.04</v>
      </c>
      <c r="G26" t="n">
        <v>0.3</v>
      </c>
      <c r="H26" t="n">
        <v>0.08</v>
      </c>
      <c r="I26" t="n">
        <v>0.4</v>
      </c>
      <c r="J26" t="n">
        <v>0.02</v>
      </c>
      <c r="K26" t="n">
        <v>0.06</v>
      </c>
      <c r="L26" t="n">
        <v>0</v>
      </c>
      <c r="M26" t="n">
        <v>0</v>
      </c>
      <c r="N26" t="n">
        <v>1.04</v>
      </c>
      <c r="O26">
        <f>SUM(B26:N26)</f>
        <v/>
      </c>
      <c r="P26" s="32" t="n"/>
      <c r="Q26" s="41">
        <f>B26/$O26</f>
        <v/>
      </c>
      <c r="R26" s="41">
        <f>C26/$O26</f>
        <v/>
      </c>
      <c r="S26" s="41">
        <f>D26/$O26</f>
        <v/>
      </c>
      <c r="T26" s="41">
        <f>E26/$O26</f>
        <v/>
      </c>
      <c r="U26" s="41">
        <f>F26/$O26</f>
        <v/>
      </c>
      <c r="V26" s="41">
        <f>G26/$O26</f>
        <v/>
      </c>
      <c r="W26" s="41">
        <f>H26/$O26</f>
        <v/>
      </c>
      <c r="X26" s="41">
        <f>I26/$O26</f>
        <v/>
      </c>
      <c r="Y26" s="41">
        <f>J26/$O26</f>
        <v/>
      </c>
      <c r="Z26" s="41">
        <f>K26/$O26</f>
        <v/>
      </c>
      <c r="AA26" s="41">
        <f>L26/$O26</f>
        <v/>
      </c>
      <c r="AB26" s="41">
        <f>M26/$O26</f>
        <v/>
      </c>
      <c r="AC26" s="41">
        <f>N26/$O26</f>
        <v/>
      </c>
      <c r="AD26" s="41">
        <f>SUM(U26:AB26)</f>
        <v/>
      </c>
      <c r="AE26" s="42">
        <f>AC26+AD26</f>
        <v/>
      </c>
      <c r="AF26" s="42" t="n"/>
    </row>
    <row r="27" hidden="1" ht="15.75" customHeight="1" s="259">
      <c r="A27" s="8" t="n">
        <v>45166</v>
      </c>
      <c r="B27" t="n">
        <v>2.76</v>
      </c>
      <c r="C27" t="n">
        <v>0.84</v>
      </c>
      <c r="D27" t="n">
        <v>4</v>
      </c>
      <c r="E27" t="n">
        <v>5.6</v>
      </c>
      <c r="F27" t="n">
        <v>0.06</v>
      </c>
      <c r="G27" t="n">
        <v>0.36</v>
      </c>
      <c r="H27" t="n">
        <v>0</v>
      </c>
      <c r="I27" t="n">
        <v>0.36</v>
      </c>
      <c r="J27" t="n">
        <v>0.06</v>
      </c>
      <c r="K27" t="n">
        <v>0.12</v>
      </c>
      <c r="L27" t="n">
        <v>0.2</v>
      </c>
      <c r="M27" t="n">
        <v>0.1</v>
      </c>
      <c r="N27" t="n">
        <v>1.98</v>
      </c>
      <c r="O27">
        <f>SUM(B27:N27)</f>
        <v/>
      </c>
      <c r="P27" s="32" t="n"/>
      <c r="Q27" s="41">
        <f>B27/$O27</f>
        <v/>
      </c>
      <c r="R27" s="41">
        <f>C27/$O27</f>
        <v/>
      </c>
      <c r="S27" s="41">
        <f>D27/$O27</f>
        <v/>
      </c>
      <c r="T27" s="41">
        <f>E27/$O27</f>
        <v/>
      </c>
      <c r="U27" s="41">
        <f>F27/$O27</f>
        <v/>
      </c>
      <c r="V27" s="41">
        <f>G27/$O27</f>
        <v/>
      </c>
      <c r="W27" s="41">
        <f>H27/$O27</f>
        <v/>
      </c>
      <c r="X27" s="41">
        <f>I27/$O27</f>
        <v/>
      </c>
      <c r="Y27" s="41">
        <f>J27/$O27</f>
        <v/>
      </c>
      <c r="Z27" s="41">
        <f>K27/$O27</f>
        <v/>
      </c>
      <c r="AA27" s="41">
        <f>L27/$O27</f>
        <v/>
      </c>
      <c r="AB27" s="41">
        <f>M27/$O27</f>
        <v/>
      </c>
      <c r="AC27" s="41">
        <f>N27/$O27</f>
        <v/>
      </c>
      <c r="AD27" s="41">
        <f>SUM(U27:AB27)</f>
        <v/>
      </c>
      <c r="AE27" s="42">
        <f>AC27+AD27</f>
        <v/>
      </c>
      <c r="AF27" s="42" t="n"/>
    </row>
    <row r="28" hidden="1" ht="15.75" customHeight="1" s="259">
      <c r="A28" s="8" t="n">
        <v>45201</v>
      </c>
      <c r="B28" t="n">
        <v>1.9</v>
      </c>
      <c r="C28" t="n">
        <v>1.18</v>
      </c>
      <c r="D28" t="n">
        <v>2.1</v>
      </c>
      <c r="E28" t="n">
        <v>6.54</v>
      </c>
      <c r="F28" t="n">
        <v>0.16</v>
      </c>
      <c r="G28" t="n">
        <v>0.36</v>
      </c>
      <c r="H28" t="n">
        <v>0</v>
      </c>
      <c r="I28" t="n">
        <v>0.36</v>
      </c>
      <c r="J28" t="n">
        <v>0</v>
      </c>
      <c r="K28" t="n">
        <v>0.1</v>
      </c>
      <c r="L28" t="n">
        <v>0.5600000000000001</v>
      </c>
      <c r="M28" t="n">
        <v>0.28</v>
      </c>
      <c r="N28" t="n">
        <v>1.34</v>
      </c>
      <c r="O28">
        <f>SUM(B28:N28)</f>
        <v/>
      </c>
      <c r="P28" s="32" t="n"/>
      <c r="Q28" s="41">
        <f>B28/$O28</f>
        <v/>
      </c>
      <c r="R28" s="41">
        <f>C28/$O28</f>
        <v/>
      </c>
      <c r="S28" s="41">
        <f>D28/$O28</f>
        <v/>
      </c>
      <c r="T28" s="41">
        <f>E28/$O28</f>
        <v/>
      </c>
      <c r="U28" s="41">
        <f>F28/$O28</f>
        <v/>
      </c>
      <c r="V28" s="41">
        <f>G28/$O28</f>
        <v/>
      </c>
      <c r="W28" s="41">
        <f>H28/$O28</f>
        <v/>
      </c>
      <c r="X28" s="41">
        <f>I28/$O28</f>
        <v/>
      </c>
      <c r="Y28" s="41">
        <f>J28/$O28</f>
        <v/>
      </c>
      <c r="Z28" s="41">
        <f>K28/$O28</f>
        <v/>
      </c>
      <c r="AA28" s="41">
        <f>L28/$O28</f>
        <v/>
      </c>
      <c r="AB28" s="41">
        <f>M28/$O28</f>
        <v/>
      </c>
      <c r="AC28" s="41">
        <f>N28/$O28</f>
        <v/>
      </c>
      <c r="AD28" s="41">
        <f>SUM(U28:AB28)</f>
        <v/>
      </c>
      <c r="AE28" s="42">
        <f>AC28+AD28</f>
        <v/>
      </c>
      <c r="AF28" s="42" t="n"/>
    </row>
    <row r="29" hidden="1" ht="15.75" customHeight="1" s="259">
      <c r="A29" s="8" t="n">
        <v>45209</v>
      </c>
      <c r="B29" t="n">
        <v>2.6</v>
      </c>
      <c r="C29" t="n">
        <v>0.98</v>
      </c>
      <c r="D29" t="n">
        <v>2.24</v>
      </c>
      <c r="E29" t="n">
        <v>10.2</v>
      </c>
      <c r="F29" t="n">
        <v>1.94</v>
      </c>
      <c r="G29" t="n">
        <v>0.18</v>
      </c>
      <c r="H29" t="n">
        <v>0.04</v>
      </c>
      <c r="I29" t="n">
        <v>0.34</v>
      </c>
      <c r="J29" t="n">
        <v>0</v>
      </c>
      <c r="K29" t="n">
        <v>0.62</v>
      </c>
      <c r="L29" t="n">
        <v>1.06</v>
      </c>
      <c r="M29" t="n">
        <v>0.24</v>
      </c>
      <c r="N29" t="n">
        <v>1.96</v>
      </c>
      <c r="O29">
        <f>SUM(B29:N29)</f>
        <v/>
      </c>
      <c r="P29" s="32" t="n"/>
      <c r="Q29" s="41">
        <f>B29/$O29</f>
        <v/>
      </c>
      <c r="R29" s="41">
        <f>C29/$O29</f>
        <v/>
      </c>
      <c r="S29" s="41">
        <f>D29/$O29</f>
        <v/>
      </c>
      <c r="T29" s="41">
        <f>E29/$O29</f>
        <v/>
      </c>
      <c r="U29" s="41">
        <f>F29/$O29</f>
        <v/>
      </c>
      <c r="V29" s="41">
        <f>G29/$O29</f>
        <v/>
      </c>
      <c r="W29" s="41">
        <f>H29/$O29</f>
        <v/>
      </c>
      <c r="X29" s="41">
        <f>I29/$O29</f>
        <v/>
      </c>
      <c r="Y29" s="41">
        <f>J29/$O29</f>
        <v/>
      </c>
      <c r="Z29" s="41">
        <f>K29/$O29</f>
        <v/>
      </c>
      <c r="AA29" s="41">
        <f>L29/$O29</f>
        <v/>
      </c>
      <c r="AB29" s="41">
        <f>M29/$O29</f>
        <v/>
      </c>
      <c r="AC29" s="41">
        <f>N29/$O29</f>
        <v/>
      </c>
      <c r="AD29" s="41">
        <f>SUM(U29:AB29)</f>
        <v/>
      </c>
      <c r="AE29" s="42">
        <f>AC29+AD29</f>
        <v/>
      </c>
      <c r="AF29" s="42" t="n"/>
    </row>
    <row r="30" hidden="1" ht="15.75" customHeight="1" s="259">
      <c r="A30" s="8" t="n">
        <v>45230</v>
      </c>
      <c r="B30" t="n">
        <v>2.38</v>
      </c>
      <c r="C30" t="n">
        <v>1.66</v>
      </c>
      <c r="D30" t="n">
        <v>2.02</v>
      </c>
      <c r="E30" t="n">
        <v>6.06</v>
      </c>
      <c r="F30" t="n">
        <v>0.26</v>
      </c>
      <c r="G30" t="n">
        <v>0.24</v>
      </c>
      <c r="H30" t="n">
        <v>0.04</v>
      </c>
      <c r="I30" t="n">
        <v>0.26</v>
      </c>
      <c r="J30" t="n">
        <v>0.06</v>
      </c>
      <c r="K30" t="n">
        <v>0.14</v>
      </c>
      <c r="L30" t="n">
        <v>0.3</v>
      </c>
      <c r="M30" t="n">
        <v>0.26</v>
      </c>
      <c r="N30" t="n">
        <v>2.04</v>
      </c>
      <c r="O30">
        <f>SUM(B30:N30)</f>
        <v/>
      </c>
      <c r="P30" s="32" t="n"/>
      <c r="Q30" s="41">
        <f>B30/$O30</f>
        <v/>
      </c>
      <c r="R30" s="41">
        <f>C30/$O30</f>
        <v/>
      </c>
      <c r="S30" s="41">
        <f>D30/$O30</f>
        <v/>
      </c>
      <c r="T30" s="41">
        <f>E30/$O30</f>
        <v/>
      </c>
      <c r="U30" s="41">
        <f>F30/$O30</f>
        <v/>
      </c>
      <c r="V30" s="41">
        <f>G30/$O30</f>
        <v/>
      </c>
      <c r="W30" s="41">
        <f>H30/$O30</f>
        <v/>
      </c>
      <c r="X30" s="41">
        <f>I30/$O30</f>
        <v/>
      </c>
      <c r="Y30" s="41">
        <f>J30/$O30</f>
        <v/>
      </c>
      <c r="Z30" s="41">
        <f>K30/$O30</f>
        <v/>
      </c>
      <c r="AA30" s="41">
        <f>L30/$O30</f>
        <v/>
      </c>
      <c r="AB30" s="41">
        <f>M30/$O30</f>
        <v/>
      </c>
      <c r="AC30" s="41">
        <f>N30/$O30</f>
        <v/>
      </c>
      <c r="AD30" s="41">
        <f>SUM(U30:AB30)</f>
        <v/>
      </c>
      <c r="AE30" s="42">
        <f>AC30+AD30</f>
        <v/>
      </c>
      <c r="AF30" s="42" t="n"/>
    </row>
    <row r="31" hidden="1" ht="15.75" customHeight="1" s="259">
      <c r="A31" s="8" t="n">
        <v>45247</v>
      </c>
      <c r="B31" t="n">
        <v>2.18</v>
      </c>
      <c r="C31" t="n">
        <v>1.26</v>
      </c>
      <c r="D31" t="n">
        <v>2.72</v>
      </c>
      <c r="E31" t="n">
        <v>5.38</v>
      </c>
      <c r="F31" t="n">
        <v>0.84</v>
      </c>
      <c r="G31" t="n">
        <v>0.52</v>
      </c>
      <c r="H31" t="n">
        <v>0.08</v>
      </c>
      <c r="I31" t="n">
        <v>0.44</v>
      </c>
      <c r="J31" t="n">
        <v>0.06</v>
      </c>
      <c r="K31" t="n">
        <v>0.9399999999999999</v>
      </c>
      <c r="L31" t="n">
        <v>1.14</v>
      </c>
      <c r="M31" t="n">
        <v>0.28</v>
      </c>
      <c r="N31" t="n">
        <v>3.1</v>
      </c>
      <c r="O31">
        <f>SUM(B31:N31)</f>
        <v/>
      </c>
      <c r="P31" s="32" t="n"/>
      <c r="Q31" s="41">
        <f>B31/$O31</f>
        <v/>
      </c>
      <c r="R31" s="41">
        <f>C31/$O31</f>
        <v/>
      </c>
      <c r="S31" s="41">
        <f>D31/$O31</f>
        <v/>
      </c>
      <c r="T31" s="41">
        <f>E31/$O31</f>
        <v/>
      </c>
      <c r="U31" s="41">
        <f>F31/$O31</f>
        <v/>
      </c>
      <c r="V31" s="41">
        <f>G31/$O31</f>
        <v/>
      </c>
      <c r="W31" s="41">
        <f>H31/$O31</f>
        <v/>
      </c>
      <c r="X31" s="41">
        <f>I31/$O31</f>
        <v/>
      </c>
      <c r="Y31" s="41">
        <f>J31/$O31</f>
        <v/>
      </c>
      <c r="Z31" s="41">
        <f>K31/$O31</f>
        <v/>
      </c>
      <c r="AA31" s="41">
        <f>L31/$O31</f>
        <v/>
      </c>
      <c r="AB31" s="41">
        <f>M31/$O31</f>
        <v/>
      </c>
      <c r="AC31" s="41">
        <f>N31/$O31</f>
        <v/>
      </c>
      <c r="AD31" s="41">
        <f>SUM(U31:AB31)</f>
        <v/>
      </c>
      <c r="AE31" s="42">
        <f>AC31+AD31</f>
        <v/>
      </c>
      <c r="AF31" s="42" t="n"/>
    </row>
    <row r="32" ht="15.75" customHeight="1" s="259">
      <c r="A32" s="8" t="n">
        <v>45397</v>
      </c>
      <c r="B32" t="n">
        <v>0.5600000000000001</v>
      </c>
      <c r="C32" t="n">
        <v>0.5</v>
      </c>
      <c r="D32" t="n">
        <v>0.82</v>
      </c>
      <c r="E32" t="n">
        <v>0.16</v>
      </c>
      <c r="F32" t="n">
        <v>0.06</v>
      </c>
      <c r="G32" t="n">
        <v>0.26</v>
      </c>
      <c r="H32" t="n">
        <v>0.02</v>
      </c>
      <c r="I32" t="n">
        <v>0</v>
      </c>
      <c r="J32" t="n">
        <v>0</v>
      </c>
      <c r="K32" t="n">
        <v>0.02</v>
      </c>
      <c r="L32" t="n">
        <v>0.06</v>
      </c>
      <c r="M32" t="n">
        <v>0</v>
      </c>
      <c r="N32" t="n">
        <v>0.84</v>
      </c>
      <c r="O32">
        <f>SUM(B32:N32)</f>
        <v/>
      </c>
      <c r="P32" s="32" t="n"/>
      <c r="Q32" s="41">
        <f>B32/$O32</f>
        <v/>
      </c>
      <c r="R32" s="41">
        <f>C32/$O32</f>
        <v/>
      </c>
      <c r="S32" s="41">
        <f>D32/$O32</f>
        <v/>
      </c>
      <c r="T32" s="41">
        <f>E32/$O32</f>
        <v/>
      </c>
      <c r="U32" s="41">
        <f>F32/$O32</f>
        <v/>
      </c>
      <c r="V32" s="41">
        <f>G32/$O32</f>
        <v/>
      </c>
      <c r="W32" s="41">
        <f>H32/$O32</f>
        <v/>
      </c>
      <c r="X32" s="41">
        <f>I32/$O32</f>
        <v/>
      </c>
      <c r="Y32" s="41">
        <f>J32/$O32</f>
        <v/>
      </c>
      <c r="Z32" s="41">
        <f>K32/$O32</f>
        <v/>
      </c>
      <c r="AA32" s="41">
        <f>L32/$O32</f>
        <v/>
      </c>
      <c r="AB32" s="41">
        <f>M32/$O32</f>
        <v/>
      </c>
      <c r="AC32" s="41">
        <f>N32/$O32</f>
        <v/>
      </c>
      <c r="AD32" s="41">
        <f>SUM(U32:AB32)</f>
        <v/>
      </c>
      <c r="AE32" s="42">
        <f>AC32+AD32</f>
        <v/>
      </c>
      <c r="AF32" s="42">
        <f>SUM(Q32:T32)</f>
        <v/>
      </c>
      <c r="AG32">
        <f>YEAR(A32)</f>
        <v/>
      </c>
      <c r="AH32">
        <f>MONTH(A32)</f>
        <v/>
      </c>
      <c r="AI32" t="n">
        <v>1</v>
      </c>
    </row>
    <row r="33" ht="15.75" customHeight="1" s="259">
      <c r="A33" s="8" t="n">
        <v>45465</v>
      </c>
      <c r="B33" t="n">
        <v>4.4</v>
      </c>
      <c r="C33" t="n">
        <v>1.34</v>
      </c>
      <c r="D33" t="n">
        <v>0.9</v>
      </c>
      <c r="E33" t="n">
        <v>11.12</v>
      </c>
      <c r="F33" t="n">
        <v>0.04</v>
      </c>
      <c r="G33" t="n">
        <v>0.82</v>
      </c>
      <c r="H33" t="n">
        <v>0.1</v>
      </c>
      <c r="I33" t="n">
        <v>0.14</v>
      </c>
      <c r="J33" t="n">
        <v>0.14</v>
      </c>
      <c r="K33" t="n">
        <v>0</v>
      </c>
      <c r="L33" t="n">
        <v>0</v>
      </c>
      <c r="M33" t="n">
        <v>0.02</v>
      </c>
      <c r="N33" t="n">
        <v>0.96</v>
      </c>
      <c r="O33">
        <f>SUM(B33:N33)</f>
        <v/>
      </c>
      <c r="P33" s="32" t="n"/>
      <c r="Q33" s="41">
        <f>B33/$O33</f>
        <v/>
      </c>
      <c r="R33" s="41">
        <f>C33/$O33</f>
        <v/>
      </c>
      <c r="S33" s="41">
        <f>D33/$O33</f>
        <v/>
      </c>
      <c r="T33" s="41">
        <f>E33/$O33</f>
        <v/>
      </c>
      <c r="U33" s="41">
        <f>F33/$O33</f>
        <v/>
      </c>
      <c r="V33" s="41">
        <f>G33/$O33</f>
        <v/>
      </c>
      <c r="W33" s="41">
        <f>H33/$O33</f>
        <v/>
      </c>
      <c r="X33" s="41">
        <f>I33/$O33</f>
        <v/>
      </c>
      <c r="Y33" s="41">
        <f>J33/$O33</f>
        <v/>
      </c>
      <c r="Z33" s="41">
        <f>K33/$O33</f>
        <v/>
      </c>
      <c r="AA33" s="41">
        <f>L33/$O33</f>
        <v/>
      </c>
      <c r="AB33" s="41">
        <f>M33/$O33</f>
        <v/>
      </c>
      <c r="AC33" s="41">
        <f>N33/$O33</f>
        <v/>
      </c>
      <c r="AD33" s="41">
        <f>SUM(U33:AB33)</f>
        <v/>
      </c>
      <c r="AE33" s="42">
        <f>AC33+AD33</f>
        <v/>
      </c>
      <c r="AF33" s="42">
        <f>SUM(Q33:T33)</f>
        <v/>
      </c>
      <c r="AG33">
        <f>YEAR(A33)</f>
        <v/>
      </c>
      <c r="AH33">
        <f>MONTH(A33)</f>
        <v/>
      </c>
      <c r="AI33">
        <f>AI32+1</f>
        <v/>
      </c>
    </row>
    <row r="34" hidden="1" ht="15.75" customHeight="1" s="259">
      <c r="A34" s="8" t="n"/>
      <c r="O34">
        <f>SUM(B34:N34)</f>
        <v/>
      </c>
      <c r="P34" s="32" t="n"/>
      <c r="Q34" s="41">
        <f>B34/$O34</f>
        <v/>
      </c>
      <c r="R34" s="41">
        <f>C34/$O34</f>
        <v/>
      </c>
      <c r="S34" s="41">
        <f>D34/$O34</f>
        <v/>
      </c>
      <c r="T34" s="41">
        <f>E34/$O34</f>
        <v/>
      </c>
      <c r="U34" s="41">
        <f>F34/$O34</f>
        <v/>
      </c>
      <c r="V34" s="41">
        <f>G34/$O34</f>
        <v/>
      </c>
      <c r="W34" s="41">
        <f>H34/$O34</f>
        <v/>
      </c>
      <c r="X34" s="41">
        <f>I34/$O34</f>
        <v/>
      </c>
      <c r="Y34" s="41">
        <f>J34/$O34</f>
        <v/>
      </c>
      <c r="Z34" s="41">
        <f>K34/$O34</f>
        <v/>
      </c>
      <c r="AA34" s="41">
        <f>L34/$O34</f>
        <v/>
      </c>
      <c r="AB34" s="41">
        <f>M34/$O34</f>
        <v/>
      </c>
      <c r="AC34" s="41">
        <f>N34/$O34</f>
        <v/>
      </c>
      <c r="AD34" s="41">
        <f>SUM(U34:AB34)</f>
        <v/>
      </c>
      <c r="AE34" s="42">
        <f>AC34+AD34</f>
        <v/>
      </c>
      <c r="AF34" s="42">
        <f>SUM(Q34:T34)</f>
        <v/>
      </c>
      <c r="AG34">
        <f>YEAR(A34)</f>
        <v/>
      </c>
      <c r="AH34">
        <f>MONTH(A34)</f>
        <v/>
      </c>
      <c r="AI34">
        <f>AI33+1</f>
        <v/>
      </c>
    </row>
    <row r="35" hidden="1" ht="15.75" customHeight="1" s="259">
      <c r="A35" s="8" t="n"/>
      <c r="O35">
        <f>SUM(B35:N35)</f>
        <v/>
      </c>
      <c r="P35" s="32" t="n"/>
      <c r="Q35" s="41">
        <f>B35/$O35</f>
        <v/>
      </c>
      <c r="R35" s="41">
        <f>C35/$O35</f>
        <v/>
      </c>
      <c r="S35" s="41">
        <f>D35/$O35</f>
        <v/>
      </c>
      <c r="T35" s="41">
        <f>E35/$O35</f>
        <v/>
      </c>
      <c r="U35" s="41">
        <f>F35/$O35</f>
        <v/>
      </c>
      <c r="V35" s="41">
        <f>G35/$O35</f>
        <v/>
      </c>
      <c r="W35" s="41">
        <f>H35/$O35</f>
        <v/>
      </c>
      <c r="X35" s="41">
        <f>I35/$O35</f>
        <v/>
      </c>
      <c r="Y35" s="41">
        <f>J35/$O35</f>
        <v/>
      </c>
      <c r="Z35" s="41">
        <f>K35/$O35</f>
        <v/>
      </c>
      <c r="AA35" s="41">
        <f>L35/$O35</f>
        <v/>
      </c>
      <c r="AB35" s="41">
        <f>M35/$O35</f>
        <v/>
      </c>
      <c r="AC35" s="41">
        <f>N35/$O35</f>
        <v/>
      </c>
      <c r="AD35" s="41">
        <f>SUM(U35:AB35)</f>
        <v/>
      </c>
      <c r="AE35" s="42">
        <f>AC35+AD35</f>
        <v/>
      </c>
      <c r="AF35" s="42">
        <f>SUM(Q35:T35)</f>
        <v/>
      </c>
      <c r="AG35">
        <f>YEAR(A35)</f>
        <v/>
      </c>
      <c r="AH35">
        <f>MONTH(A35)</f>
        <v/>
      </c>
      <c r="AI35">
        <f>AI34+1</f>
        <v/>
      </c>
    </row>
    <row r="36" hidden="1" ht="15.75" customHeight="1" s="259">
      <c r="O36">
        <f>SUM(B36:N36)</f>
        <v/>
      </c>
      <c r="P36" s="32" t="n"/>
      <c r="Q36" s="41">
        <f>B36/$O36</f>
        <v/>
      </c>
      <c r="R36" s="41">
        <f>C36/$O36</f>
        <v/>
      </c>
      <c r="S36" s="41">
        <f>D36/$O36</f>
        <v/>
      </c>
      <c r="T36" s="41">
        <f>E36/$O36</f>
        <v/>
      </c>
      <c r="U36" s="41">
        <f>F36/$O36</f>
        <v/>
      </c>
      <c r="V36" s="41">
        <f>G36/$O36</f>
        <v/>
      </c>
      <c r="W36" s="41">
        <f>H36/$O36</f>
        <v/>
      </c>
      <c r="X36" s="41">
        <f>I36/$O36</f>
        <v/>
      </c>
      <c r="Y36" s="41">
        <f>J36/$O36</f>
        <v/>
      </c>
      <c r="Z36" s="41">
        <f>K36/$O36</f>
        <v/>
      </c>
      <c r="AA36" s="41">
        <f>L36/$O36</f>
        <v/>
      </c>
      <c r="AB36" s="41">
        <f>M36/$O36</f>
        <v/>
      </c>
      <c r="AC36" s="41">
        <f>N36/$O36</f>
        <v/>
      </c>
      <c r="AD36" s="41">
        <f>SUM(U36:AB36)</f>
        <v/>
      </c>
      <c r="AE36" s="42">
        <f>AC36+AD36</f>
        <v/>
      </c>
      <c r="AF36" s="42">
        <f>SUM(Q36:T36)</f>
        <v/>
      </c>
      <c r="AG36">
        <f>YEAR(A36)</f>
        <v/>
      </c>
      <c r="AH36">
        <f>MONTH(A36)</f>
        <v/>
      </c>
      <c r="AI36">
        <f>AI35+1</f>
        <v/>
      </c>
    </row>
    <row r="37" hidden="1" ht="15.75" customHeight="1" s="259">
      <c r="O37">
        <f>SUM(B37:N37)</f>
        <v/>
      </c>
      <c r="P37" s="32" t="n"/>
      <c r="Q37" s="41">
        <f>B37/$O37</f>
        <v/>
      </c>
      <c r="R37" s="41">
        <f>C37/$O37</f>
        <v/>
      </c>
      <c r="S37" s="41">
        <f>D37/$O37</f>
        <v/>
      </c>
      <c r="T37" s="41">
        <f>E37/$O37</f>
        <v/>
      </c>
      <c r="U37" s="41">
        <f>F37/$O37</f>
        <v/>
      </c>
      <c r="V37" s="41">
        <f>G37/$O37</f>
        <v/>
      </c>
      <c r="W37" s="41">
        <f>H37/$O37</f>
        <v/>
      </c>
      <c r="X37" s="41">
        <f>I37/$O37</f>
        <v/>
      </c>
      <c r="Y37" s="41">
        <f>J37/$O37</f>
        <v/>
      </c>
      <c r="Z37" s="41">
        <f>K37/$O37</f>
        <v/>
      </c>
      <c r="AA37" s="41">
        <f>L37/$O37</f>
        <v/>
      </c>
      <c r="AB37" s="41">
        <f>M37/$O37</f>
        <v/>
      </c>
      <c r="AC37" s="41">
        <f>N37/$O37</f>
        <v/>
      </c>
      <c r="AD37" s="41">
        <f>SUM(U37:AB37)</f>
        <v/>
      </c>
      <c r="AE37" s="42">
        <f>AC37+AD37</f>
        <v/>
      </c>
      <c r="AF37" s="42">
        <f>SUM(Q37:T37)</f>
        <v/>
      </c>
      <c r="AG37">
        <f>YEAR(A37)</f>
        <v/>
      </c>
      <c r="AH37">
        <f>MONTH(A37)</f>
        <v/>
      </c>
      <c r="AI37">
        <f>AI36+1</f>
        <v/>
      </c>
    </row>
    <row r="38" hidden="1" ht="15.75" customHeight="1" s="259">
      <c r="O38">
        <f>SUM(B38:N38)</f>
        <v/>
      </c>
      <c r="P38" s="32" t="n"/>
      <c r="Q38" s="41">
        <f>B38/$O38</f>
        <v/>
      </c>
      <c r="R38" s="41">
        <f>C38/$O38</f>
        <v/>
      </c>
      <c r="S38" s="41">
        <f>D38/$O38</f>
        <v/>
      </c>
      <c r="T38" s="41">
        <f>E38/$O38</f>
        <v/>
      </c>
      <c r="U38" s="41">
        <f>F38/$O38</f>
        <v/>
      </c>
      <c r="V38" s="41">
        <f>G38/$O38</f>
        <v/>
      </c>
      <c r="W38" s="41">
        <f>H38/$O38</f>
        <v/>
      </c>
      <c r="X38" s="41">
        <f>I38/$O38</f>
        <v/>
      </c>
      <c r="Y38" s="41">
        <f>J38/$O38</f>
        <v/>
      </c>
      <c r="Z38" s="41">
        <f>K38/$O38</f>
        <v/>
      </c>
      <c r="AA38" s="41">
        <f>L38/$O38</f>
        <v/>
      </c>
      <c r="AB38" s="41">
        <f>M38/$O38</f>
        <v/>
      </c>
      <c r="AC38" s="41">
        <f>N38/$O38</f>
        <v/>
      </c>
      <c r="AD38" s="41">
        <f>SUM(U38:AB38)</f>
        <v/>
      </c>
      <c r="AE38" s="42">
        <f>AC38+AD38</f>
        <v/>
      </c>
      <c r="AF38" s="42">
        <f>SUM(Q38:T38)</f>
        <v/>
      </c>
      <c r="AG38">
        <f>YEAR(A38)</f>
        <v/>
      </c>
      <c r="AH38">
        <f>MONTH(A38)</f>
        <v/>
      </c>
      <c r="AI38">
        <f>AI37+1</f>
        <v/>
      </c>
    </row>
    <row r="39" hidden="1" ht="15.75" customHeight="1" s="259">
      <c r="O39">
        <f>SUM(B39:N39)</f>
        <v/>
      </c>
      <c r="P39" s="32" t="n"/>
      <c r="Q39" s="41">
        <f>B39/$O39</f>
        <v/>
      </c>
      <c r="R39" s="41">
        <f>C39/$O39</f>
        <v/>
      </c>
      <c r="S39" s="41">
        <f>D39/$O39</f>
        <v/>
      </c>
      <c r="T39" s="41">
        <f>E39/$O39</f>
        <v/>
      </c>
      <c r="U39" s="41">
        <f>F39/$O39</f>
        <v/>
      </c>
      <c r="V39" s="41">
        <f>G39/$O39</f>
        <v/>
      </c>
      <c r="W39" s="41">
        <f>H39/$O39</f>
        <v/>
      </c>
      <c r="X39" s="41">
        <f>I39/$O39</f>
        <v/>
      </c>
      <c r="Y39" s="41">
        <f>J39/$O39</f>
        <v/>
      </c>
      <c r="Z39" s="41">
        <f>K39/$O39</f>
        <v/>
      </c>
      <c r="AA39" s="41">
        <f>L39/$O39</f>
        <v/>
      </c>
      <c r="AB39" s="41">
        <f>M39/$O39</f>
        <v/>
      </c>
      <c r="AC39" s="41">
        <f>N39/$O39</f>
        <v/>
      </c>
      <c r="AD39" s="41">
        <f>SUM(U39:AB39)</f>
        <v/>
      </c>
      <c r="AE39" s="42">
        <f>AC39+AD39</f>
        <v/>
      </c>
      <c r="AF39" s="42">
        <f>SUM(Q39:T39)</f>
        <v/>
      </c>
      <c r="AG39">
        <f>YEAR(A39)</f>
        <v/>
      </c>
      <c r="AH39">
        <f>MONTH(A39)</f>
        <v/>
      </c>
      <c r="AI39">
        <f>AI38+1</f>
        <v/>
      </c>
    </row>
    <row r="40" hidden="1" ht="15.75" customHeight="1" s="259">
      <c r="O40">
        <f>SUM(B40:N40)</f>
        <v/>
      </c>
      <c r="P40" s="32" t="n"/>
      <c r="Q40" s="41">
        <f>B40/$O40</f>
        <v/>
      </c>
      <c r="R40" s="41">
        <f>C40/$O40</f>
        <v/>
      </c>
      <c r="S40" s="41">
        <f>D40/$O40</f>
        <v/>
      </c>
      <c r="T40" s="41">
        <f>E40/$O40</f>
        <v/>
      </c>
      <c r="U40" s="41">
        <f>F40/$O40</f>
        <v/>
      </c>
      <c r="V40" s="41">
        <f>G40/$O40</f>
        <v/>
      </c>
      <c r="W40" s="41">
        <f>H40/$O40</f>
        <v/>
      </c>
      <c r="X40" s="41">
        <f>I40/$O40</f>
        <v/>
      </c>
      <c r="Y40" s="41">
        <f>J40/$O40</f>
        <v/>
      </c>
      <c r="Z40" s="41">
        <f>K40/$O40</f>
        <v/>
      </c>
      <c r="AA40" s="41">
        <f>L40/$O40</f>
        <v/>
      </c>
      <c r="AB40" s="41">
        <f>M40/$O40</f>
        <v/>
      </c>
      <c r="AC40" s="41">
        <f>N40/$O40</f>
        <v/>
      </c>
      <c r="AD40" s="41">
        <f>SUM(U40:AB40)</f>
        <v/>
      </c>
      <c r="AE40" s="42">
        <f>AC40+AD40</f>
        <v/>
      </c>
      <c r="AF40" s="42">
        <f>SUM(Q40:T40)</f>
        <v/>
      </c>
      <c r="AG40">
        <f>YEAR(A40)</f>
        <v/>
      </c>
      <c r="AH40">
        <f>MONTH(A40)</f>
        <v/>
      </c>
      <c r="AI40">
        <f>AI39+1</f>
        <v/>
      </c>
    </row>
    <row r="41" hidden="1" ht="15.75" customHeight="1" s="259">
      <c r="O41">
        <f>SUM(B41:N41)</f>
        <v/>
      </c>
      <c r="P41" s="32" t="n"/>
      <c r="Q41" s="41">
        <f>B41/$O41</f>
        <v/>
      </c>
      <c r="R41" s="41">
        <f>C41/$O41</f>
        <v/>
      </c>
      <c r="S41" s="41">
        <f>D41/$O41</f>
        <v/>
      </c>
      <c r="T41" s="41">
        <f>E41/$O41</f>
        <v/>
      </c>
      <c r="U41" s="41">
        <f>F41/$O41</f>
        <v/>
      </c>
      <c r="V41" s="41">
        <f>G41/$O41</f>
        <v/>
      </c>
      <c r="W41" s="41">
        <f>H41/$O41</f>
        <v/>
      </c>
      <c r="X41" s="41">
        <f>I41/$O41</f>
        <v/>
      </c>
      <c r="Y41" s="41">
        <f>J41/$O41</f>
        <v/>
      </c>
      <c r="Z41" s="41">
        <f>K41/$O41</f>
        <v/>
      </c>
      <c r="AA41" s="41">
        <f>L41/$O41</f>
        <v/>
      </c>
      <c r="AB41" s="41">
        <f>M41/$O41</f>
        <v/>
      </c>
      <c r="AC41" s="41">
        <f>N41/$O41</f>
        <v/>
      </c>
      <c r="AD41" s="41">
        <f>SUM(U41:AB41)</f>
        <v/>
      </c>
      <c r="AE41" s="42">
        <f>AC41+AD41</f>
        <v/>
      </c>
      <c r="AF41" s="42">
        <f>SUM(Q41:T41)</f>
        <v/>
      </c>
      <c r="AG41">
        <f>YEAR(A41)</f>
        <v/>
      </c>
      <c r="AH41">
        <f>MONTH(A41)</f>
        <v/>
      </c>
      <c r="AI41">
        <f>AI40+1</f>
        <v/>
      </c>
    </row>
    <row r="42" ht="15.75" customFormat="1" customHeight="1" s="2">
      <c r="B42" s="11" t="n"/>
      <c r="C42" s="11" t="n"/>
      <c r="D42" s="11" t="n"/>
      <c r="E42" s="11" t="n"/>
      <c r="F42" s="11" t="n"/>
      <c r="G42" s="11" t="n"/>
      <c r="H42" s="11" t="n"/>
      <c r="I42" s="11" t="n"/>
      <c r="J42" s="11" t="n"/>
      <c r="K42" s="11" t="n"/>
      <c r="L42" s="11" t="n"/>
      <c r="M42" s="11" t="n"/>
      <c r="N42" s="11" t="n"/>
      <c r="O42" s="11" t="n"/>
      <c r="P42" s="32" t="n"/>
      <c r="Q42" s="78" t="n"/>
      <c r="R42" s="78" t="n"/>
      <c r="S42" s="78" t="n"/>
      <c r="T42" s="78" t="n"/>
      <c r="U42" s="78" t="n"/>
      <c r="V42" s="78" t="n"/>
      <c r="W42" s="78" t="n"/>
      <c r="X42" s="78" t="n"/>
      <c r="Y42" s="78" t="n"/>
      <c r="Z42" s="78" t="n"/>
      <c r="AA42" s="78" t="n"/>
      <c r="AB42" s="78" t="n"/>
      <c r="AC42" s="78" t="n"/>
      <c r="AD42" s="78" t="n"/>
    </row>
    <row r="43" ht="15.75" customFormat="1" customHeight="1" s="2">
      <c r="J43" s="59" t="n"/>
      <c r="L43" s="59" t="n"/>
      <c r="M43" s="59" t="n"/>
      <c r="N43" s="59" t="n"/>
      <c r="O43" s="59" t="n"/>
      <c r="P43" s="32" t="n"/>
      <c r="Q43" s="59" t="n"/>
      <c r="R43" s="59" t="n"/>
      <c r="S43" s="59" t="n"/>
      <c r="T43" s="59" t="n"/>
      <c r="U43" s="59" t="n"/>
      <c r="V43" s="59" t="n"/>
      <c r="W43" s="59" t="n"/>
      <c r="X43" s="59" t="n"/>
      <c r="Y43" s="59" t="n"/>
      <c r="Z43" s="59" t="n"/>
      <c r="AA43" s="59" t="n"/>
      <c r="AB43" s="59" t="n"/>
      <c r="AC43" s="11" t="n"/>
    </row>
    <row r="44" ht="15.75" customFormat="1" customHeight="1" s="2">
      <c r="B44" s="11" t="n"/>
      <c r="C44" s="11" t="n"/>
      <c r="D44" s="11" t="n"/>
      <c r="E44" s="11" t="n"/>
      <c r="F44" s="11" t="n"/>
      <c r="G44" s="11" t="n"/>
      <c r="H44" s="11" t="n"/>
      <c r="I44" s="11" t="n"/>
      <c r="J44" s="11" t="n"/>
      <c r="K44" s="11" t="n"/>
      <c r="L44" s="11" t="n"/>
      <c r="M44" s="11" t="n"/>
      <c r="N44" s="11" t="n"/>
      <c r="O44" s="11" t="n"/>
      <c r="P44" s="32" t="inlineStr">
        <is>
          <t>GM</t>
        </is>
      </c>
      <c r="Q44" s="54">
        <f>AVERAGE(Q2:Q33)</f>
        <v/>
      </c>
      <c r="R44" s="54">
        <f>AVERAGE(R2:R33)</f>
        <v/>
      </c>
      <c r="S44" s="54">
        <f>AVERAGE(S2:S33)</f>
        <v/>
      </c>
      <c r="T44" s="54">
        <f>AVERAGE(T2:T33)</f>
        <v/>
      </c>
      <c r="U44" s="55">
        <f>AVERAGE(U2:U33)</f>
        <v/>
      </c>
      <c r="V44" s="55">
        <f>AVERAGE(V2:V33)</f>
        <v/>
      </c>
      <c r="W44" s="55">
        <f>AVERAGE(W2:W33)</f>
        <v/>
      </c>
      <c r="X44" s="55">
        <f>AVERAGE(X2:X33)</f>
        <v/>
      </c>
      <c r="Y44" s="55">
        <f>AVERAGE(Y2:Y33)</f>
        <v/>
      </c>
      <c r="Z44" s="55">
        <f>AVERAGE(Z2:Z33)</f>
        <v/>
      </c>
      <c r="AA44" s="55">
        <f>AVERAGE(AA2:AA33)</f>
        <v/>
      </c>
      <c r="AB44" s="55">
        <f>AVERAGE(AB2:AB33)</f>
        <v/>
      </c>
      <c r="AC44" s="49">
        <f>AVERAGE(AC2:AC33)</f>
        <v/>
      </c>
      <c r="AD44" s="55">
        <f>AVERAGE(AD2:AD33)</f>
        <v/>
      </c>
      <c r="AE44" s="51">
        <f>AVERAGE(AE2:AE33)</f>
        <v/>
      </c>
      <c r="AF44" s="51" t="n"/>
    </row>
    <row r="45" ht="15.75" customHeight="1" s="259">
      <c r="P45" s="32" t="n"/>
    </row>
    <row r="46" ht="15.75" customHeight="1" s="259">
      <c r="P46" s="38" t="n">
        <v>2024</v>
      </c>
      <c r="Q46" s="91">
        <f>AVERAGE(Q28:Q33)</f>
        <v/>
      </c>
      <c r="R46" s="91">
        <f>AVERAGE(R28:R33)</f>
        <v/>
      </c>
      <c r="S46" s="91">
        <f>AVERAGE(S28:S33)</f>
        <v/>
      </c>
      <c r="T46" s="91">
        <f>AVERAGE(T28:T33)</f>
        <v/>
      </c>
      <c r="U46" s="91">
        <f>AVERAGE(U28:U33)</f>
        <v/>
      </c>
      <c r="V46" s="91">
        <f>AVERAGE(V28:V33)</f>
        <v/>
      </c>
      <c r="W46" s="91">
        <f>AVERAGE(W28:W33)</f>
        <v/>
      </c>
      <c r="X46" s="91">
        <f>AVERAGE(X28:X33)</f>
        <v/>
      </c>
      <c r="Y46" s="91">
        <f>AVERAGE(Y28:Y33)</f>
        <v/>
      </c>
      <c r="Z46" s="91">
        <f>AVERAGE(Z28:Z33)</f>
        <v/>
      </c>
      <c r="AA46" s="91">
        <f>AVERAGE(AA28:AA33)</f>
        <v/>
      </c>
      <c r="AB46" s="91">
        <f>AVERAGE(AB28:AB33)</f>
        <v/>
      </c>
      <c r="AC46" s="91">
        <f>AVERAGE(AC28:AC33)</f>
        <v/>
      </c>
      <c r="AD46" s="91">
        <f>AVERAGE(AD28:AD33)</f>
        <v/>
      </c>
      <c r="AE46" s="91">
        <f>AVERAGE(AE28:AE33)</f>
        <v/>
      </c>
      <c r="AF46" s="91" t="n"/>
    </row>
    <row r="47" ht="15.75" customHeight="1" s="259">
      <c r="P47" s="92" t="inlineStr">
        <is>
          <t>Janvier</t>
        </is>
      </c>
      <c r="Q47" s="94" t="inlineStr">
        <is>
          <t>/</t>
        </is>
      </c>
      <c r="R47" s="94" t="inlineStr">
        <is>
          <t>/</t>
        </is>
      </c>
      <c r="S47" s="94" t="inlineStr">
        <is>
          <t>/</t>
        </is>
      </c>
      <c r="T47" s="94" t="inlineStr">
        <is>
          <t>/</t>
        </is>
      </c>
      <c r="U47" s="94" t="inlineStr">
        <is>
          <t>/</t>
        </is>
      </c>
      <c r="V47" s="94" t="inlineStr">
        <is>
          <t>/</t>
        </is>
      </c>
      <c r="W47" s="94" t="inlineStr">
        <is>
          <t>/</t>
        </is>
      </c>
      <c r="X47" s="94" t="inlineStr">
        <is>
          <t>/</t>
        </is>
      </c>
      <c r="Y47" s="94" t="inlineStr">
        <is>
          <t>/</t>
        </is>
      </c>
      <c r="Z47" s="94" t="inlineStr">
        <is>
          <t>/</t>
        </is>
      </c>
      <c r="AA47" s="94" t="inlineStr">
        <is>
          <t>/</t>
        </is>
      </c>
      <c r="AB47" s="94" t="inlineStr">
        <is>
          <t>/</t>
        </is>
      </c>
      <c r="AC47" s="94" t="inlineStr">
        <is>
          <t>/</t>
        </is>
      </c>
      <c r="AD47" s="94" t="inlineStr">
        <is>
          <t>/</t>
        </is>
      </c>
      <c r="AE47" s="94" t="inlineStr">
        <is>
          <t>/</t>
        </is>
      </c>
      <c r="AF47" s="94" t="n"/>
    </row>
    <row r="48" ht="15.75" customHeight="1" s="259">
      <c r="P48" s="92" t="inlineStr">
        <is>
          <t>Février</t>
        </is>
      </c>
      <c r="Q48" s="94" t="inlineStr">
        <is>
          <t>/</t>
        </is>
      </c>
      <c r="R48" s="94" t="inlineStr">
        <is>
          <t>/</t>
        </is>
      </c>
      <c r="S48" s="94" t="inlineStr">
        <is>
          <t>/</t>
        </is>
      </c>
      <c r="T48" s="94" t="inlineStr">
        <is>
          <t>/</t>
        </is>
      </c>
      <c r="U48" s="94" t="inlineStr">
        <is>
          <t>/</t>
        </is>
      </c>
      <c r="V48" s="94" t="inlineStr">
        <is>
          <t>/</t>
        </is>
      </c>
      <c r="W48" s="94" t="inlineStr">
        <is>
          <t>/</t>
        </is>
      </c>
      <c r="X48" s="94" t="inlineStr">
        <is>
          <t>/</t>
        </is>
      </c>
      <c r="Y48" s="94" t="inlineStr">
        <is>
          <t>/</t>
        </is>
      </c>
      <c r="Z48" s="94" t="inlineStr">
        <is>
          <t>/</t>
        </is>
      </c>
      <c r="AA48" s="94" t="inlineStr">
        <is>
          <t>/</t>
        </is>
      </c>
      <c r="AB48" s="94" t="inlineStr">
        <is>
          <t>/</t>
        </is>
      </c>
      <c r="AC48" s="94" t="inlineStr">
        <is>
          <t>/</t>
        </is>
      </c>
      <c r="AD48" s="94" t="inlineStr">
        <is>
          <t>/</t>
        </is>
      </c>
      <c r="AE48" s="94" t="inlineStr">
        <is>
          <t>/</t>
        </is>
      </c>
      <c r="AF48" s="94" t="n"/>
    </row>
    <row r="49" ht="15.75" customHeight="1" s="259">
      <c r="P49" s="92" t="inlineStr">
        <is>
          <t>Mars</t>
        </is>
      </c>
      <c r="Q49" s="94" t="inlineStr">
        <is>
          <t>/</t>
        </is>
      </c>
      <c r="R49" s="94" t="inlineStr">
        <is>
          <t>/</t>
        </is>
      </c>
      <c r="S49" s="94" t="inlineStr">
        <is>
          <t>/</t>
        </is>
      </c>
      <c r="T49" s="94" t="inlineStr">
        <is>
          <t>/</t>
        </is>
      </c>
      <c r="U49" s="94" t="inlineStr">
        <is>
          <t>/</t>
        </is>
      </c>
      <c r="V49" s="94" t="inlineStr">
        <is>
          <t>/</t>
        </is>
      </c>
      <c r="W49" s="94" t="inlineStr">
        <is>
          <t>/</t>
        </is>
      </c>
      <c r="X49" s="94" t="inlineStr">
        <is>
          <t>/</t>
        </is>
      </c>
      <c r="Y49" s="94" t="inlineStr">
        <is>
          <t>/</t>
        </is>
      </c>
      <c r="Z49" s="94" t="inlineStr">
        <is>
          <t>/</t>
        </is>
      </c>
      <c r="AA49" s="94" t="inlineStr">
        <is>
          <t>/</t>
        </is>
      </c>
      <c r="AB49" s="94" t="inlineStr">
        <is>
          <t>/</t>
        </is>
      </c>
      <c r="AC49" s="94" t="inlineStr">
        <is>
          <t>/</t>
        </is>
      </c>
      <c r="AD49" s="94" t="inlineStr">
        <is>
          <t>/</t>
        </is>
      </c>
      <c r="AE49" s="94" t="inlineStr">
        <is>
          <t>/</t>
        </is>
      </c>
    </row>
    <row r="50" ht="15.75" customHeight="1" s="259">
      <c r="P50" s="92" t="inlineStr">
        <is>
          <t>Avril</t>
        </is>
      </c>
      <c r="Q50" s="108">
        <f>AVERAGE(Q32)</f>
        <v/>
      </c>
      <c r="R50" s="108">
        <f>AVERAGE(R32)</f>
        <v/>
      </c>
      <c r="S50" s="108">
        <f>AVERAGE(S32)</f>
        <v/>
      </c>
      <c r="T50" s="108">
        <f>AVERAGE(T32)</f>
        <v/>
      </c>
      <c r="U50" s="108">
        <f>AVERAGE(U32)</f>
        <v/>
      </c>
      <c r="V50" s="108">
        <f>AVERAGE(V32)</f>
        <v/>
      </c>
      <c r="W50" s="108">
        <f>AVERAGE(W32)</f>
        <v/>
      </c>
      <c r="X50" s="108">
        <f>AVERAGE(X32)</f>
        <v/>
      </c>
      <c r="Y50" s="108">
        <f>AVERAGE(Y32)</f>
        <v/>
      </c>
      <c r="Z50" s="108">
        <f>AVERAGE(Z32)</f>
        <v/>
      </c>
      <c r="AA50" s="108">
        <f>AVERAGE(AA32)</f>
        <v/>
      </c>
      <c r="AB50" s="108">
        <f>AVERAGE(AB32)</f>
        <v/>
      </c>
      <c r="AC50" s="108">
        <f>AVERAGE(AC32)</f>
        <v/>
      </c>
      <c r="AD50" s="108">
        <f>AVERAGE(AD32)</f>
        <v/>
      </c>
      <c r="AE50" s="108">
        <f>AVERAGE(AE32)</f>
        <v/>
      </c>
    </row>
    <row r="51" ht="15.75" customHeight="1" s="259">
      <c r="P51" s="92" t="inlineStr">
        <is>
          <t>Juin</t>
        </is>
      </c>
      <c r="Q51" s="108">
        <f>AVERAGE(Q33)</f>
        <v/>
      </c>
      <c r="R51" s="108">
        <f>AVERAGE(R33)</f>
        <v/>
      </c>
      <c r="S51" s="108">
        <f>AVERAGE(S33)</f>
        <v/>
      </c>
      <c r="T51" s="108">
        <f>AVERAGE(T33)</f>
        <v/>
      </c>
      <c r="U51" s="108">
        <f>AVERAGE(U33)</f>
        <v/>
      </c>
      <c r="V51" s="108">
        <f>AVERAGE(V33)</f>
        <v/>
      </c>
      <c r="W51" s="108">
        <f>AVERAGE(W33)</f>
        <v/>
      </c>
      <c r="X51" s="108">
        <f>AVERAGE(X33)</f>
        <v/>
      </c>
      <c r="Y51" s="108">
        <f>AVERAGE(Y33)</f>
        <v/>
      </c>
      <c r="Z51" s="108">
        <f>AVERAGE(Z33)</f>
        <v/>
      </c>
      <c r="AA51" s="108">
        <f>AVERAGE(AA33)</f>
        <v/>
      </c>
      <c r="AB51" s="108">
        <f>AVERAGE(AB33)</f>
        <v/>
      </c>
      <c r="AC51" s="108">
        <f>AVERAGE(AC33)</f>
        <v/>
      </c>
      <c r="AD51" s="108">
        <f>AVERAGE(AD33)</f>
        <v/>
      </c>
      <c r="AE51" s="108">
        <f>AVERAGE(AE33)</f>
        <v/>
      </c>
    </row>
    <row r="52" ht="15.75" customHeight="1" s="259">
      <c r="P52" s="92" t="inlineStr">
        <is>
          <t>Juillet</t>
        </is>
      </c>
      <c r="Q52" s="94" t="inlineStr">
        <is>
          <t>/</t>
        </is>
      </c>
      <c r="R52" s="94" t="inlineStr">
        <is>
          <t>/</t>
        </is>
      </c>
      <c r="S52" s="94" t="inlineStr">
        <is>
          <t>/</t>
        </is>
      </c>
      <c r="T52" s="94" t="inlineStr">
        <is>
          <t>/</t>
        </is>
      </c>
      <c r="U52" s="94" t="inlineStr">
        <is>
          <t>/</t>
        </is>
      </c>
      <c r="V52" s="94" t="inlineStr">
        <is>
          <t>/</t>
        </is>
      </c>
      <c r="W52" s="94" t="inlineStr">
        <is>
          <t>/</t>
        </is>
      </c>
      <c r="X52" s="94" t="inlineStr">
        <is>
          <t>/</t>
        </is>
      </c>
      <c r="Y52" s="94" t="inlineStr">
        <is>
          <t>/</t>
        </is>
      </c>
      <c r="Z52" s="94" t="inlineStr">
        <is>
          <t>/</t>
        </is>
      </c>
      <c r="AA52" s="94" t="inlineStr">
        <is>
          <t>/</t>
        </is>
      </c>
      <c r="AB52" s="94" t="inlineStr">
        <is>
          <t>/</t>
        </is>
      </c>
      <c r="AC52" s="94" t="inlineStr">
        <is>
          <t>/</t>
        </is>
      </c>
      <c r="AD52" s="94" t="inlineStr">
        <is>
          <t>/</t>
        </is>
      </c>
      <c r="AE52" s="94" t="inlineStr">
        <is>
          <t>/</t>
        </is>
      </c>
    </row>
    <row r="53" ht="15.75" customHeight="1" s="259">
      <c r="P53" s="92" t="inlineStr">
        <is>
          <t>Aout</t>
        </is>
      </c>
      <c r="Q53" s="94" t="inlineStr">
        <is>
          <t>/</t>
        </is>
      </c>
      <c r="R53" s="94" t="inlineStr">
        <is>
          <t>/</t>
        </is>
      </c>
      <c r="S53" s="94" t="inlineStr">
        <is>
          <t>/</t>
        </is>
      </c>
      <c r="T53" s="94" t="inlineStr">
        <is>
          <t>/</t>
        </is>
      </c>
      <c r="U53" s="94" t="inlineStr">
        <is>
          <t>/</t>
        </is>
      </c>
      <c r="V53" s="94" t="inlineStr">
        <is>
          <t>/</t>
        </is>
      </c>
      <c r="W53" s="94" t="inlineStr">
        <is>
          <t>/</t>
        </is>
      </c>
      <c r="X53" s="94" t="inlineStr">
        <is>
          <t>/</t>
        </is>
      </c>
      <c r="Y53" s="94" t="inlineStr">
        <is>
          <t>/</t>
        </is>
      </c>
      <c r="Z53" s="94" t="inlineStr">
        <is>
          <t>/</t>
        </is>
      </c>
      <c r="AA53" s="94" t="inlineStr">
        <is>
          <t>/</t>
        </is>
      </c>
      <c r="AB53" s="94" t="inlineStr">
        <is>
          <t>/</t>
        </is>
      </c>
      <c r="AC53" s="94" t="inlineStr">
        <is>
          <t>/</t>
        </is>
      </c>
      <c r="AD53" s="94" t="inlineStr">
        <is>
          <t>/</t>
        </is>
      </c>
      <c r="AE53" s="94" t="inlineStr">
        <is>
          <t>/</t>
        </is>
      </c>
    </row>
    <row r="54" ht="15.75" customHeight="1" s="259">
      <c r="P54" s="92" t="inlineStr">
        <is>
          <t>Septembre</t>
        </is>
      </c>
      <c r="Q54" s="94" t="inlineStr">
        <is>
          <t>/</t>
        </is>
      </c>
      <c r="R54" s="94" t="inlineStr">
        <is>
          <t>/</t>
        </is>
      </c>
      <c r="S54" s="94" t="inlineStr">
        <is>
          <t>/</t>
        </is>
      </c>
      <c r="T54" s="94" t="inlineStr">
        <is>
          <t>/</t>
        </is>
      </c>
      <c r="U54" s="94" t="inlineStr">
        <is>
          <t>/</t>
        </is>
      </c>
      <c r="V54" s="94" t="inlineStr">
        <is>
          <t>/</t>
        </is>
      </c>
      <c r="W54" s="94" t="inlineStr">
        <is>
          <t>/</t>
        </is>
      </c>
      <c r="X54" s="94" t="inlineStr">
        <is>
          <t>/</t>
        </is>
      </c>
      <c r="Y54" s="94" t="inlineStr">
        <is>
          <t>/</t>
        </is>
      </c>
      <c r="Z54" s="94" t="inlineStr">
        <is>
          <t>/</t>
        </is>
      </c>
      <c r="AA54" s="94" t="inlineStr">
        <is>
          <t>/</t>
        </is>
      </c>
      <c r="AB54" s="94" t="inlineStr">
        <is>
          <t>/</t>
        </is>
      </c>
      <c r="AC54" s="94" t="inlineStr">
        <is>
          <t>/</t>
        </is>
      </c>
      <c r="AD54" s="94" t="inlineStr">
        <is>
          <t>/</t>
        </is>
      </c>
      <c r="AE54" s="94" t="inlineStr">
        <is>
          <t>/</t>
        </is>
      </c>
    </row>
    <row r="55" ht="15.75" customHeight="1" s="259">
      <c r="P55" s="92" t="inlineStr">
        <is>
          <t>Octobre</t>
        </is>
      </c>
      <c r="Q55" s="94" t="n"/>
      <c r="R55" s="94" t="n"/>
      <c r="S55" s="94" t="n"/>
      <c r="T55" s="94" t="n"/>
      <c r="U55" s="94" t="n"/>
      <c r="V55" s="94" t="n"/>
      <c r="W55" s="94" t="n"/>
      <c r="X55" s="94" t="n"/>
      <c r="Y55" s="94" t="n"/>
      <c r="Z55" s="94" t="n"/>
      <c r="AA55" s="94" t="n"/>
      <c r="AB55" s="94" t="n"/>
      <c r="AC55" s="94" t="n"/>
      <c r="AD55" s="94" t="n"/>
      <c r="AE55" s="94" t="n"/>
    </row>
    <row r="56" ht="15.75" customHeight="1" s="259">
      <c r="P56" s="92" t="inlineStr">
        <is>
          <t>Novembre</t>
        </is>
      </c>
    </row>
    <row r="57" ht="15.75" customHeight="1" s="259">
      <c r="P57" s="92" t="inlineStr">
        <is>
          <t>Decembre</t>
        </is>
      </c>
    </row>
  </sheetData>
  <autoFilter ref="A1:O41">
    <filterColumn colId="0" hiddenButton="0" showButton="1">
      <filters>
        <dateGroupItem year="2024" dateTimeGrouping="year"/>
      </filters>
    </filterColumn>
  </autoFilter>
  <pageMargins left="0.7086614173228347" right="0.7086614173228347" top="0.7480314960629921" bottom="0.7480314960629921" header="0.3149606299212598" footer="0.3149606299212598"/>
  <pageSetup orientation="landscape" paperSize="9" scale="31"/>
</worksheet>
</file>

<file path=xl/worksheets/sheet11.xml><?xml version="1.0" encoding="utf-8"?>
<worksheet xmlns="http://schemas.openxmlformats.org/spreadsheetml/2006/main">
  <sheetPr codeName="Feuil9" filterMode="1">
    <tabColor rgb="FFFFC000"/>
    <outlinePr summaryBelow="1" summaryRight="1"/>
    <pageSetUpPr fitToPage="1"/>
  </sheetPr>
  <dimension ref="A1:AQ85"/>
  <sheetViews>
    <sheetView zoomScale="55" zoomScaleNormal="55" workbookViewId="0">
      <pane ySplit="1" topLeftCell="A52" activePane="bottomLeft" state="frozen"/>
      <selection activeCell="H12" sqref="H12"/>
      <selection pane="bottomLeft" activeCell="H12" sqref="H12"/>
    </sheetView>
  </sheetViews>
  <sheetFormatPr baseColWidth="10" defaultRowHeight="20.25"/>
  <cols>
    <col width="18.42578125" customWidth="1" style="259" min="1" max="1"/>
    <col width="11.7109375" bestFit="1" customWidth="1" style="259" min="2" max="2"/>
    <col width="12.7109375" customWidth="1" style="259" min="3" max="3"/>
    <col width="13.28515625" customWidth="1" style="259" min="4" max="4"/>
    <col width="11.7109375" bestFit="1" customWidth="1" style="259" min="5" max="6"/>
    <col width="15.7109375" customWidth="1" style="259" min="7" max="7"/>
    <col width="16.42578125" customWidth="1" style="259" min="8" max="8"/>
    <col width="15.7109375" customWidth="1" style="259" min="9" max="9"/>
    <col width="18" customWidth="1" style="259" min="10" max="10"/>
    <col width="15.7109375" customWidth="1" style="259" min="11" max="12"/>
    <col width="16.7109375" bestFit="1" customWidth="1" style="259" min="13" max="15"/>
    <col width="11.7109375" bestFit="1" customWidth="1" style="259" min="16" max="16"/>
    <col width="13.7109375" customWidth="1" style="259" min="17" max="17"/>
    <col width="13.28515625" customWidth="1" style="38" min="19" max="19"/>
    <col width="12.28515625" bestFit="1" customWidth="1" style="259" min="20" max="24"/>
    <col width="14.7109375" bestFit="1" customWidth="1" style="259" min="25" max="25"/>
    <col width="17.7109375" customWidth="1" style="259" min="26" max="26"/>
    <col width="14.7109375" bestFit="1" customWidth="1" style="259" min="27" max="27"/>
    <col width="17.42578125" customWidth="1" style="259" min="28" max="28"/>
    <col width="12.28515625" bestFit="1" customWidth="1" style="259" min="29" max="29"/>
    <col width="13.42578125" customWidth="1" style="259" min="30" max="30"/>
    <col width="12.28515625" bestFit="1" customWidth="1" style="259" min="31" max="33"/>
    <col width="13.7109375" customWidth="1" style="259" min="34" max="34"/>
    <col width="12.28515625" bestFit="1" customWidth="1" style="259" min="35" max="37"/>
  </cols>
  <sheetData>
    <row r="1" ht="108" customHeight="1" s="259">
      <c r="A1" s="38" t="inlineStr">
        <is>
          <t>Date</t>
        </is>
      </c>
      <c r="B1" s="38" t="inlineStr">
        <is>
          <t>JRM</t>
        </is>
      </c>
      <c r="C1" s="38" t="inlineStr">
        <is>
          <t>Cartons 1.05</t>
        </is>
      </c>
      <c r="D1" s="38" t="inlineStr">
        <is>
          <t>Cartons 1.04</t>
        </is>
      </c>
      <c r="E1" s="38" t="inlineStr">
        <is>
          <t>GM</t>
        </is>
      </c>
      <c r="F1" s="37" t="inlineStr">
        <is>
          <t>ELA</t>
        </is>
      </c>
      <c r="G1" s="36" t="inlineStr">
        <is>
          <t>PET Q7 bouteilles</t>
        </is>
      </c>
      <c r="H1" s="36" t="inlineStr">
        <is>
          <t>PET Q7 barquettes</t>
        </is>
      </c>
      <c r="I1" s="37" t="inlineStr">
        <is>
          <t>PET Q8 bouteilles</t>
        </is>
      </c>
      <c r="J1" s="37" t="inlineStr">
        <is>
          <t>PET Q8 Barquettes</t>
        </is>
      </c>
      <c r="K1" s="37" t="inlineStr">
        <is>
          <t>PET Q8 Opaque</t>
        </is>
      </c>
      <c r="L1" s="37" t="inlineStr">
        <is>
          <t>PEPPPS</t>
        </is>
      </c>
      <c r="M1" s="37" t="inlineStr">
        <is>
          <t>films</t>
        </is>
      </c>
      <c r="N1" s="38" t="inlineStr">
        <is>
          <t>acier</t>
        </is>
      </c>
      <c r="O1" s="38" t="inlineStr">
        <is>
          <t>alu</t>
        </is>
      </c>
      <c r="P1" s="38" t="inlineStr">
        <is>
          <t>petits alu</t>
        </is>
      </c>
      <c r="Q1" s="39" t="inlineStr">
        <is>
          <t>refus indésirables</t>
        </is>
      </c>
      <c r="R1" s="38" t="inlineStr">
        <is>
          <t>TOTAL</t>
        </is>
      </c>
      <c r="T1" s="38" t="inlineStr">
        <is>
          <t>JRM</t>
        </is>
      </c>
      <c r="U1" s="38" t="inlineStr">
        <is>
          <t>Cartons 1.05</t>
        </is>
      </c>
      <c r="V1" s="38" t="inlineStr">
        <is>
          <t>Cartons 1.04</t>
        </is>
      </c>
      <c r="W1" s="38" t="inlineStr">
        <is>
          <t>GM</t>
        </is>
      </c>
      <c r="X1" s="38" t="inlineStr">
        <is>
          <t>ELA</t>
        </is>
      </c>
      <c r="Y1" s="36" t="inlineStr">
        <is>
          <t>PET Q7 bouteilles</t>
        </is>
      </c>
      <c r="Z1" s="36" t="inlineStr">
        <is>
          <t>PET Q7 barquettes</t>
        </is>
      </c>
      <c r="AA1" s="37" t="inlineStr">
        <is>
          <t>PET Q8 bouteilles</t>
        </is>
      </c>
      <c r="AB1" s="37" t="inlineStr">
        <is>
          <t>PET Q8 Barquettes</t>
        </is>
      </c>
      <c r="AC1" s="37" t="inlineStr">
        <is>
          <t>PET Q8 Opaque</t>
        </is>
      </c>
      <c r="AD1" s="38" t="inlineStr">
        <is>
          <t>PEPPPS</t>
        </is>
      </c>
      <c r="AE1" s="38" t="inlineStr">
        <is>
          <t>films</t>
        </is>
      </c>
      <c r="AF1" s="38" t="inlineStr">
        <is>
          <t>acier</t>
        </is>
      </c>
      <c r="AG1" s="38" t="inlineStr">
        <is>
          <t>alu</t>
        </is>
      </c>
      <c r="AH1" s="38" t="inlineStr">
        <is>
          <t>petits alu</t>
        </is>
      </c>
      <c r="AI1" s="39" t="inlineStr">
        <is>
          <t>refus indésirables</t>
        </is>
      </c>
      <c r="AJ1" s="32" t="inlineStr">
        <is>
          <t>TOTAL refus fibreux valorisables</t>
        </is>
      </c>
      <c r="AK1" s="31" t="inlineStr">
        <is>
          <t>TOTAL refus non fibreux valorisables</t>
        </is>
      </c>
      <c r="AL1" s="33" t="inlineStr">
        <is>
          <t xml:space="preserve">TOTAL REFUS </t>
        </is>
      </c>
      <c r="AM1" s="31" t="inlineStr">
        <is>
          <t>TOTAL REFUS + refus non fibreux</t>
        </is>
      </c>
      <c r="AN1" s="38" t="inlineStr">
        <is>
          <t>Q7</t>
        </is>
      </c>
      <c r="AO1" s="38" t="inlineStr">
        <is>
          <t>Annee</t>
        </is>
      </c>
      <c r="AP1" s="38" t="inlineStr">
        <is>
          <t>Mois</t>
        </is>
      </c>
      <c r="AQ1" s="38" t="inlineStr">
        <is>
          <t>Nb caract</t>
        </is>
      </c>
    </row>
    <row r="2" hidden="1" ht="15.75" customHeight="1" s="259">
      <c r="A2" s="7" t="n">
        <v>44610</v>
      </c>
      <c r="G2" t="n">
        <v>10.89</v>
      </c>
      <c r="H2" t="n">
        <v>1.52</v>
      </c>
      <c r="L2" t="n">
        <v>0.07000000000000001</v>
      </c>
      <c r="O2" t="n">
        <v>0.05</v>
      </c>
      <c r="Q2" t="n">
        <v>0</v>
      </c>
      <c r="R2">
        <f>SUM(B2:Q2)</f>
        <v/>
      </c>
      <c r="T2" s="41">
        <f>(B2/$R2)</f>
        <v/>
      </c>
      <c r="U2" s="41">
        <f>(C2/$R2)</f>
        <v/>
      </c>
      <c r="V2" s="41">
        <f>(D2/$R2)</f>
        <v/>
      </c>
      <c r="W2" s="41">
        <f>(E2/$R2)</f>
        <v/>
      </c>
      <c r="X2" s="41">
        <f>(F2/$R2)</f>
        <v/>
      </c>
      <c r="Y2" s="41">
        <f>(G2/$R2)</f>
        <v/>
      </c>
      <c r="Z2" s="41">
        <f>(H2/$R2)</f>
        <v/>
      </c>
      <c r="AA2" s="41">
        <f>(I2/$R2)</f>
        <v/>
      </c>
      <c r="AB2" s="41">
        <f>(J2/$R2)</f>
        <v/>
      </c>
      <c r="AC2" s="41">
        <f>(K2/$R2)</f>
        <v/>
      </c>
      <c r="AD2" s="41">
        <f>(L2/$R2)</f>
        <v/>
      </c>
      <c r="AE2" s="41">
        <f>(M2/$R2)</f>
        <v/>
      </c>
      <c r="AF2" s="41">
        <f>(N2/$R2)</f>
        <v/>
      </c>
      <c r="AG2" s="41">
        <f>(O2/$R2)</f>
        <v/>
      </c>
      <c r="AH2" s="41">
        <f>(P2/$R2)</f>
        <v/>
      </c>
      <c r="AI2" s="41">
        <f>(Q2/$R2)</f>
        <v/>
      </c>
      <c r="AJ2" s="41">
        <f>SUM(T2:W2)</f>
        <v/>
      </c>
      <c r="AK2" s="41">
        <f>SUM(AA2:AE2)+X2</f>
        <v/>
      </c>
      <c r="AL2" s="43">
        <f>AI2+AJ2+AF2+AG2+AH2</f>
        <v/>
      </c>
      <c r="AM2" s="41">
        <f>AL2+AK2</f>
        <v/>
      </c>
      <c r="AN2" s="41" t="n"/>
    </row>
    <row r="3" hidden="1" ht="15.75" customHeight="1" s="259">
      <c r="A3" s="8" t="n">
        <v>36587</v>
      </c>
      <c r="G3" t="n">
        <v>12.48</v>
      </c>
      <c r="H3" t="n">
        <v>1.39</v>
      </c>
      <c r="L3" t="n">
        <v>0.06</v>
      </c>
      <c r="P3" t="n">
        <v>0.06</v>
      </c>
      <c r="Q3" t="n">
        <v>0.04</v>
      </c>
      <c r="R3">
        <f>SUM(B3:Q3)</f>
        <v/>
      </c>
      <c r="T3" s="41">
        <f>(B3/$R3)</f>
        <v/>
      </c>
      <c r="U3" s="41">
        <f>(C3/$R3)</f>
        <v/>
      </c>
      <c r="V3" s="41">
        <f>(D3/$R3)</f>
        <v/>
      </c>
      <c r="W3" s="41">
        <f>(E3/$R3)</f>
        <v/>
      </c>
      <c r="X3" s="41">
        <f>(F3/$R3)</f>
        <v/>
      </c>
      <c r="Y3" s="41">
        <f>(G3/$R3)</f>
        <v/>
      </c>
      <c r="Z3" s="41">
        <f>(H3/$R3)</f>
        <v/>
      </c>
      <c r="AA3" s="41">
        <f>(I3/$R3)</f>
        <v/>
      </c>
      <c r="AB3" s="41">
        <f>(J3/$R3)</f>
        <v/>
      </c>
      <c r="AC3" s="41">
        <f>(K3/$R3)</f>
        <v/>
      </c>
      <c r="AD3" s="41">
        <f>(L3/$R3)</f>
        <v/>
      </c>
      <c r="AE3" s="41">
        <f>(M3/$R3)</f>
        <v/>
      </c>
      <c r="AF3" s="41">
        <f>(N3/$R3)</f>
        <v/>
      </c>
      <c r="AG3" s="41">
        <f>(O3/$R3)</f>
        <v/>
      </c>
      <c r="AH3" s="41">
        <f>(P3/$R3)</f>
        <v/>
      </c>
      <c r="AI3" s="41">
        <f>(Q3/$R3)</f>
        <v/>
      </c>
      <c r="AJ3" s="41">
        <f>SUM(T3:W3)</f>
        <v/>
      </c>
      <c r="AK3" s="41">
        <f>SUM(AA3:AE3)+X3</f>
        <v/>
      </c>
      <c r="AL3" s="43">
        <f>AI3+AJ3+AF3+AG3+AH3</f>
        <v/>
      </c>
      <c r="AM3" s="41">
        <f>AL3+AK3</f>
        <v/>
      </c>
      <c r="AN3" s="41" t="n"/>
    </row>
    <row r="4" hidden="1" ht="15.75" customHeight="1" s="259">
      <c r="A4" s="8" t="n">
        <v>44630</v>
      </c>
      <c r="B4" t="n">
        <v>0.02</v>
      </c>
      <c r="G4" t="n">
        <v>16.48</v>
      </c>
      <c r="H4" t="n">
        <v>1.78</v>
      </c>
      <c r="J4" t="n">
        <v>0.16</v>
      </c>
      <c r="L4" t="n">
        <v>0.16</v>
      </c>
      <c r="M4" t="n">
        <v>0.02</v>
      </c>
      <c r="O4" t="n">
        <v>0.08</v>
      </c>
      <c r="Q4" t="n">
        <v>0.08</v>
      </c>
      <c r="R4">
        <f>SUM(B4:Q4)</f>
        <v/>
      </c>
      <c r="T4" s="41">
        <f>(B4/$R4)</f>
        <v/>
      </c>
      <c r="U4" s="41">
        <f>(C4/$R4)</f>
        <v/>
      </c>
      <c r="V4" s="41">
        <f>(D4/$R4)</f>
        <v/>
      </c>
      <c r="W4" s="41">
        <f>(E4/$R4)</f>
        <v/>
      </c>
      <c r="X4" s="41">
        <f>(F4/$R4)</f>
        <v/>
      </c>
      <c r="Y4" s="41">
        <f>(G4/$R4)</f>
        <v/>
      </c>
      <c r="Z4" s="41">
        <f>(H4/$R4)</f>
        <v/>
      </c>
      <c r="AA4" s="41">
        <f>(I4/$R4)</f>
        <v/>
      </c>
      <c r="AB4" s="41">
        <f>(J4/$R4)</f>
        <v/>
      </c>
      <c r="AC4" s="41">
        <f>(K4/$R4)</f>
        <v/>
      </c>
      <c r="AD4" s="41">
        <f>(L4/$R4)</f>
        <v/>
      </c>
      <c r="AE4" s="41">
        <f>(M4/$R4)</f>
        <v/>
      </c>
      <c r="AF4" s="41">
        <f>(N4/$R4)</f>
        <v/>
      </c>
      <c r="AG4" s="41">
        <f>(O4/$R4)</f>
        <v/>
      </c>
      <c r="AH4" s="41">
        <f>(P4/$R4)</f>
        <v/>
      </c>
      <c r="AI4" s="41">
        <f>(Q4/$R4)</f>
        <v/>
      </c>
      <c r="AJ4" s="41">
        <f>SUM(T4:W4)</f>
        <v/>
      </c>
      <c r="AK4" s="41">
        <f>SUM(AA4:AE4)+X4</f>
        <v/>
      </c>
      <c r="AL4" s="43">
        <f>AI4+AJ4+AF4+AG4+AH4</f>
        <v/>
      </c>
      <c r="AM4" s="41">
        <f>AL4+AK4</f>
        <v/>
      </c>
      <c r="AN4" s="41" t="n"/>
    </row>
    <row r="5" hidden="1" ht="15.75" customHeight="1" s="259">
      <c r="A5" s="8" t="n">
        <v>44655</v>
      </c>
      <c r="D5" t="n">
        <v>0.24</v>
      </c>
      <c r="F5" t="n">
        <v>0.04</v>
      </c>
      <c r="G5" t="n">
        <v>17.18</v>
      </c>
      <c r="H5" t="n">
        <v>3.18</v>
      </c>
      <c r="I5" t="n">
        <v>0.16</v>
      </c>
      <c r="K5" t="n">
        <v>0.26</v>
      </c>
      <c r="L5" t="n">
        <v>0.1</v>
      </c>
      <c r="M5" t="n">
        <v>0.06</v>
      </c>
      <c r="N5" t="n">
        <v>0.08</v>
      </c>
      <c r="P5" t="n">
        <v>0.02</v>
      </c>
      <c r="Q5" t="n">
        <v>0.68</v>
      </c>
      <c r="R5">
        <f>SUM(B5:Q5)</f>
        <v/>
      </c>
      <c r="T5" s="41">
        <f>(B5/$R5)</f>
        <v/>
      </c>
      <c r="U5" s="41">
        <f>(C5/$R5)</f>
        <v/>
      </c>
      <c r="V5" s="41">
        <f>(D5/$R5)</f>
        <v/>
      </c>
      <c r="W5" s="41">
        <f>(E5/$R5)</f>
        <v/>
      </c>
      <c r="X5" s="41">
        <f>(F5/$R5)</f>
        <v/>
      </c>
      <c r="Y5" s="41">
        <f>(G5/$R5)</f>
        <v/>
      </c>
      <c r="Z5" s="41">
        <f>(H5/$R5)</f>
        <v/>
      </c>
      <c r="AA5" s="41">
        <f>(I5/$R5)</f>
        <v/>
      </c>
      <c r="AB5" s="41">
        <f>(J5/$R5)</f>
        <v/>
      </c>
      <c r="AC5" s="41">
        <f>(K5/$R5)</f>
        <v/>
      </c>
      <c r="AD5" s="41">
        <f>(L5/$R5)</f>
        <v/>
      </c>
      <c r="AE5" s="41">
        <f>(M5/$R5)</f>
        <v/>
      </c>
      <c r="AF5" s="41">
        <f>(N5/$R5)</f>
        <v/>
      </c>
      <c r="AG5" s="41">
        <f>(O5/$R5)</f>
        <v/>
      </c>
      <c r="AH5" s="41">
        <f>(P5/$R5)</f>
        <v/>
      </c>
      <c r="AI5" s="41">
        <f>(Q5/$R5)</f>
        <v/>
      </c>
      <c r="AJ5" s="41">
        <f>SUM(T5:W5)</f>
        <v/>
      </c>
      <c r="AK5" s="41">
        <f>SUM(AA5:AE5)+X5</f>
        <v/>
      </c>
      <c r="AL5" s="43">
        <f>AI5+AJ5+AF5+AG5+AH5</f>
        <v/>
      </c>
      <c r="AM5" s="41">
        <f>AL5+AK5</f>
        <v/>
      </c>
      <c r="AN5" s="41" t="n"/>
    </row>
    <row r="6" hidden="1" ht="15.75" customHeight="1" s="259">
      <c r="A6" s="8" t="n">
        <v>44665</v>
      </c>
      <c r="D6" t="n">
        <v>0.04</v>
      </c>
      <c r="G6" t="n">
        <v>16.8</v>
      </c>
      <c r="H6" t="n">
        <v>0.76</v>
      </c>
      <c r="I6" t="n">
        <v>0.14</v>
      </c>
      <c r="M6" t="n">
        <v>0.04</v>
      </c>
      <c r="Q6" t="n">
        <v>0.18</v>
      </c>
      <c r="R6">
        <f>SUM(B6:Q6)</f>
        <v/>
      </c>
      <c r="T6" s="41">
        <f>(B6/$R6)</f>
        <v/>
      </c>
      <c r="U6" s="41">
        <f>(C6/$R6)</f>
        <v/>
      </c>
      <c r="V6" s="41">
        <f>(D6/$R6)</f>
        <v/>
      </c>
      <c r="W6" s="41">
        <f>(E6/$R6)</f>
        <v/>
      </c>
      <c r="X6" s="41">
        <f>(F6/$R6)</f>
        <v/>
      </c>
      <c r="Y6" s="41">
        <f>(G6/$R6)</f>
        <v/>
      </c>
      <c r="Z6" s="41">
        <f>(H6/$R6)</f>
        <v/>
      </c>
      <c r="AA6" s="41">
        <f>(I6/$R6)</f>
        <v/>
      </c>
      <c r="AB6" s="41">
        <f>(J6/$R6)</f>
        <v/>
      </c>
      <c r="AC6" s="41">
        <f>(K6/$R6)</f>
        <v/>
      </c>
      <c r="AD6" s="41">
        <f>(L6/$R6)</f>
        <v/>
      </c>
      <c r="AE6" s="41">
        <f>(M6/$R6)</f>
        <v/>
      </c>
      <c r="AF6" s="41">
        <f>(N6/$R6)</f>
        <v/>
      </c>
      <c r="AG6" s="41">
        <f>(O6/$R6)</f>
        <v/>
      </c>
      <c r="AH6" s="41">
        <f>(P6/$R6)</f>
        <v/>
      </c>
      <c r="AI6" s="41">
        <f>(Q6/$R6)</f>
        <v/>
      </c>
      <c r="AJ6" s="41">
        <f>SUM(T6:W6)</f>
        <v/>
      </c>
      <c r="AK6" s="41">
        <f>SUM(AA6:AE6)+X6</f>
        <v/>
      </c>
      <c r="AL6" s="43">
        <f>AI6+AJ6+AF6+AG6+AH6</f>
        <v/>
      </c>
      <c r="AM6" s="41">
        <f>AL6+AK6</f>
        <v/>
      </c>
      <c r="AN6" s="41" t="n"/>
    </row>
    <row r="7" hidden="1" ht="15.75" customHeight="1" s="259">
      <c r="A7" s="8" t="n">
        <v>44670</v>
      </c>
      <c r="G7" t="n">
        <v>16.06</v>
      </c>
      <c r="H7" t="n">
        <v>1.32</v>
      </c>
      <c r="I7" t="n">
        <v>0.06</v>
      </c>
      <c r="Q7" t="n">
        <v>0.52</v>
      </c>
      <c r="R7">
        <f>SUM(B7:Q7)</f>
        <v/>
      </c>
      <c r="T7" s="41">
        <f>(B7/$R7)</f>
        <v/>
      </c>
      <c r="U7" s="41">
        <f>(C7/$R7)</f>
        <v/>
      </c>
      <c r="V7" s="41">
        <f>(D7/$R7)</f>
        <v/>
      </c>
      <c r="W7" s="41">
        <f>(E7/$R7)</f>
        <v/>
      </c>
      <c r="X7" s="41">
        <f>(F7/$R7)</f>
        <v/>
      </c>
      <c r="Y7" s="41">
        <f>(G7/$R7)</f>
        <v/>
      </c>
      <c r="Z7" s="41">
        <f>(H7/$R7)</f>
        <v/>
      </c>
      <c r="AA7" s="41">
        <f>(I7/$R7)</f>
        <v/>
      </c>
      <c r="AB7" s="41">
        <f>(J7/$R7)</f>
        <v/>
      </c>
      <c r="AC7" s="41">
        <f>(K7/$R7)</f>
        <v/>
      </c>
      <c r="AD7" s="41">
        <f>(L7/$R7)</f>
        <v/>
      </c>
      <c r="AE7" s="41">
        <f>(M7/$R7)</f>
        <v/>
      </c>
      <c r="AF7" s="41">
        <f>(N7/$R7)</f>
        <v/>
      </c>
      <c r="AG7" s="41">
        <f>(O7/$R7)</f>
        <v/>
      </c>
      <c r="AH7" s="41">
        <f>(P7/$R7)</f>
        <v/>
      </c>
      <c r="AI7" s="41">
        <f>(Q7/$R7)</f>
        <v/>
      </c>
      <c r="AJ7" s="41">
        <f>SUM(T7:W7)</f>
        <v/>
      </c>
      <c r="AK7" s="41">
        <f>SUM(AA7:AE7)+X7</f>
        <v/>
      </c>
      <c r="AL7" s="43">
        <f>AI7+AJ7+AF7+AG7+AH7</f>
        <v/>
      </c>
      <c r="AM7" s="41">
        <f>AL7+AK7</f>
        <v/>
      </c>
      <c r="AN7" s="41" t="n"/>
    </row>
    <row r="8" hidden="1" ht="15.75" customHeight="1" s="259">
      <c r="A8" s="8" t="n">
        <v>44690</v>
      </c>
      <c r="G8" t="n">
        <v>24.3</v>
      </c>
      <c r="H8" t="n">
        <v>2.96</v>
      </c>
      <c r="M8" t="n">
        <v>0.02</v>
      </c>
      <c r="N8" t="n">
        <v>0.04</v>
      </c>
      <c r="Q8" t="n">
        <v>0.02</v>
      </c>
      <c r="R8">
        <f>SUM(B8:Q8)</f>
        <v/>
      </c>
      <c r="T8" s="41">
        <f>(B8/$R8)</f>
        <v/>
      </c>
      <c r="U8" s="41">
        <f>(C8/$R8)</f>
        <v/>
      </c>
      <c r="V8" s="41">
        <f>(D8/$R8)</f>
        <v/>
      </c>
      <c r="W8" s="41">
        <f>(E8/$R8)</f>
        <v/>
      </c>
      <c r="X8" s="41">
        <f>(F8/$R8)</f>
        <v/>
      </c>
      <c r="Y8" s="41">
        <f>(G8/$R8)</f>
        <v/>
      </c>
      <c r="Z8" s="41">
        <f>(H8/$R8)</f>
        <v/>
      </c>
      <c r="AA8" s="41">
        <f>(I8/$R8)</f>
        <v/>
      </c>
      <c r="AB8" s="41">
        <f>(J8/$R8)</f>
        <v/>
      </c>
      <c r="AC8" s="41">
        <f>(K8/$R8)</f>
        <v/>
      </c>
      <c r="AD8" s="41">
        <f>(L8/$R8)</f>
        <v/>
      </c>
      <c r="AE8" s="41">
        <f>(M8/$R8)</f>
        <v/>
      </c>
      <c r="AF8" s="41">
        <f>(N8/$R8)</f>
        <v/>
      </c>
      <c r="AG8" s="41">
        <f>(O8/$R8)</f>
        <v/>
      </c>
      <c r="AH8" s="41">
        <f>(P8/$R8)</f>
        <v/>
      </c>
      <c r="AI8" s="41">
        <f>(Q8/$R8)</f>
        <v/>
      </c>
      <c r="AJ8" s="41">
        <f>SUM(T8:W8)</f>
        <v/>
      </c>
      <c r="AK8" s="41">
        <f>SUM(AA8:AE8)+X8</f>
        <v/>
      </c>
      <c r="AL8" s="43">
        <f>AI8+AJ8+AF8+AG8+AH8</f>
        <v/>
      </c>
      <c r="AM8" s="41">
        <f>AL8+AK8</f>
        <v/>
      </c>
      <c r="AN8" s="41" t="n"/>
    </row>
    <row r="9" hidden="1" ht="15.75" customHeight="1" s="259">
      <c r="A9" s="8" t="n">
        <v>44694</v>
      </c>
      <c r="D9" t="n">
        <v>0.06</v>
      </c>
      <c r="G9" t="n">
        <v>19.52</v>
      </c>
      <c r="H9" t="n">
        <v>1.66</v>
      </c>
      <c r="I9" t="n">
        <v>0.14</v>
      </c>
      <c r="K9" t="n">
        <v>0.06</v>
      </c>
      <c r="L9" t="n">
        <v>0.02</v>
      </c>
      <c r="M9" t="n">
        <v>0.1</v>
      </c>
      <c r="N9" t="n">
        <v>0.04</v>
      </c>
      <c r="O9" t="n">
        <v>0.04</v>
      </c>
      <c r="P9" t="n">
        <v>0.02</v>
      </c>
      <c r="Q9" t="n">
        <v>0.5600000000000001</v>
      </c>
      <c r="R9">
        <f>SUM(B9:Q9)</f>
        <v/>
      </c>
      <c r="T9" s="41">
        <f>(B9/$R9)</f>
        <v/>
      </c>
      <c r="U9" s="41">
        <f>(C9/$R9)</f>
        <v/>
      </c>
      <c r="V9" s="41">
        <f>(D9/$R9)</f>
        <v/>
      </c>
      <c r="W9" s="41">
        <f>(E9/$R9)</f>
        <v/>
      </c>
      <c r="X9" s="41">
        <f>(F9/$R9)</f>
        <v/>
      </c>
      <c r="Y9" s="41">
        <f>(G9/$R9)</f>
        <v/>
      </c>
      <c r="Z9" s="41">
        <f>(H9/$R9)</f>
        <v/>
      </c>
      <c r="AA9" s="41">
        <f>(I9/$R9)</f>
        <v/>
      </c>
      <c r="AB9" s="41">
        <f>(J9/$R9)</f>
        <v/>
      </c>
      <c r="AC9" s="41">
        <f>(K9/$R9)</f>
        <v/>
      </c>
      <c r="AD9" s="41">
        <f>(L9/$R9)</f>
        <v/>
      </c>
      <c r="AE9" s="41">
        <f>(M9/$R9)</f>
        <v/>
      </c>
      <c r="AF9" s="41">
        <f>(N9/$R9)</f>
        <v/>
      </c>
      <c r="AG9" s="41">
        <f>(O9/$R9)</f>
        <v/>
      </c>
      <c r="AH9" s="41">
        <f>(P9/$R9)</f>
        <v/>
      </c>
      <c r="AI9" s="41">
        <f>(Q9/$R9)</f>
        <v/>
      </c>
      <c r="AJ9" s="41">
        <f>SUM(T9:W9)</f>
        <v/>
      </c>
      <c r="AK9" s="41">
        <f>SUM(AA9:AE9)+X9</f>
        <v/>
      </c>
      <c r="AL9" s="43">
        <f>AI9+AJ9+AF9+AG9+AH9</f>
        <v/>
      </c>
      <c r="AM9" s="41">
        <f>AL9+AK9</f>
        <v/>
      </c>
      <c r="AN9" s="41" t="n"/>
    </row>
    <row r="10" hidden="1" ht="15.75" customHeight="1" s="259">
      <c r="A10" s="8" t="n">
        <v>44702</v>
      </c>
      <c r="B10" t="n">
        <v>0.02</v>
      </c>
      <c r="G10" t="n">
        <v>27.26</v>
      </c>
      <c r="H10" t="n">
        <v>2.36</v>
      </c>
      <c r="I10" t="n">
        <v>0.3</v>
      </c>
      <c r="K10" t="n">
        <v>0.04</v>
      </c>
      <c r="O10" t="n">
        <v>0.02</v>
      </c>
      <c r="Q10" t="n">
        <v>0.34</v>
      </c>
      <c r="R10">
        <f>SUM(B10:Q10)</f>
        <v/>
      </c>
      <c r="T10" s="41">
        <f>(B10/$R10)</f>
        <v/>
      </c>
      <c r="U10" s="41">
        <f>(C10/$R10)</f>
        <v/>
      </c>
      <c r="V10" s="41">
        <f>(D10/$R10)</f>
        <v/>
      </c>
      <c r="W10" s="41">
        <f>(E10/$R10)</f>
        <v/>
      </c>
      <c r="X10" s="41">
        <f>(F10/$R10)</f>
        <v/>
      </c>
      <c r="Y10" s="41">
        <f>(G10/$R10)</f>
        <v/>
      </c>
      <c r="Z10" s="41">
        <f>(H10/$R10)</f>
        <v/>
      </c>
      <c r="AA10" s="41">
        <f>(I10/$R10)</f>
        <v/>
      </c>
      <c r="AB10" s="41">
        <f>(J10/$R10)</f>
        <v/>
      </c>
      <c r="AC10" s="41">
        <f>(K10/$R10)</f>
        <v/>
      </c>
      <c r="AD10" s="41">
        <f>(L10/$R10)</f>
        <v/>
      </c>
      <c r="AE10" s="41">
        <f>(M10/$R10)</f>
        <v/>
      </c>
      <c r="AF10" s="41">
        <f>(N10/$R10)</f>
        <v/>
      </c>
      <c r="AG10" s="41">
        <f>(O10/$R10)</f>
        <v/>
      </c>
      <c r="AH10" s="41">
        <f>(P10/$R10)</f>
        <v/>
      </c>
      <c r="AI10" s="41">
        <f>(Q10/$R10)</f>
        <v/>
      </c>
      <c r="AJ10" s="41">
        <f>SUM(T10:W10)</f>
        <v/>
      </c>
      <c r="AK10" s="41">
        <f>SUM(AA10:AE10)+X10</f>
        <v/>
      </c>
      <c r="AL10" s="43">
        <f>AI10+AJ10+AF10+AG10+AH10</f>
        <v/>
      </c>
      <c r="AM10" s="41">
        <f>AL10+AK10</f>
        <v/>
      </c>
      <c r="AN10" s="41" t="n"/>
    </row>
    <row r="11" hidden="1" ht="15.75" customHeight="1" s="259">
      <c r="A11" s="8" t="n">
        <v>44709</v>
      </c>
      <c r="G11" t="n">
        <v>20.36</v>
      </c>
      <c r="H11" t="n">
        <v>1.74</v>
      </c>
      <c r="I11" t="n">
        <v>0.08</v>
      </c>
      <c r="Q11" t="n">
        <v>0.34</v>
      </c>
      <c r="R11">
        <f>SUM(B11:Q11)</f>
        <v/>
      </c>
      <c r="T11" s="41">
        <f>(B11/$R11)</f>
        <v/>
      </c>
      <c r="U11" s="41">
        <f>(C11/$R11)</f>
        <v/>
      </c>
      <c r="V11" s="41">
        <f>(D11/$R11)</f>
        <v/>
      </c>
      <c r="W11" s="41">
        <f>(E11/$R11)</f>
        <v/>
      </c>
      <c r="X11" s="41">
        <f>(F11/$R11)</f>
        <v/>
      </c>
      <c r="Y11" s="41">
        <f>(G11/$R11)</f>
        <v/>
      </c>
      <c r="Z11" s="41">
        <f>(H11/$R11)</f>
        <v/>
      </c>
      <c r="AA11" s="41">
        <f>(I11/$R11)</f>
        <v/>
      </c>
      <c r="AB11" s="41">
        <f>(J11/$R11)</f>
        <v/>
      </c>
      <c r="AC11" s="41">
        <f>(K11/$R11)</f>
        <v/>
      </c>
      <c r="AD11" s="41">
        <f>(L11/$R11)</f>
        <v/>
      </c>
      <c r="AE11" s="41">
        <f>(M11/$R11)</f>
        <v/>
      </c>
      <c r="AF11" s="41">
        <f>(N11/$R11)</f>
        <v/>
      </c>
      <c r="AG11" s="41">
        <f>(O11/$R11)</f>
        <v/>
      </c>
      <c r="AH11" s="41">
        <f>(P11/$R11)</f>
        <v/>
      </c>
      <c r="AI11" s="41">
        <f>(Q11/$R11)</f>
        <v/>
      </c>
      <c r="AJ11" s="41">
        <f>SUM(T11:W11)</f>
        <v/>
      </c>
      <c r="AK11" s="41">
        <f>SUM(AA11:AE11)+X11</f>
        <v/>
      </c>
      <c r="AL11" s="43">
        <f>AI11+AJ11+AF11+AG11+AH11</f>
        <v/>
      </c>
      <c r="AM11" s="41">
        <f>AL11+AK11</f>
        <v/>
      </c>
      <c r="AN11" s="41" t="n"/>
    </row>
    <row r="12" hidden="1" ht="15.75" customHeight="1" s="259">
      <c r="A12" s="8" t="n">
        <v>44718</v>
      </c>
      <c r="D12" t="n">
        <v>0.02</v>
      </c>
      <c r="G12" t="n">
        <v>21.2</v>
      </c>
      <c r="H12" t="n">
        <v>1.89</v>
      </c>
      <c r="I12" t="n">
        <v>0.12</v>
      </c>
      <c r="K12" t="n">
        <v>0.1</v>
      </c>
      <c r="M12" t="n">
        <v>0.4</v>
      </c>
      <c r="Q12" t="n">
        <v>0.6</v>
      </c>
      <c r="R12">
        <f>SUM(B12:Q12)</f>
        <v/>
      </c>
      <c r="T12" s="41">
        <f>(B12/$R12)</f>
        <v/>
      </c>
      <c r="U12" s="41">
        <f>(C12/$R12)</f>
        <v/>
      </c>
      <c r="V12" s="41">
        <f>(D12/$R12)</f>
        <v/>
      </c>
      <c r="W12" s="41">
        <f>(E12/$R12)</f>
        <v/>
      </c>
      <c r="X12" s="41">
        <f>(F12/$R12)</f>
        <v/>
      </c>
      <c r="Y12" s="41">
        <f>(G12/$R12)</f>
        <v/>
      </c>
      <c r="Z12" s="41">
        <f>(H12/$R12)</f>
        <v/>
      </c>
      <c r="AA12" s="41">
        <f>(I12/$R12)</f>
        <v/>
      </c>
      <c r="AB12" s="41">
        <f>(J12/$R12)</f>
        <v/>
      </c>
      <c r="AC12" s="41">
        <f>(K12/$R12)</f>
        <v/>
      </c>
      <c r="AD12" s="41">
        <f>(L12/$R12)</f>
        <v/>
      </c>
      <c r="AE12" s="41">
        <f>(M12/$R12)</f>
        <v/>
      </c>
      <c r="AF12" s="41">
        <f>(N12/$R12)</f>
        <v/>
      </c>
      <c r="AG12" s="41">
        <f>(O12/$R12)</f>
        <v/>
      </c>
      <c r="AH12" s="41">
        <f>(P12/$R12)</f>
        <v/>
      </c>
      <c r="AI12" s="41">
        <f>(Q12/$R12)</f>
        <v/>
      </c>
      <c r="AJ12" s="41">
        <f>SUM(T12:W12)</f>
        <v/>
      </c>
      <c r="AK12" s="41">
        <f>SUM(AA12:AE12)+X12</f>
        <v/>
      </c>
      <c r="AL12" s="43">
        <f>AI12+AJ12+AF12+AG12+AH12</f>
        <v/>
      </c>
      <c r="AM12" s="41">
        <f>AL12+AK12</f>
        <v/>
      </c>
      <c r="AN12" s="41" t="n"/>
    </row>
    <row r="13" hidden="1" ht="15.75" customHeight="1" s="259">
      <c r="A13" s="8" t="n">
        <v>44740</v>
      </c>
      <c r="B13" t="n">
        <v>0.02</v>
      </c>
      <c r="G13" t="n">
        <v>18.36</v>
      </c>
      <c r="H13" t="n">
        <v>1.2</v>
      </c>
      <c r="I13" t="n">
        <v>0.24</v>
      </c>
      <c r="K13" t="n">
        <v>0.02</v>
      </c>
      <c r="M13" t="n">
        <v>0.04</v>
      </c>
      <c r="O13" t="n">
        <v>0.02</v>
      </c>
      <c r="Q13" t="n">
        <v>1.12</v>
      </c>
      <c r="R13">
        <f>SUM(B13:Q13)</f>
        <v/>
      </c>
      <c r="T13" s="41">
        <f>(B13/$R13)</f>
        <v/>
      </c>
      <c r="U13" s="41">
        <f>(C13/$R13)</f>
        <v/>
      </c>
      <c r="V13" s="41">
        <f>(D13/$R13)</f>
        <v/>
      </c>
      <c r="W13" s="41">
        <f>(E13/$R13)</f>
        <v/>
      </c>
      <c r="X13" s="41">
        <f>(F13/$R13)</f>
        <v/>
      </c>
      <c r="Y13" s="41">
        <f>(G13/$R13)</f>
        <v/>
      </c>
      <c r="Z13" s="41">
        <f>(H13/$R13)</f>
        <v/>
      </c>
      <c r="AA13" s="41">
        <f>(I13/$R13)</f>
        <v/>
      </c>
      <c r="AB13" s="41">
        <f>(J13/$R13)</f>
        <v/>
      </c>
      <c r="AC13" s="41">
        <f>(K13/$R13)</f>
        <v/>
      </c>
      <c r="AD13" s="41">
        <f>(L13/$R13)</f>
        <v/>
      </c>
      <c r="AE13" s="41">
        <f>(M13/$R13)</f>
        <v/>
      </c>
      <c r="AF13" s="41">
        <f>(N13/$R13)</f>
        <v/>
      </c>
      <c r="AG13" s="41">
        <f>(O13/$R13)</f>
        <v/>
      </c>
      <c r="AH13" s="41">
        <f>(P13/$R13)</f>
        <v/>
      </c>
      <c r="AI13" s="41">
        <f>(Q13/$R13)</f>
        <v/>
      </c>
      <c r="AJ13" s="41">
        <f>SUM(T13:W13)</f>
        <v/>
      </c>
      <c r="AK13" s="41">
        <f>SUM(AA13:AE13)+X13</f>
        <v/>
      </c>
      <c r="AL13" s="43">
        <f>AI13+AJ13+AF13+AG13+AH13</f>
        <v/>
      </c>
      <c r="AM13" s="41">
        <f>AL13+AK13</f>
        <v/>
      </c>
      <c r="AN13" s="41" t="n"/>
    </row>
    <row r="14" hidden="1" ht="15.75" customHeight="1" s="259">
      <c r="A14" s="8" t="n">
        <v>44747</v>
      </c>
      <c r="G14" t="n">
        <v>21.18</v>
      </c>
      <c r="H14" t="n">
        <v>1.92</v>
      </c>
      <c r="I14" t="n">
        <v>0.04</v>
      </c>
      <c r="M14" t="n">
        <v>0.06</v>
      </c>
      <c r="N14" t="n">
        <v>0.02</v>
      </c>
      <c r="O14" t="n">
        <v>0.08</v>
      </c>
      <c r="Q14" t="n">
        <v>0.64</v>
      </c>
      <c r="R14">
        <f>SUM(B14:Q14)</f>
        <v/>
      </c>
      <c r="T14" s="41">
        <f>(B14/$R14)</f>
        <v/>
      </c>
      <c r="U14" s="41">
        <f>(C14/$R14)</f>
        <v/>
      </c>
      <c r="V14" s="41">
        <f>(D14/$R14)</f>
        <v/>
      </c>
      <c r="W14" s="41">
        <f>(E14/$R14)</f>
        <v/>
      </c>
      <c r="X14" s="41">
        <f>(F14/$R14)</f>
        <v/>
      </c>
      <c r="Y14" s="41">
        <f>(G14/$R14)</f>
        <v/>
      </c>
      <c r="Z14" s="41">
        <f>(H14/$R14)</f>
        <v/>
      </c>
      <c r="AA14" s="41">
        <f>(I14/$R14)</f>
        <v/>
      </c>
      <c r="AB14" s="41">
        <f>(J14/$R14)</f>
        <v/>
      </c>
      <c r="AC14" s="41">
        <f>(K14/$R14)</f>
        <v/>
      </c>
      <c r="AD14" s="41">
        <f>(L14/$R14)</f>
        <v/>
      </c>
      <c r="AE14" s="41">
        <f>(M14/$R14)</f>
        <v/>
      </c>
      <c r="AF14" s="41">
        <f>(N14/$R14)</f>
        <v/>
      </c>
      <c r="AG14" s="41">
        <f>(O14/$R14)</f>
        <v/>
      </c>
      <c r="AH14" s="41">
        <f>(P14/$R14)</f>
        <v/>
      </c>
      <c r="AI14" s="41">
        <f>(Q14/$R14)</f>
        <v/>
      </c>
      <c r="AJ14" s="41">
        <f>SUM(T14:W14)</f>
        <v/>
      </c>
      <c r="AK14" s="41">
        <f>SUM(AA14:AE14)+X14</f>
        <v/>
      </c>
      <c r="AL14" s="43">
        <f>AI14+AJ14+AF14+AG14+AH14</f>
        <v/>
      </c>
      <c r="AM14" s="41">
        <f>AL14+AK14</f>
        <v/>
      </c>
      <c r="AN14" s="41" t="n"/>
    </row>
    <row r="15" hidden="1" ht="15.75" customHeight="1" s="259">
      <c r="A15" s="8" t="n">
        <v>44837</v>
      </c>
      <c r="G15" t="n">
        <v>13.42</v>
      </c>
      <c r="H15" t="n">
        <v>1.72</v>
      </c>
      <c r="I15" t="n">
        <v>0.08</v>
      </c>
      <c r="K15" t="n">
        <v>0.04</v>
      </c>
      <c r="M15" t="n">
        <v>0.02</v>
      </c>
      <c r="O15" t="n">
        <v>0.06</v>
      </c>
      <c r="P15" t="n">
        <v>0.04</v>
      </c>
      <c r="Q15" t="n">
        <v>0.62</v>
      </c>
      <c r="R15">
        <f>SUM(B15:Q15)</f>
        <v/>
      </c>
      <c r="T15" s="41">
        <f>(B15/$R15)</f>
        <v/>
      </c>
      <c r="U15" s="41">
        <f>(C15/$R15)</f>
        <v/>
      </c>
      <c r="V15" s="41">
        <f>(D15/$R15)</f>
        <v/>
      </c>
      <c r="W15" s="41">
        <f>(E15/$R15)</f>
        <v/>
      </c>
      <c r="X15" s="41">
        <f>(F15/$R15)</f>
        <v/>
      </c>
      <c r="Y15" s="41">
        <f>(G15/$R15)</f>
        <v/>
      </c>
      <c r="Z15" s="41">
        <f>(H15/$R15)</f>
        <v/>
      </c>
      <c r="AA15" s="41">
        <f>(I15/$R15)</f>
        <v/>
      </c>
      <c r="AB15" s="41">
        <f>(J15/$R15)</f>
        <v/>
      </c>
      <c r="AC15" s="41">
        <f>(K15/$R15)</f>
        <v/>
      </c>
      <c r="AD15" s="41">
        <f>(L15/$R15)</f>
        <v/>
      </c>
      <c r="AE15" s="41">
        <f>(M15/$R15)</f>
        <v/>
      </c>
      <c r="AF15" s="41">
        <f>(N15/$R15)</f>
        <v/>
      </c>
      <c r="AG15" s="41">
        <f>(O15/$R15)</f>
        <v/>
      </c>
      <c r="AH15" s="41">
        <f>(P15/$R15)</f>
        <v/>
      </c>
      <c r="AI15" s="41">
        <f>(Q15/$R15)</f>
        <v/>
      </c>
      <c r="AJ15" s="41">
        <f>SUM(T15:W15)</f>
        <v/>
      </c>
      <c r="AK15" s="41">
        <f>SUM(AA15:AE15)+X15</f>
        <v/>
      </c>
      <c r="AL15" s="43">
        <f>AI15+AJ15+AF15+AG15+AH15</f>
        <v/>
      </c>
      <c r="AM15" s="41">
        <f>AL15+AK15</f>
        <v/>
      </c>
      <c r="AN15" s="41" t="n"/>
    </row>
    <row r="16" hidden="1" ht="15.75" customHeight="1" s="259">
      <c r="A16" s="8" t="n">
        <v>44844</v>
      </c>
      <c r="B16" t="n">
        <v>0.6</v>
      </c>
      <c r="G16" t="n">
        <v>17.24</v>
      </c>
      <c r="H16" t="n">
        <v>1.7</v>
      </c>
      <c r="I16" t="n">
        <v>0.26</v>
      </c>
      <c r="K16" t="n">
        <v>0.4</v>
      </c>
      <c r="O16" t="n">
        <v>0.1</v>
      </c>
      <c r="Q16" t="n">
        <v>1.04</v>
      </c>
      <c r="R16">
        <f>SUM(B16:Q16)</f>
        <v/>
      </c>
      <c r="T16" s="41">
        <f>(B16/$R16)</f>
        <v/>
      </c>
      <c r="U16" s="41">
        <f>(C16/$R16)</f>
        <v/>
      </c>
      <c r="V16" s="41">
        <f>(D16/$R16)</f>
        <v/>
      </c>
      <c r="W16" s="41">
        <f>(E16/$R16)</f>
        <v/>
      </c>
      <c r="X16" s="41">
        <f>(F16/$R16)</f>
        <v/>
      </c>
      <c r="Y16" s="41">
        <f>(G16/$R16)</f>
        <v/>
      </c>
      <c r="Z16" s="41">
        <f>(H16/$R16)</f>
        <v/>
      </c>
      <c r="AA16" s="41">
        <f>(I16/$R16)</f>
        <v/>
      </c>
      <c r="AB16" s="41">
        <f>(J16/$R16)</f>
        <v/>
      </c>
      <c r="AC16" s="41">
        <f>(K16/$R16)</f>
        <v/>
      </c>
      <c r="AD16" s="41">
        <f>(L16/$R16)</f>
        <v/>
      </c>
      <c r="AE16" s="41">
        <f>(M16/$R16)</f>
        <v/>
      </c>
      <c r="AF16" s="41">
        <f>(N16/$R16)</f>
        <v/>
      </c>
      <c r="AG16" s="41">
        <f>(O16/$R16)</f>
        <v/>
      </c>
      <c r="AH16" s="41">
        <f>(P16/$R16)</f>
        <v/>
      </c>
      <c r="AI16" s="41">
        <f>(Q16/$R16)</f>
        <v/>
      </c>
      <c r="AJ16" s="41">
        <f>SUM(T16:W16)</f>
        <v/>
      </c>
      <c r="AK16" s="41">
        <f>SUM(AA16:AE16)+X16</f>
        <v/>
      </c>
      <c r="AL16" s="43">
        <f>AI16+AJ16+AF16+AG16+AH16</f>
        <v/>
      </c>
      <c r="AM16" s="41">
        <f>AL16+AK16</f>
        <v/>
      </c>
      <c r="AN16" s="41" t="n"/>
    </row>
    <row r="17" hidden="1" ht="15.75" customHeight="1" s="259">
      <c r="A17" s="8" t="n">
        <v>44845</v>
      </c>
      <c r="F17" t="n">
        <v>0.2</v>
      </c>
      <c r="G17" t="n">
        <v>13.36</v>
      </c>
      <c r="H17" t="n">
        <v>1.86</v>
      </c>
      <c r="I17" t="n">
        <v>0.3</v>
      </c>
      <c r="K17" t="n">
        <v>0.6</v>
      </c>
      <c r="N17" t="n">
        <v>0.2</v>
      </c>
      <c r="O17" t="n">
        <v>0.2</v>
      </c>
      <c r="Q17" t="n">
        <v>0.42</v>
      </c>
      <c r="R17">
        <f>SUM(B17:Q17)</f>
        <v/>
      </c>
      <c r="T17" s="41">
        <f>(B17/$R17)</f>
        <v/>
      </c>
      <c r="U17" s="41">
        <f>(C17/$R17)</f>
        <v/>
      </c>
      <c r="V17" s="41">
        <f>(D17/$R17)</f>
        <v/>
      </c>
      <c r="W17" s="41">
        <f>(E17/$R17)</f>
        <v/>
      </c>
      <c r="X17" s="41">
        <f>(F17/$R17)</f>
        <v/>
      </c>
      <c r="Y17" s="41">
        <f>(G17/$R17)</f>
        <v/>
      </c>
      <c r="Z17" s="41">
        <f>(H17/$R17)</f>
        <v/>
      </c>
      <c r="AA17" s="41">
        <f>(I17/$R17)</f>
        <v/>
      </c>
      <c r="AB17" s="41">
        <f>(J17/$R17)</f>
        <v/>
      </c>
      <c r="AC17" s="41">
        <f>(K17/$R17)</f>
        <v/>
      </c>
      <c r="AD17" s="41">
        <f>(L17/$R17)</f>
        <v/>
      </c>
      <c r="AE17" s="41">
        <f>(M17/$R17)</f>
        <v/>
      </c>
      <c r="AF17" s="41">
        <f>(N17/$R17)</f>
        <v/>
      </c>
      <c r="AG17" s="41">
        <f>(O17/$R17)</f>
        <v/>
      </c>
      <c r="AH17" s="41">
        <f>(P17/$R17)</f>
        <v/>
      </c>
      <c r="AI17" s="41">
        <f>(Q17/$R17)</f>
        <v/>
      </c>
      <c r="AJ17" s="41">
        <f>SUM(T17:W17)</f>
        <v/>
      </c>
      <c r="AK17" s="41">
        <f>SUM(AA17:AE17)+X17</f>
        <v/>
      </c>
      <c r="AL17" s="43">
        <f>AI17+AJ17+AF17+AG17+AH17</f>
        <v/>
      </c>
      <c r="AM17" s="41">
        <f>AL17+AK17</f>
        <v/>
      </c>
      <c r="AN17" s="41" t="n"/>
    </row>
    <row r="18" hidden="1" ht="15.75" customHeight="1" s="259">
      <c r="A18" s="8" t="n">
        <v>44854</v>
      </c>
      <c r="F18" t="n">
        <v>0.2</v>
      </c>
      <c r="G18" t="n">
        <v>17.22</v>
      </c>
      <c r="H18" t="n">
        <v>1.66</v>
      </c>
      <c r="I18" t="n">
        <v>0.04</v>
      </c>
      <c r="K18" t="n">
        <v>0.4</v>
      </c>
      <c r="O18" t="n">
        <v>0.2</v>
      </c>
      <c r="Q18" t="n">
        <v>0.32</v>
      </c>
      <c r="R18">
        <f>SUM(B18:Q18)</f>
        <v/>
      </c>
      <c r="T18" s="41">
        <f>(B18/$R18)</f>
        <v/>
      </c>
      <c r="U18" s="41">
        <f>(C18/$R18)</f>
        <v/>
      </c>
      <c r="V18" s="41">
        <f>(D18/$R18)</f>
        <v/>
      </c>
      <c r="W18" s="41">
        <f>(E18/$R18)</f>
        <v/>
      </c>
      <c r="X18" s="41">
        <f>(F18/$R18)</f>
        <v/>
      </c>
      <c r="Y18" s="41">
        <f>(G18/$R18)</f>
        <v/>
      </c>
      <c r="Z18" s="41">
        <f>(H18/$R18)</f>
        <v/>
      </c>
      <c r="AA18" s="41">
        <f>(I18/$R18)</f>
        <v/>
      </c>
      <c r="AB18" s="41">
        <f>(J18/$R18)</f>
        <v/>
      </c>
      <c r="AC18" s="41">
        <f>(K18/$R18)</f>
        <v/>
      </c>
      <c r="AD18" s="41">
        <f>(L18/$R18)</f>
        <v/>
      </c>
      <c r="AE18" s="41">
        <f>(M18/$R18)</f>
        <v/>
      </c>
      <c r="AF18" s="41">
        <f>(N18/$R18)</f>
        <v/>
      </c>
      <c r="AG18" s="41">
        <f>(O18/$R18)</f>
        <v/>
      </c>
      <c r="AH18" s="41">
        <f>(P18/$R18)</f>
        <v/>
      </c>
      <c r="AI18" s="41">
        <f>(Q18/$R18)</f>
        <v/>
      </c>
      <c r="AJ18" s="41">
        <f>SUM(T18:W18)</f>
        <v/>
      </c>
      <c r="AK18" s="41">
        <f>SUM(AA18:AE18)+X18</f>
        <v/>
      </c>
      <c r="AL18" s="43">
        <f>AI18+AJ18+AF18+AG18+AH18</f>
        <v/>
      </c>
      <c r="AM18" s="41">
        <f>AL18+AK18</f>
        <v/>
      </c>
      <c r="AN18" s="41" t="n"/>
    </row>
    <row r="19" hidden="1" ht="15.75" customHeight="1" s="259">
      <c r="A19" s="8" t="n">
        <v>44860</v>
      </c>
      <c r="D19" t="n">
        <v>0.02</v>
      </c>
      <c r="G19" t="n">
        <v>6.22</v>
      </c>
      <c r="H19" t="n">
        <v>0.5600000000000001</v>
      </c>
      <c r="I19" t="n">
        <v>0.02</v>
      </c>
      <c r="Q19" t="n">
        <v>0.08</v>
      </c>
      <c r="R19">
        <f>SUM(B19:Q19)</f>
        <v/>
      </c>
      <c r="T19" s="41">
        <f>(B19/$R19)</f>
        <v/>
      </c>
      <c r="U19" s="41">
        <f>(C19/$R19)</f>
        <v/>
      </c>
      <c r="V19" s="41">
        <f>(D19/$R19)</f>
        <v/>
      </c>
      <c r="W19" s="41">
        <f>(E19/$R19)</f>
        <v/>
      </c>
      <c r="X19" s="41">
        <f>(F19/$R19)</f>
        <v/>
      </c>
      <c r="Y19" s="41">
        <f>(G19/$R19)</f>
        <v/>
      </c>
      <c r="Z19" s="41">
        <f>(H19/$R19)</f>
        <v/>
      </c>
      <c r="AA19" s="41">
        <f>(I19/$R19)</f>
        <v/>
      </c>
      <c r="AB19" s="41">
        <f>(J19/$R19)</f>
        <v/>
      </c>
      <c r="AC19" s="41">
        <f>(K19/$R19)</f>
        <v/>
      </c>
      <c r="AD19" s="41">
        <f>(L19/$R19)</f>
        <v/>
      </c>
      <c r="AE19" s="41">
        <f>(M19/$R19)</f>
        <v/>
      </c>
      <c r="AF19" s="41">
        <f>(N19/$R19)</f>
        <v/>
      </c>
      <c r="AG19" s="41">
        <f>(O19/$R19)</f>
        <v/>
      </c>
      <c r="AH19" s="41">
        <f>(P19/$R19)</f>
        <v/>
      </c>
      <c r="AI19" s="41">
        <f>(Q19/$R19)</f>
        <v/>
      </c>
      <c r="AJ19" s="41">
        <f>SUM(T19:W19)</f>
        <v/>
      </c>
      <c r="AK19" s="41">
        <f>SUM(AA19:AE19)+X19</f>
        <v/>
      </c>
      <c r="AL19" s="43">
        <f>AI19+AJ19+AF19+AG19+AH19</f>
        <v/>
      </c>
      <c r="AM19" s="41">
        <f>AL19+AK19</f>
        <v/>
      </c>
      <c r="AN19" s="41" t="n"/>
    </row>
    <row r="20" hidden="1" ht="15.75" customHeight="1" s="259">
      <c r="A20" s="8" t="n">
        <v>44862</v>
      </c>
      <c r="G20" t="n">
        <v>11</v>
      </c>
      <c r="H20" t="n">
        <v>1.02</v>
      </c>
      <c r="R20">
        <f>SUM(B20:Q20)</f>
        <v/>
      </c>
      <c r="T20" s="41">
        <f>(B20/$R20)</f>
        <v/>
      </c>
      <c r="U20" s="41">
        <f>(C20/$R20)</f>
        <v/>
      </c>
      <c r="V20" s="41">
        <f>(D20/$R20)</f>
        <v/>
      </c>
      <c r="W20" s="41">
        <f>(E20/$R20)</f>
        <v/>
      </c>
      <c r="X20" s="41">
        <f>(F20/$R20)</f>
        <v/>
      </c>
      <c r="Y20" s="41">
        <f>(G20/$R20)</f>
        <v/>
      </c>
      <c r="Z20" s="41">
        <f>(H20/$R20)</f>
        <v/>
      </c>
      <c r="AA20" s="41">
        <f>(I20/$R20)</f>
        <v/>
      </c>
      <c r="AB20" s="41">
        <f>(J20/$R20)</f>
        <v/>
      </c>
      <c r="AC20" s="41">
        <f>(K20/$R20)</f>
        <v/>
      </c>
      <c r="AD20" s="41">
        <f>(L20/$R20)</f>
        <v/>
      </c>
      <c r="AE20" s="41">
        <f>(M20/$R20)</f>
        <v/>
      </c>
      <c r="AF20" s="41">
        <f>(N20/$R20)</f>
        <v/>
      </c>
      <c r="AG20" s="41">
        <f>(O20/$R20)</f>
        <v/>
      </c>
      <c r="AH20" s="41">
        <f>(P20/$R20)</f>
        <v/>
      </c>
      <c r="AI20" s="41">
        <f>(Q20/$R20)</f>
        <v/>
      </c>
      <c r="AJ20" s="41">
        <f>SUM(T20:W20)</f>
        <v/>
      </c>
      <c r="AK20" s="41">
        <f>SUM(AA20:AE20)+X20</f>
        <v/>
      </c>
      <c r="AL20" s="43">
        <f>AI20+AJ20+AF20+AG20+AH20</f>
        <v/>
      </c>
      <c r="AM20" s="41">
        <f>AL20+AK20</f>
        <v/>
      </c>
      <c r="AN20" s="41" t="n"/>
    </row>
    <row r="21" hidden="1" ht="15.75" customHeight="1" s="259">
      <c r="A21" s="8" t="n">
        <v>44868</v>
      </c>
      <c r="G21" t="n">
        <v>11.1</v>
      </c>
      <c r="H21" t="n">
        <v>1.12</v>
      </c>
      <c r="I21" t="n">
        <v>0.04</v>
      </c>
      <c r="K21" t="n">
        <v>0.02</v>
      </c>
      <c r="Q21" t="n">
        <v>0.3</v>
      </c>
      <c r="R21">
        <f>SUM(B21:Q21)</f>
        <v/>
      </c>
      <c r="T21" s="41">
        <f>(B21/$R21)</f>
        <v/>
      </c>
      <c r="U21" s="41">
        <f>(C21/$R21)</f>
        <v/>
      </c>
      <c r="V21" s="41">
        <f>(D21/$R21)</f>
        <v/>
      </c>
      <c r="W21" s="41">
        <f>(E21/$R21)</f>
        <v/>
      </c>
      <c r="X21" s="41">
        <f>(F21/$R21)</f>
        <v/>
      </c>
      <c r="Y21" s="41">
        <f>(G21/$R21)</f>
        <v/>
      </c>
      <c r="Z21" s="41">
        <f>(H21/$R21)</f>
        <v/>
      </c>
      <c r="AA21" s="41">
        <f>(I21/$R21)</f>
        <v/>
      </c>
      <c r="AB21" s="41">
        <f>(J21/$R21)</f>
        <v/>
      </c>
      <c r="AC21" s="41">
        <f>(K21/$R21)</f>
        <v/>
      </c>
      <c r="AD21" s="41">
        <f>(L21/$R21)</f>
        <v/>
      </c>
      <c r="AE21" s="41">
        <f>(M21/$R21)</f>
        <v/>
      </c>
      <c r="AF21" s="41">
        <f>(N21/$R21)</f>
        <v/>
      </c>
      <c r="AG21" s="41">
        <f>(O21/$R21)</f>
        <v/>
      </c>
      <c r="AH21" s="41">
        <f>(P21/$R21)</f>
        <v/>
      </c>
      <c r="AI21" s="41">
        <f>(Q21/$R21)</f>
        <v/>
      </c>
      <c r="AJ21" s="41">
        <f>SUM(T21:W21)</f>
        <v/>
      </c>
      <c r="AK21" s="41">
        <f>SUM(AA21:AE21)+X21</f>
        <v/>
      </c>
      <c r="AL21" s="43">
        <f>AI21+AJ21+AF21+AG21+AH21</f>
        <v/>
      </c>
      <c r="AM21" s="41">
        <f>AL21+AK21</f>
        <v/>
      </c>
      <c r="AN21" s="41" t="n"/>
    </row>
    <row r="22" hidden="1" ht="15.75" customHeight="1" s="259">
      <c r="A22" s="8" t="n">
        <v>44873</v>
      </c>
      <c r="G22" t="n">
        <v>15.04</v>
      </c>
      <c r="H22" t="n">
        <v>1.56</v>
      </c>
      <c r="I22" t="n">
        <v>0.08</v>
      </c>
      <c r="K22" t="n">
        <v>0.08</v>
      </c>
      <c r="L22" t="n">
        <v>0.06</v>
      </c>
      <c r="N22" t="n">
        <v>0.02</v>
      </c>
      <c r="O22" t="n">
        <v>0.02</v>
      </c>
      <c r="Q22" t="n">
        <v>0.3</v>
      </c>
      <c r="R22">
        <f>SUM(B22:Q22)</f>
        <v/>
      </c>
      <c r="T22" s="41">
        <f>(B22/$R22)</f>
        <v/>
      </c>
      <c r="U22" s="41">
        <f>(C22/$R22)</f>
        <v/>
      </c>
      <c r="V22" s="41">
        <f>(D22/$R22)</f>
        <v/>
      </c>
      <c r="W22" s="41">
        <f>(E22/$R22)</f>
        <v/>
      </c>
      <c r="X22" s="41">
        <f>(F22/$R22)</f>
        <v/>
      </c>
      <c r="Y22" s="41">
        <f>(G22/$R22)</f>
        <v/>
      </c>
      <c r="Z22" s="41">
        <f>(H22/$R22)</f>
        <v/>
      </c>
      <c r="AA22" s="41">
        <f>(I22/$R22)</f>
        <v/>
      </c>
      <c r="AB22" s="41">
        <f>(J22/$R22)</f>
        <v/>
      </c>
      <c r="AC22" s="41">
        <f>(K22/$R22)</f>
        <v/>
      </c>
      <c r="AD22" s="41">
        <f>(L22/$R22)</f>
        <v/>
      </c>
      <c r="AE22" s="41">
        <f>(M22/$R22)</f>
        <v/>
      </c>
      <c r="AF22" s="41">
        <f>(N22/$R22)</f>
        <v/>
      </c>
      <c r="AG22" s="41">
        <f>(O22/$R22)</f>
        <v/>
      </c>
      <c r="AH22" s="41">
        <f>(P22/$R22)</f>
        <v/>
      </c>
      <c r="AI22" s="41">
        <f>(Q22/$R22)</f>
        <v/>
      </c>
      <c r="AJ22" s="41">
        <f>SUM(T22:W22)</f>
        <v/>
      </c>
      <c r="AK22" s="41">
        <f>SUM(AA22:AE22)+X22</f>
        <v/>
      </c>
      <c r="AL22" s="43">
        <f>AI22+AJ22+AF22+AG22+AH22</f>
        <v/>
      </c>
      <c r="AM22" s="41">
        <f>AL22+AK22</f>
        <v/>
      </c>
      <c r="AN22" s="41" t="n"/>
    </row>
    <row r="23" hidden="1" ht="15.75" customHeight="1" s="259">
      <c r="A23" s="8" t="n">
        <v>44875</v>
      </c>
      <c r="D23" t="n">
        <v>0.06</v>
      </c>
      <c r="G23" t="n">
        <v>16.06</v>
      </c>
      <c r="H23" t="n">
        <v>2.28</v>
      </c>
      <c r="L23" t="n">
        <v>0.02</v>
      </c>
      <c r="N23" t="n">
        <v>0.02</v>
      </c>
      <c r="O23" t="n">
        <v>0.02</v>
      </c>
      <c r="Q23" t="n">
        <v>0.26</v>
      </c>
      <c r="R23">
        <f>SUM(B23:Q23)</f>
        <v/>
      </c>
      <c r="T23" s="41">
        <f>(B23/$R23)</f>
        <v/>
      </c>
      <c r="U23" s="41">
        <f>(C23/$R23)</f>
        <v/>
      </c>
      <c r="V23" s="41">
        <f>(D23/$R23)</f>
        <v/>
      </c>
      <c r="W23" s="41">
        <f>(E23/$R23)</f>
        <v/>
      </c>
      <c r="X23" s="41">
        <f>(F23/$R23)</f>
        <v/>
      </c>
      <c r="Y23" s="41">
        <f>(G23/$R23)</f>
        <v/>
      </c>
      <c r="Z23" s="41">
        <f>(H23/$R23)</f>
        <v/>
      </c>
      <c r="AA23" s="41">
        <f>(I23/$R23)</f>
        <v/>
      </c>
      <c r="AB23" s="41">
        <f>(J23/$R23)</f>
        <v/>
      </c>
      <c r="AC23" s="41">
        <f>(K23/$R23)</f>
        <v/>
      </c>
      <c r="AD23" s="41">
        <f>(L23/$R23)</f>
        <v/>
      </c>
      <c r="AE23" s="41">
        <f>(M23/$R23)</f>
        <v/>
      </c>
      <c r="AF23" s="41">
        <f>(N23/$R23)</f>
        <v/>
      </c>
      <c r="AG23" s="41">
        <f>(O23/$R23)</f>
        <v/>
      </c>
      <c r="AH23" s="41">
        <f>(P23/$R23)</f>
        <v/>
      </c>
      <c r="AI23" s="41">
        <f>(Q23/$R23)</f>
        <v/>
      </c>
      <c r="AJ23" s="41">
        <f>SUM(T23:W23)</f>
        <v/>
      </c>
      <c r="AK23" s="41">
        <f>SUM(AA23:AE23)+X23</f>
        <v/>
      </c>
      <c r="AL23" s="43">
        <f>AI23+AJ23+AF23+AG23+AH23</f>
        <v/>
      </c>
      <c r="AM23" s="41">
        <f>AL23+AK23</f>
        <v/>
      </c>
      <c r="AN23" s="41" t="n"/>
    </row>
    <row r="24" hidden="1" ht="15.75" customHeight="1" s="259">
      <c r="A24" s="8" t="n">
        <v>44881</v>
      </c>
      <c r="G24" t="n">
        <v>18.1</v>
      </c>
      <c r="H24" t="n">
        <v>2.62</v>
      </c>
      <c r="N24" t="n">
        <v>0.02</v>
      </c>
      <c r="O24" t="n">
        <v>0.02</v>
      </c>
      <c r="Q24" t="n">
        <v>0.04</v>
      </c>
      <c r="R24">
        <f>SUM(B24:Q24)</f>
        <v/>
      </c>
      <c r="T24" s="41">
        <f>(B24/$R24)</f>
        <v/>
      </c>
      <c r="U24" s="41">
        <f>(C24/$R24)</f>
        <v/>
      </c>
      <c r="V24" s="41">
        <f>(D24/$R24)</f>
        <v/>
      </c>
      <c r="W24" s="41">
        <f>(E24/$R24)</f>
        <v/>
      </c>
      <c r="X24" s="41">
        <f>(F24/$R24)</f>
        <v/>
      </c>
      <c r="Y24" s="41">
        <f>(G24/$R24)</f>
        <v/>
      </c>
      <c r="Z24" s="41">
        <f>(H24/$R24)</f>
        <v/>
      </c>
      <c r="AA24" s="41">
        <f>(I24/$R24)</f>
        <v/>
      </c>
      <c r="AB24" s="41">
        <f>(J24/$R24)</f>
        <v/>
      </c>
      <c r="AC24" s="41">
        <f>(K24/$R24)</f>
        <v/>
      </c>
      <c r="AD24" s="41">
        <f>(L24/$R24)</f>
        <v/>
      </c>
      <c r="AE24" s="41">
        <f>(M24/$R24)</f>
        <v/>
      </c>
      <c r="AF24" s="41">
        <f>(N24/$R24)</f>
        <v/>
      </c>
      <c r="AG24" s="41">
        <f>(O24/$R24)</f>
        <v/>
      </c>
      <c r="AH24" s="41">
        <f>(P24/$R24)</f>
        <v/>
      </c>
      <c r="AI24" s="41">
        <f>(Q24/$R24)</f>
        <v/>
      </c>
      <c r="AJ24" s="41">
        <f>SUM(T24:W24)</f>
        <v/>
      </c>
      <c r="AK24" s="41">
        <f>SUM(AA24:AE24)+X24</f>
        <v/>
      </c>
      <c r="AL24" s="43">
        <f>AI24+AJ24+AF24+AG24+AH24</f>
        <v/>
      </c>
      <c r="AM24" s="41">
        <f>AL24+AK24</f>
        <v/>
      </c>
      <c r="AN24" s="41" t="n"/>
    </row>
    <row r="25" hidden="1" ht="15.75" customHeight="1" s="259">
      <c r="A25" s="8" t="n">
        <v>44888</v>
      </c>
      <c r="D25" t="n">
        <v>0.04</v>
      </c>
      <c r="G25" t="n">
        <v>11.84</v>
      </c>
      <c r="H25" t="n">
        <v>2.8</v>
      </c>
      <c r="I25" t="n">
        <v>0.12</v>
      </c>
      <c r="K25" t="n">
        <v>0.04</v>
      </c>
      <c r="L25" t="n">
        <v>0.02</v>
      </c>
      <c r="O25" t="n">
        <v>0.02</v>
      </c>
      <c r="Q25" t="n">
        <v>0.12</v>
      </c>
      <c r="R25">
        <f>SUM(B25:Q25)</f>
        <v/>
      </c>
      <c r="T25" s="41">
        <f>(B25/$R25)</f>
        <v/>
      </c>
      <c r="U25" s="41">
        <f>(C25/$R25)</f>
        <v/>
      </c>
      <c r="V25" s="41">
        <f>(D25/$R25)</f>
        <v/>
      </c>
      <c r="W25" s="41">
        <f>(E25/$R25)</f>
        <v/>
      </c>
      <c r="X25" s="41">
        <f>(F25/$R25)</f>
        <v/>
      </c>
      <c r="Y25" s="41">
        <f>(G25/$R25)</f>
        <v/>
      </c>
      <c r="Z25" s="41">
        <f>(H25/$R25)</f>
        <v/>
      </c>
      <c r="AA25" s="41">
        <f>(I25/$R25)</f>
        <v/>
      </c>
      <c r="AB25" s="41">
        <f>(J25/$R25)</f>
        <v/>
      </c>
      <c r="AC25" s="41">
        <f>(K25/$R25)</f>
        <v/>
      </c>
      <c r="AD25" s="41">
        <f>(L25/$R25)</f>
        <v/>
      </c>
      <c r="AE25" s="41">
        <f>(M25/$R25)</f>
        <v/>
      </c>
      <c r="AF25" s="41">
        <f>(N25/$R25)</f>
        <v/>
      </c>
      <c r="AG25" s="41">
        <f>(O25/$R25)</f>
        <v/>
      </c>
      <c r="AH25" s="41">
        <f>(P25/$R25)</f>
        <v/>
      </c>
      <c r="AI25" s="41">
        <f>(Q25/$R25)</f>
        <v/>
      </c>
      <c r="AJ25" s="41">
        <f>SUM(T25:W25)</f>
        <v/>
      </c>
      <c r="AK25" s="41">
        <f>SUM(AA25:AE25)+X25</f>
        <v/>
      </c>
      <c r="AL25" s="43">
        <f>AI25+AJ25+AF25+AG25+AH25</f>
        <v/>
      </c>
      <c r="AM25" s="41">
        <f>AL25+AK25</f>
        <v/>
      </c>
      <c r="AN25" s="41" t="n"/>
    </row>
    <row r="26" hidden="1" ht="15.75" customHeight="1" s="259">
      <c r="A26" s="8" t="n">
        <v>44893</v>
      </c>
      <c r="D26" t="n">
        <v>0.08</v>
      </c>
      <c r="G26" t="n">
        <v>16.26</v>
      </c>
      <c r="H26" t="n">
        <v>1.46</v>
      </c>
      <c r="I26" t="n">
        <v>0.04</v>
      </c>
      <c r="K26" t="n">
        <v>0.22</v>
      </c>
      <c r="M26" t="n">
        <v>0.06</v>
      </c>
      <c r="O26" t="n">
        <v>0.04</v>
      </c>
      <c r="P26" t="n">
        <v>0.02</v>
      </c>
      <c r="Q26" t="n">
        <v>0.66</v>
      </c>
      <c r="R26">
        <f>SUM(B26:Q26)</f>
        <v/>
      </c>
      <c r="T26" s="41">
        <f>(B26/$R26)</f>
        <v/>
      </c>
      <c r="U26" s="41">
        <f>(C26/$R26)</f>
        <v/>
      </c>
      <c r="V26" s="41">
        <f>(D26/$R26)</f>
        <v/>
      </c>
      <c r="W26" s="41">
        <f>(E26/$R26)</f>
        <v/>
      </c>
      <c r="X26" s="41">
        <f>(F26/$R26)</f>
        <v/>
      </c>
      <c r="Y26" s="41">
        <f>(G26/$R26)</f>
        <v/>
      </c>
      <c r="Z26" s="41">
        <f>(H26/$R26)</f>
        <v/>
      </c>
      <c r="AA26" s="41">
        <f>(I26/$R26)</f>
        <v/>
      </c>
      <c r="AB26" s="41">
        <f>(J26/$R26)</f>
        <v/>
      </c>
      <c r="AC26" s="41">
        <f>(K26/$R26)</f>
        <v/>
      </c>
      <c r="AD26" s="41">
        <f>(L26/$R26)</f>
        <v/>
      </c>
      <c r="AE26" s="41">
        <f>(M26/$R26)</f>
        <v/>
      </c>
      <c r="AF26" s="41">
        <f>(N26/$R26)</f>
        <v/>
      </c>
      <c r="AG26" s="41">
        <f>(O26/$R26)</f>
        <v/>
      </c>
      <c r="AH26" s="41">
        <f>(P26/$R26)</f>
        <v/>
      </c>
      <c r="AI26" s="41">
        <f>(Q26/$R26)</f>
        <v/>
      </c>
      <c r="AJ26" s="41">
        <f>SUM(T26:W26)</f>
        <v/>
      </c>
      <c r="AK26" s="41">
        <f>SUM(AA26:AE26)+X26</f>
        <v/>
      </c>
      <c r="AL26" s="43">
        <f>AI26+AJ26+AF26+AG26+AH26</f>
        <v/>
      </c>
      <c r="AM26" s="41">
        <f>AL26+AK26</f>
        <v/>
      </c>
      <c r="AN26" s="41" t="n"/>
    </row>
    <row r="27" hidden="1" ht="15.75" customHeight="1" s="259">
      <c r="A27" s="8" t="n">
        <v>44901</v>
      </c>
      <c r="D27" t="n">
        <v>0.04</v>
      </c>
      <c r="G27" t="n">
        <v>11.9</v>
      </c>
      <c r="H27" t="n">
        <v>2.18</v>
      </c>
      <c r="O27" t="n">
        <v>0.02</v>
      </c>
      <c r="Q27" t="n">
        <v>0.12</v>
      </c>
      <c r="R27">
        <f>SUM(B27:Q27)</f>
        <v/>
      </c>
      <c r="T27" s="41">
        <f>(B27/$R27)</f>
        <v/>
      </c>
      <c r="U27" s="41">
        <f>(C27/$R27)</f>
        <v/>
      </c>
      <c r="V27" s="41">
        <f>(D27/$R27)</f>
        <v/>
      </c>
      <c r="W27" s="41">
        <f>(E27/$R27)</f>
        <v/>
      </c>
      <c r="X27" s="41">
        <f>(F27/$R27)</f>
        <v/>
      </c>
      <c r="Y27" s="41">
        <f>(G27/$R27)</f>
        <v/>
      </c>
      <c r="Z27" s="41">
        <f>(H27/$R27)</f>
        <v/>
      </c>
      <c r="AA27" s="41">
        <f>(I27/$R27)</f>
        <v/>
      </c>
      <c r="AB27" s="41">
        <f>(J27/$R27)</f>
        <v/>
      </c>
      <c r="AC27" s="41">
        <f>(K27/$R27)</f>
        <v/>
      </c>
      <c r="AD27" s="41">
        <f>(L27/$R27)</f>
        <v/>
      </c>
      <c r="AE27" s="41">
        <f>(M27/$R27)</f>
        <v/>
      </c>
      <c r="AF27" s="41">
        <f>(N27/$R27)</f>
        <v/>
      </c>
      <c r="AG27" s="41">
        <f>(O27/$R27)</f>
        <v/>
      </c>
      <c r="AH27" s="41">
        <f>(P27/$R27)</f>
        <v/>
      </c>
      <c r="AI27" s="41">
        <f>(Q27/$R27)</f>
        <v/>
      </c>
      <c r="AJ27" s="41">
        <f>SUM(T27:W27)</f>
        <v/>
      </c>
      <c r="AK27" s="41">
        <f>SUM(AA27:AE27)+X27</f>
        <v/>
      </c>
      <c r="AL27" s="43">
        <f>AI27+AJ27+AF27+AG27+AH27</f>
        <v/>
      </c>
      <c r="AM27" s="41">
        <f>AL27+AK27</f>
        <v/>
      </c>
      <c r="AN27" s="41" t="n"/>
    </row>
    <row r="28" hidden="1" ht="15.75" customHeight="1" s="259">
      <c r="A28" s="8" t="n">
        <v>44908</v>
      </c>
      <c r="D28" t="n">
        <v>0.02</v>
      </c>
      <c r="G28" t="n">
        <v>12.94</v>
      </c>
      <c r="H28" t="n">
        <v>2.5</v>
      </c>
      <c r="I28" t="n">
        <v>0.12</v>
      </c>
      <c r="K28" t="n">
        <v>0.12</v>
      </c>
      <c r="N28" t="n">
        <v>0.04</v>
      </c>
      <c r="O28" t="n">
        <v>0.06</v>
      </c>
      <c r="Q28" t="n">
        <v>0.12</v>
      </c>
      <c r="R28">
        <f>SUM(B28:Q28)</f>
        <v/>
      </c>
      <c r="T28" s="41">
        <f>(B28/$R28)</f>
        <v/>
      </c>
      <c r="U28" s="41">
        <f>(C28/$R28)</f>
        <v/>
      </c>
      <c r="V28" s="41">
        <f>(D28/$R28)</f>
        <v/>
      </c>
      <c r="W28" s="41">
        <f>(E28/$R28)</f>
        <v/>
      </c>
      <c r="X28" s="41">
        <f>(F28/$R28)</f>
        <v/>
      </c>
      <c r="Y28" s="41">
        <f>(G28/$R28)</f>
        <v/>
      </c>
      <c r="Z28" s="41">
        <f>(H28/$R28)</f>
        <v/>
      </c>
      <c r="AA28" s="41">
        <f>(I28/$R28)</f>
        <v/>
      </c>
      <c r="AB28" s="41">
        <f>(J28/$R28)</f>
        <v/>
      </c>
      <c r="AC28" s="41">
        <f>(K28/$R28)</f>
        <v/>
      </c>
      <c r="AD28" s="41">
        <f>(L28/$R28)</f>
        <v/>
      </c>
      <c r="AE28" s="41">
        <f>(M28/$R28)</f>
        <v/>
      </c>
      <c r="AF28" s="41">
        <f>(N28/$R28)</f>
        <v/>
      </c>
      <c r="AG28" s="41">
        <f>(O28/$R28)</f>
        <v/>
      </c>
      <c r="AH28" s="41">
        <f>(P28/$R28)</f>
        <v/>
      </c>
      <c r="AI28" s="41">
        <f>(Q28/$R28)</f>
        <v/>
      </c>
      <c r="AJ28" s="41">
        <f>SUM(T28:W28)</f>
        <v/>
      </c>
      <c r="AK28" s="41">
        <f>SUM(AA28:AE28)+X28</f>
        <v/>
      </c>
      <c r="AL28" s="43">
        <f>AI28+AJ28+AF28+AG28+AH28</f>
        <v/>
      </c>
      <c r="AM28" s="41">
        <f>AL28+AK28</f>
        <v/>
      </c>
      <c r="AN28" s="41" t="n"/>
    </row>
    <row r="29" hidden="1" ht="15.75" customHeight="1" s="259">
      <c r="A29" s="8" t="n">
        <v>44910</v>
      </c>
      <c r="B29" t="n">
        <v>0.02</v>
      </c>
      <c r="D29" t="n">
        <v>0.08</v>
      </c>
      <c r="G29" t="n">
        <v>16.2</v>
      </c>
      <c r="H29" t="n">
        <v>3.62</v>
      </c>
      <c r="N29" t="n">
        <v>0.04</v>
      </c>
      <c r="Q29" t="n">
        <v>0.2</v>
      </c>
      <c r="R29">
        <f>SUM(B29:Q29)</f>
        <v/>
      </c>
      <c r="T29" s="41">
        <f>(B29/$R29)</f>
        <v/>
      </c>
      <c r="U29" s="41">
        <f>(C29/$R29)</f>
        <v/>
      </c>
      <c r="V29" s="41">
        <f>(D29/$R29)</f>
        <v/>
      </c>
      <c r="W29" s="41">
        <f>(E29/$R29)</f>
        <v/>
      </c>
      <c r="X29" s="41">
        <f>(F29/$R29)</f>
        <v/>
      </c>
      <c r="Y29" s="41">
        <f>(G29/$R29)</f>
        <v/>
      </c>
      <c r="Z29" s="41">
        <f>(H29/$R29)</f>
        <v/>
      </c>
      <c r="AA29" s="41">
        <f>(I29/$R29)</f>
        <v/>
      </c>
      <c r="AB29" s="41">
        <f>(J29/$R29)</f>
        <v/>
      </c>
      <c r="AC29" s="41">
        <f>(K29/$R29)</f>
        <v/>
      </c>
      <c r="AD29" s="41">
        <f>(L29/$R29)</f>
        <v/>
      </c>
      <c r="AE29" s="41">
        <f>(M29/$R29)</f>
        <v/>
      </c>
      <c r="AF29" s="41">
        <f>(N29/$R29)</f>
        <v/>
      </c>
      <c r="AG29" s="41">
        <f>(O29/$R29)</f>
        <v/>
      </c>
      <c r="AH29" s="41">
        <f>(P29/$R29)</f>
        <v/>
      </c>
      <c r="AI29" s="41">
        <f>(Q29/$R29)</f>
        <v/>
      </c>
      <c r="AJ29" s="41">
        <f>SUM(T29:W29)</f>
        <v/>
      </c>
      <c r="AK29" s="41">
        <f>SUM(AA29:AE29)+X29</f>
        <v/>
      </c>
      <c r="AL29" s="43">
        <f>AI29+AJ29+AF29+AG29+AH29</f>
        <v/>
      </c>
      <c r="AM29" s="41">
        <f>AL29+AK29</f>
        <v/>
      </c>
      <c r="AN29" s="41" t="n"/>
    </row>
    <row r="30" hidden="1" ht="15.75" customFormat="1" customHeight="1" s="13">
      <c r="A30" s="12" t="n">
        <v>44914</v>
      </c>
      <c r="B30" s="13" t="n">
        <v>0.02</v>
      </c>
      <c r="D30" s="13" t="n">
        <v>0.02</v>
      </c>
      <c r="G30" s="13" t="n">
        <v>15.02</v>
      </c>
      <c r="H30" s="13" t="n">
        <v>2.34</v>
      </c>
      <c r="I30" s="13" t="n">
        <v>0.08</v>
      </c>
      <c r="Q30" s="13" t="n">
        <v>0.1</v>
      </c>
      <c r="R30" s="13">
        <f>SUM(B30:Q30)</f>
        <v/>
      </c>
      <c r="S30" s="38" t="n"/>
      <c r="T30" s="41">
        <f>(B30/$R30)</f>
        <v/>
      </c>
      <c r="U30" s="41">
        <f>(C30/$R30)</f>
        <v/>
      </c>
      <c r="V30" s="41">
        <f>(D30/$R30)</f>
        <v/>
      </c>
      <c r="W30" s="41">
        <f>(E30/$R30)</f>
        <v/>
      </c>
      <c r="X30" s="41">
        <f>(F30/$R30)</f>
        <v/>
      </c>
      <c r="Y30" s="41">
        <f>(G30/$R30)</f>
        <v/>
      </c>
      <c r="Z30" s="41">
        <f>(H30/$R30)</f>
        <v/>
      </c>
      <c r="AA30" s="41">
        <f>(I30/$R30)</f>
        <v/>
      </c>
      <c r="AB30" s="41">
        <f>(J30/$R30)</f>
        <v/>
      </c>
      <c r="AC30" s="41">
        <f>(K30/$R30)</f>
        <v/>
      </c>
      <c r="AD30" s="41">
        <f>(L30/$R30)</f>
        <v/>
      </c>
      <c r="AE30" s="41">
        <f>(M30/$R30)</f>
        <v/>
      </c>
      <c r="AF30" s="41">
        <f>(N30/$R30)</f>
        <v/>
      </c>
      <c r="AG30" s="41">
        <f>(O30/$R30)</f>
        <v/>
      </c>
      <c r="AH30" s="41">
        <f>(P30/$R30)</f>
        <v/>
      </c>
      <c r="AI30" s="41">
        <f>(Q30/$R30)</f>
        <v/>
      </c>
      <c r="AJ30" s="41">
        <f>SUM(T30:W30)</f>
        <v/>
      </c>
      <c r="AK30" s="41">
        <f>SUM(AA30:AE30)+X30</f>
        <v/>
      </c>
      <c r="AL30" s="43">
        <f>AI30+AJ30+AF30+AG30+AH30</f>
        <v/>
      </c>
      <c r="AM30" s="41">
        <f>AL30+AK30</f>
        <v/>
      </c>
      <c r="AN30" s="41" t="n"/>
    </row>
    <row r="31" hidden="1" ht="15.75" customHeight="1" s="259">
      <c r="A31" s="8" t="n">
        <v>44917</v>
      </c>
      <c r="D31" t="n">
        <v>0.08</v>
      </c>
      <c r="G31" t="n">
        <v>14.92</v>
      </c>
      <c r="H31" t="n">
        <v>2.32</v>
      </c>
      <c r="I31" t="n">
        <v>0.18</v>
      </c>
      <c r="K31" t="n">
        <v>0.04</v>
      </c>
      <c r="N31" t="n">
        <v>0.04</v>
      </c>
      <c r="O31" t="n">
        <v>0.02</v>
      </c>
      <c r="Q31" t="n">
        <v>0.16</v>
      </c>
      <c r="R31">
        <f>SUM(B31:Q31)</f>
        <v/>
      </c>
      <c r="T31" s="41">
        <f>(B31/$R31)</f>
        <v/>
      </c>
      <c r="U31" s="41">
        <f>(C31/$R31)</f>
        <v/>
      </c>
      <c r="V31" s="41">
        <f>(D31/$R31)</f>
        <v/>
      </c>
      <c r="W31" s="41">
        <f>(E31/$R31)</f>
        <v/>
      </c>
      <c r="X31" s="41">
        <f>(F31/$R31)</f>
        <v/>
      </c>
      <c r="Y31" s="41">
        <f>(G31/$R31)</f>
        <v/>
      </c>
      <c r="Z31" s="41">
        <f>(H31/$R31)</f>
        <v/>
      </c>
      <c r="AA31" s="41">
        <f>(I31/$R31)</f>
        <v/>
      </c>
      <c r="AB31" s="41">
        <f>(J31/$R31)</f>
        <v/>
      </c>
      <c r="AC31" s="41">
        <f>(K31/$R31)</f>
        <v/>
      </c>
      <c r="AD31" s="41">
        <f>(L31/$R31)</f>
        <v/>
      </c>
      <c r="AE31" s="41">
        <f>(M31/$R31)</f>
        <v/>
      </c>
      <c r="AF31" s="41">
        <f>(N31/$R31)</f>
        <v/>
      </c>
      <c r="AG31" s="41">
        <f>(O31/$R31)</f>
        <v/>
      </c>
      <c r="AH31" s="41">
        <f>(P31/$R31)</f>
        <v/>
      </c>
      <c r="AI31" s="41">
        <f>(Q31/$R31)</f>
        <v/>
      </c>
      <c r="AJ31" s="41">
        <f>SUM(T31:W31)</f>
        <v/>
      </c>
      <c r="AK31" s="41">
        <f>SUM(AA31:AE31)+X31</f>
        <v/>
      </c>
      <c r="AL31" s="43">
        <f>AI31+AJ31+AF31+AG31+AH31</f>
        <v/>
      </c>
      <c r="AM31" s="41">
        <f>AL31+AK31</f>
        <v/>
      </c>
      <c r="AN31" s="41" t="n"/>
    </row>
    <row r="32" hidden="1" ht="15.75" customHeight="1" s="259">
      <c r="A32" s="8" t="n">
        <v>44928</v>
      </c>
      <c r="G32" t="n">
        <v>16.1</v>
      </c>
      <c r="H32" t="n">
        <v>2.2</v>
      </c>
      <c r="I32" t="n">
        <v>0.04</v>
      </c>
      <c r="J32" t="n">
        <v>0.22</v>
      </c>
      <c r="L32" t="n">
        <v>0.02</v>
      </c>
      <c r="M32" t="n">
        <v>0.04</v>
      </c>
      <c r="O32" t="n">
        <v>0.02</v>
      </c>
      <c r="P32" t="n">
        <v>0.06</v>
      </c>
      <c r="Q32" t="n">
        <v>0.76</v>
      </c>
      <c r="R32">
        <f>SUM(B32:Q32)</f>
        <v/>
      </c>
      <c r="T32" s="41">
        <f>(B32/$R32)</f>
        <v/>
      </c>
      <c r="U32" s="41">
        <f>(C32/$R32)</f>
        <v/>
      </c>
      <c r="V32" s="41">
        <f>(D32/$R32)</f>
        <v/>
      </c>
      <c r="W32" s="41">
        <f>(E32/R32)</f>
        <v/>
      </c>
      <c r="X32" s="41">
        <f>(F32/R32)</f>
        <v/>
      </c>
      <c r="Y32" s="41">
        <f>(G32/$R32)</f>
        <v/>
      </c>
      <c r="Z32" s="41">
        <f>(H32/$R32)</f>
        <v/>
      </c>
      <c r="AA32" s="41">
        <f>(I32/$R32)</f>
        <v/>
      </c>
      <c r="AB32" s="41">
        <f>(J32/$R32)</f>
        <v/>
      </c>
      <c r="AC32" s="41">
        <f>(K32/$R32)</f>
        <v/>
      </c>
      <c r="AD32" s="41">
        <f>(L32/$R32)</f>
        <v/>
      </c>
      <c r="AE32" s="41">
        <f>(M32/$R32)</f>
        <v/>
      </c>
      <c r="AF32" s="41">
        <f>(N32/$R32)</f>
        <v/>
      </c>
      <c r="AG32" s="41">
        <f>(O32/$R32)</f>
        <v/>
      </c>
      <c r="AH32" s="41">
        <f>(P32/$R32)</f>
        <v/>
      </c>
      <c r="AI32" s="41">
        <f>(Q32/$R32)</f>
        <v/>
      </c>
      <c r="AJ32" s="41">
        <f>SUM(T32:W32)</f>
        <v/>
      </c>
      <c r="AK32" s="41">
        <f>SUM(AA32:AE32)+X32</f>
        <v/>
      </c>
      <c r="AL32" s="43">
        <f>AI32+AJ32+AF32+AG32+AH32</f>
        <v/>
      </c>
      <c r="AM32" s="41">
        <f>AL32+AK32</f>
        <v/>
      </c>
      <c r="AN32" s="41" t="n"/>
    </row>
    <row r="33" hidden="1" ht="15.75" customHeight="1" s="259">
      <c r="A33" s="8" t="n">
        <v>44570</v>
      </c>
      <c r="B33" t="n">
        <v>0.04</v>
      </c>
      <c r="D33" t="n">
        <v>0.08</v>
      </c>
      <c r="G33" t="n">
        <v>16.18</v>
      </c>
      <c r="H33" t="n">
        <v>2.66</v>
      </c>
      <c r="J33" t="n">
        <v>0.14</v>
      </c>
      <c r="K33" t="n">
        <v>0.14</v>
      </c>
      <c r="N33" t="n">
        <v>0.02</v>
      </c>
      <c r="O33" t="n">
        <v>0.06</v>
      </c>
      <c r="P33" t="n">
        <v>0.02</v>
      </c>
      <c r="Q33" t="n">
        <v>1.18</v>
      </c>
      <c r="R33">
        <f>SUM(B33:Q33)</f>
        <v/>
      </c>
      <c r="T33" s="41">
        <f>(B33/$R33)</f>
        <v/>
      </c>
      <c r="U33" s="41">
        <f>(C33/$R33)</f>
        <v/>
      </c>
      <c r="V33" s="41">
        <f>(D33/$R33)</f>
        <v/>
      </c>
      <c r="W33" s="41">
        <f>(E33/R33)</f>
        <v/>
      </c>
      <c r="X33" s="41">
        <f>(F33/R33)*100</f>
        <v/>
      </c>
      <c r="Y33" s="41">
        <f>(G33/$R33)</f>
        <v/>
      </c>
      <c r="Z33" s="41">
        <f>(H33/$R33)</f>
        <v/>
      </c>
      <c r="AA33" s="41">
        <f>(I33/$R33)</f>
        <v/>
      </c>
      <c r="AB33" s="41">
        <f>(J33/$R33)</f>
        <v/>
      </c>
      <c r="AC33" s="41">
        <f>(K33/$R33)</f>
        <v/>
      </c>
      <c r="AD33" s="41">
        <f>(L33/$R33)</f>
        <v/>
      </c>
      <c r="AE33" s="41">
        <f>(M33/$R33)</f>
        <v/>
      </c>
      <c r="AF33" s="41">
        <f>(N33/$R33)</f>
        <v/>
      </c>
      <c r="AG33" s="41">
        <f>(O33/$R33)</f>
        <v/>
      </c>
      <c r="AH33" s="41">
        <f>(P33/$R33)</f>
        <v/>
      </c>
      <c r="AI33" s="41">
        <f>(Q33/$R33)</f>
        <v/>
      </c>
      <c r="AJ33" s="41">
        <f>SUM(T33:W33)</f>
        <v/>
      </c>
      <c r="AK33" s="41">
        <f>SUM(AA33:AE33)+X33</f>
        <v/>
      </c>
      <c r="AL33" s="43">
        <f>AI33+AJ33+AF33+AG33+AH33</f>
        <v/>
      </c>
      <c r="AM33" s="41">
        <f>AL33+AK33</f>
        <v/>
      </c>
      <c r="AN33" s="41" t="n"/>
    </row>
    <row r="34" hidden="1" ht="15.75" customHeight="1" s="259">
      <c r="A34" s="8" t="n">
        <v>44953</v>
      </c>
      <c r="B34" t="n">
        <v>0</v>
      </c>
      <c r="C34" t="n">
        <v>0</v>
      </c>
      <c r="D34" t="n">
        <v>0</v>
      </c>
      <c r="G34" t="n">
        <v>17.14</v>
      </c>
      <c r="H34" t="n">
        <v>2.12</v>
      </c>
      <c r="I34" t="n">
        <v>0</v>
      </c>
      <c r="J34" t="n">
        <v>0.12</v>
      </c>
      <c r="K34" t="n">
        <v>0.1</v>
      </c>
      <c r="P34" t="n">
        <v>0.04</v>
      </c>
      <c r="Q34" t="n">
        <v>1.06</v>
      </c>
      <c r="R34">
        <f>SUM(B34:Q34)</f>
        <v/>
      </c>
      <c r="T34" s="41">
        <f>(B34/$R34)</f>
        <v/>
      </c>
      <c r="U34" s="41">
        <f>(C34/$R34)</f>
        <v/>
      </c>
      <c r="V34" s="41">
        <f>(D34/$R34)</f>
        <v/>
      </c>
      <c r="W34" s="41">
        <f>(E34/R34)</f>
        <v/>
      </c>
      <c r="X34" s="41">
        <f>(F34/R34)*100</f>
        <v/>
      </c>
      <c r="Y34" s="41">
        <f>(G34/$R34)</f>
        <v/>
      </c>
      <c r="Z34" s="41">
        <f>(H34/$R34)</f>
        <v/>
      </c>
      <c r="AA34" s="41">
        <f>(I34/$R34)</f>
        <v/>
      </c>
      <c r="AB34" s="41">
        <f>(J34/$R34)</f>
        <v/>
      </c>
      <c r="AC34" s="41">
        <f>(K34/$R34)</f>
        <v/>
      </c>
      <c r="AD34" s="41">
        <f>(L34/$R34)</f>
        <v/>
      </c>
      <c r="AE34" s="41">
        <f>(M34/$R34)</f>
        <v/>
      </c>
      <c r="AF34" s="41">
        <f>(N34/$R34)</f>
        <v/>
      </c>
      <c r="AG34" s="41">
        <f>(O34/$R34)</f>
        <v/>
      </c>
      <c r="AH34" s="41">
        <f>(P34/$R34)</f>
        <v/>
      </c>
      <c r="AI34" s="41">
        <f>(Q34/$R34)</f>
        <v/>
      </c>
      <c r="AJ34" s="41">
        <f>SUM(T34:W34)</f>
        <v/>
      </c>
      <c r="AK34" s="41">
        <f>SUM(AA34:AE34)+X34</f>
        <v/>
      </c>
      <c r="AL34" s="43">
        <f>AI34+AJ34+AF34+AG34+AH34</f>
        <v/>
      </c>
      <c r="AM34" s="41">
        <f>AL34+AK34</f>
        <v/>
      </c>
      <c r="AN34" s="41" t="n"/>
    </row>
    <row r="35" hidden="1" ht="15.75" customHeight="1" s="259">
      <c r="A35" s="8" t="n">
        <v>44960</v>
      </c>
      <c r="B35" t="n">
        <v>0</v>
      </c>
      <c r="C35" t="n">
        <v>0</v>
      </c>
      <c r="D35" t="n">
        <v>0</v>
      </c>
      <c r="E35" t="n">
        <v>0.04</v>
      </c>
      <c r="F35" t="n">
        <v>0</v>
      </c>
      <c r="G35" t="n">
        <v>18.22</v>
      </c>
      <c r="H35" t="n">
        <v>3.12</v>
      </c>
      <c r="I35" t="n">
        <v>0</v>
      </c>
      <c r="J35" t="n">
        <v>0.34</v>
      </c>
      <c r="K35" t="n">
        <v>0.04</v>
      </c>
      <c r="L35" t="n">
        <v>0.18</v>
      </c>
      <c r="M35" t="n">
        <v>0</v>
      </c>
      <c r="N35" t="n">
        <v>0.02</v>
      </c>
      <c r="O35" t="n">
        <v>0.02</v>
      </c>
      <c r="P35" t="n">
        <v>0.04</v>
      </c>
      <c r="Q35" t="n">
        <v>0.78</v>
      </c>
      <c r="R35">
        <f>SUM(B35:Q35)</f>
        <v/>
      </c>
      <c r="T35" s="41">
        <f>(B35/$R35)</f>
        <v/>
      </c>
      <c r="U35" s="41">
        <f>(C35/$R35)</f>
        <v/>
      </c>
      <c r="V35" s="41">
        <f>(D35/$R35)</f>
        <v/>
      </c>
      <c r="W35" s="41">
        <f>(E35/R35)</f>
        <v/>
      </c>
      <c r="X35" s="41">
        <f>(F35/R35)*100</f>
        <v/>
      </c>
      <c r="Y35" s="41">
        <f>(G35/$R35)</f>
        <v/>
      </c>
      <c r="Z35" s="41">
        <f>(H35/$R35)</f>
        <v/>
      </c>
      <c r="AA35" s="41">
        <f>(I35/$R35)</f>
        <v/>
      </c>
      <c r="AB35" s="41">
        <f>(J35/$R35)</f>
        <v/>
      </c>
      <c r="AC35" s="41">
        <f>(K35/$R35)</f>
        <v/>
      </c>
      <c r="AD35" s="41">
        <f>(L35/$R35)</f>
        <v/>
      </c>
      <c r="AE35" s="41">
        <f>(M35/$R35)</f>
        <v/>
      </c>
      <c r="AF35" s="41">
        <f>(N35/$R35)</f>
        <v/>
      </c>
      <c r="AG35" s="41">
        <f>(O35/$R35)</f>
        <v/>
      </c>
      <c r="AH35" s="41">
        <f>(P35/$R35)</f>
        <v/>
      </c>
      <c r="AI35" s="41">
        <f>(Q35/$R35)</f>
        <v/>
      </c>
      <c r="AJ35" s="41">
        <f>SUM(T35:W35)</f>
        <v/>
      </c>
      <c r="AK35" s="41">
        <f>SUM(AA35:AE35)+X35</f>
        <v/>
      </c>
      <c r="AL35" s="43">
        <f>AI35+AJ35+AF35+AG35+AH35</f>
        <v/>
      </c>
      <c r="AM35" s="41">
        <f>AL35+AK35</f>
        <v/>
      </c>
      <c r="AN35" s="41" t="n"/>
    </row>
    <row r="36" hidden="1" ht="15.75" customHeight="1" s="259">
      <c r="A36" s="8" t="n">
        <v>44971</v>
      </c>
      <c r="B36" t="n">
        <v>0</v>
      </c>
      <c r="C36" t="n">
        <v>0</v>
      </c>
      <c r="D36" t="n">
        <v>0</v>
      </c>
      <c r="E36" t="n">
        <v>0</v>
      </c>
      <c r="F36" t="n">
        <v>0</v>
      </c>
      <c r="G36" t="n">
        <v>21.05</v>
      </c>
      <c r="H36" t="n">
        <v>2.62</v>
      </c>
      <c r="I36" t="n">
        <v>0.14</v>
      </c>
      <c r="J36" t="n">
        <v>0.06</v>
      </c>
      <c r="K36" t="n">
        <v>0.1</v>
      </c>
      <c r="L36" t="n">
        <v>0</v>
      </c>
      <c r="M36" t="n">
        <v>0.02</v>
      </c>
      <c r="N36" t="n">
        <v>0</v>
      </c>
      <c r="O36" t="n">
        <v>0.06</v>
      </c>
      <c r="P36" t="n">
        <v>0.06</v>
      </c>
      <c r="Q36" t="n">
        <v>0.2</v>
      </c>
      <c r="R36">
        <f>SUM(B36:Q36)</f>
        <v/>
      </c>
      <c r="T36" s="41">
        <f>(B36/$R36)</f>
        <v/>
      </c>
      <c r="U36" s="41">
        <f>(C36/$R36)</f>
        <v/>
      </c>
      <c r="V36" s="41">
        <f>(D36/$R36)</f>
        <v/>
      </c>
      <c r="W36" s="41">
        <f>(E36/R36)</f>
        <v/>
      </c>
      <c r="X36" s="41">
        <f>(F36/R36)*100</f>
        <v/>
      </c>
      <c r="Y36" s="41">
        <f>(G36/$R36)</f>
        <v/>
      </c>
      <c r="Z36" s="41">
        <f>(H36/$R36)</f>
        <v/>
      </c>
      <c r="AA36" s="41">
        <f>(I36/$R36)</f>
        <v/>
      </c>
      <c r="AB36" s="41">
        <f>(J36/$R36)</f>
        <v/>
      </c>
      <c r="AC36" s="41">
        <f>(K36/$R36)</f>
        <v/>
      </c>
      <c r="AD36" s="41">
        <f>(L36/$R36)</f>
        <v/>
      </c>
      <c r="AE36" s="41">
        <f>(M36/$R36)</f>
        <v/>
      </c>
      <c r="AF36" s="41">
        <f>(N36/$R36)</f>
        <v/>
      </c>
      <c r="AG36" s="41">
        <f>(O36/$R36)</f>
        <v/>
      </c>
      <c r="AH36" s="41">
        <f>(P36/$R36)</f>
        <v/>
      </c>
      <c r="AI36" s="41">
        <f>(Q36/$R36)</f>
        <v/>
      </c>
      <c r="AJ36" s="41">
        <f>SUM(T36:W36)</f>
        <v/>
      </c>
      <c r="AK36" s="41">
        <f>SUM(AA36:AE36)+X36</f>
        <v/>
      </c>
      <c r="AL36" s="43">
        <f>AI36+AJ36+AF36+AG36+AH36</f>
        <v/>
      </c>
      <c r="AM36" s="41">
        <f>AL36+AK36</f>
        <v/>
      </c>
      <c r="AN36" s="41" t="n"/>
    </row>
    <row r="37" hidden="1" ht="15.75" customHeight="1" s="259">
      <c r="A37" s="8" t="n">
        <v>44981</v>
      </c>
      <c r="B37" t="n">
        <v>0</v>
      </c>
      <c r="C37" t="n">
        <v>0</v>
      </c>
      <c r="D37" t="n">
        <v>0.18</v>
      </c>
      <c r="E37" t="n">
        <v>0</v>
      </c>
      <c r="F37" t="n">
        <v>0</v>
      </c>
      <c r="G37" t="n">
        <v>17.28</v>
      </c>
      <c r="H37" t="n">
        <v>1.88</v>
      </c>
      <c r="I37" t="n">
        <v>0.26</v>
      </c>
      <c r="J37" t="n">
        <v>0.1</v>
      </c>
      <c r="K37" t="n">
        <v>0.08</v>
      </c>
      <c r="L37" t="n">
        <v>0.06</v>
      </c>
      <c r="M37" t="n">
        <v>0</v>
      </c>
      <c r="N37" t="n">
        <v>0.06</v>
      </c>
      <c r="O37" t="n">
        <v>0.16</v>
      </c>
      <c r="P37" t="n">
        <v>0.04</v>
      </c>
      <c r="Q37" t="n">
        <v>0.3</v>
      </c>
      <c r="R37">
        <f>SUM(B37:Q37)</f>
        <v/>
      </c>
      <c r="T37" s="41">
        <f>(B37/$R37)</f>
        <v/>
      </c>
      <c r="U37" s="41">
        <f>(C37/$R37)</f>
        <v/>
      </c>
      <c r="V37" s="41">
        <f>(D37/$R37)</f>
        <v/>
      </c>
      <c r="W37" s="41">
        <f>(E37/R37)</f>
        <v/>
      </c>
      <c r="X37" s="41">
        <f>(F37/R37)*100</f>
        <v/>
      </c>
      <c r="Y37" s="41">
        <f>(G37/$R37)</f>
        <v/>
      </c>
      <c r="Z37" s="41">
        <f>(H37/$R37)</f>
        <v/>
      </c>
      <c r="AA37" s="41">
        <f>(I37/$R37)</f>
        <v/>
      </c>
      <c r="AB37" s="41">
        <f>(J37/$R37)</f>
        <v/>
      </c>
      <c r="AC37" s="41">
        <f>(K37/$R37)</f>
        <v/>
      </c>
      <c r="AD37" s="41">
        <f>(L37/$R37)</f>
        <v/>
      </c>
      <c r="AE37" s="41">
        <f>(M37/$R37)</f>
        <v/>
      </c>
      <c r="AF37" s="41">
        <f>(N37/$R37)</f>
        <v/>
      </c>
      <c r="AG37" s="41">
        <f>(O37/$R37)</f>
        <v/>
      </c>
      <c r="AH37" s="41">
        <f>(P37/$R37)</f>
        <v/>
      </c>
      <c r="AI37" s="41">
        <f>(Q37/$R37)</f>
        <v/>
      </c>
      <c r="AJ37" s="41">
        <f>SUM(T37:W37)</f>
        <v/>
      </c>
      <c r="AK37" s="41">
        <f>SUM(AA37:AE37)+X37</f>
        <v/>
      </c>
      <c r="AL37" s="43">
        <f>AI37+AJ37+AF37+AG37+AH37</f>
        <v/>
      </c>
      <c r="AM37" s="41">
        <f>AL37+AK37</f>
        <v/>
      </c>
      <c r="AN37" s="41" t="n"/>
    </row>
    <row r="38" hidden="1" ht="15.75" customHeight="1" s="259">
      <c r="A38" s="8" t="n">
        <v>45016</v>
      </c>
      <c r="B38" t="n">
        <v>0</v>
      </c>
      <c r="C38" t="n">
        <v>0</v>
      </c>
      <c r="D38" t="n">
        <v>0</v>
      </c>
      <c r="E38" t="n">
        <v>0</v>
      </c>
      <c r="F38" t="n">
        <v>0</v>
      </c>
      <c r="G38" t="n">
        <v>18.76</v>
      </c>
      <c r="H38" t="n">
        <v>1.16</v>
      </c>
      <c r="I38" t="n">
        <v>0</v>
      </c>
      <c r="J38" t="n">
        <v>0</v>
      </c>
      <c r="K38" t="n">
        <v>0.06</v>
      </c>
      <c r="L38" t="n">
        <v>0.08</v>
      </c>
      <c r="M38" t="n">
        <v>0.18</v>
      </c>
      <c r="N38" t="n">
        <v>0</v>
      </c>
      <c r="O38" t="n">
        <v>0</v>
      </c>
      <c r="P38" t="n">
        <v>0</v>
      </c>
      <c r="Q38" t="n">
        <v>0</v>
      </c>
      <c r="R38">
        <f>SUM(B38:Q38)</f>
        <v/>
      </c>
      <c r="T38" s="41">
        <f>(B38/$R38)</f>
        <v/>
      </c>
      <c r="U38" s="41">
        <f>(C38/$R38)</f>
        <v/>
      </c>
      <c r="V38" s="41">
        <f>(D38/$R38)</f>
        <v/>
      </c>
      <c r="W38" s="41">
        <f>(E38/R38)</f>
        <v/>
      </c>
      <c r="X38" s="41">
        <f>(F38/R38)*100</f>
        <v/>
      </c>
      <c r="Y38" s="41">
        <f>(G38/$R38)</f>
        <v/>
      </c>
      <c r="Z38" s="41">
        <f>(H38/$R38)</f>
        <v/>
      </c>
      <c r="AA38" s="41">
        <f>(I38/$R38)</f>
        <v/>
      </c>
      <c r="AB38" s="41">
        <f>(J38/$R38)</f>
        <v/>
      </c>
      <c r="AC38" s="41">
        <f>(K38/$R38)</f>
        <v/>
      </c>
      <c r="AD38" s="41">
        <f>(L38/$R38)</f>
        <v/>
      </c>
      <c r="AE38" s="41">
        <f>(M38/$R38)</f>
        <v/>
      </c>
      <c r="AF38" s="41">
        <f>(N38/$R38)</f>
        <v/>
      </c>
      <c r="AG38" s="41">
        <f>(O38/$R38)</f>
        <v/>
      </c>
      <c r="AH38" s="41">
        <f>(P38/$R38)</f>
        <v/>
      </c>
      <c r="AI38" s="41">
        <f>(Q38/$R38)</f>
        <v/>
      </c>
      <c r="AJ38" s="41">
        <f>SUM(T38:W38)</f>
        <v/>
      </c>
      <c r="AK38" s="41">
        <f>SUM(AA38:AE38)+X38</f>
        <v/>
      </c>
      <c r="AL38" s="43">
        <f>AI38+AJ38+AF38+AG38+AH38</f>
        <v/>
      </c>
      <c r="AM38" s="41">
        <f>AL38+AK38</f>
        <v/>
      </c>
      <c r="AN38" s="41" t="n"/>
    </row>
    <row r="39" hidden="1" ht="15.75" customHeight="1" s="259">
      <c r="A39" s="8" t="n">
        <v>45064</v>
      </c>
      <c r="B39" t="n">
        <v>0</v>
      </c>
      <c r="C39" t="n">
        <v>0</v>
      </c>
      <c r="D39" t="n">
        <v>0</v>
      </c>
      <c r="E39" t="n">
        <v>0</v>
      </c>
      <c r="F39" t="n">
        <v>0</v>
      </c>
      <c r="G39" t="n">
        <v>18.63</v>
      </c>
      <c r="H39" t="n">
        <v>1.32</v>
      </c>
      <c r="I39" t="n">
        <v>0.06</v>
      </c>
      <c r="J39" t="n">
        <v>0.06</v>
      </c>
      <c r="K39" t="n">
        <v>0</v>
      </c>
      <c r="L39" t="n">
        <v>0.06</v>
      </c>
      <c r="M39" t="n">
        <v>0.02</v>
      </c>
      <c r="N39" t="n">
        <v>0</v>
      </c>
      <c r="O39" t="n">
        <v>0.04</v>
      </c>
      <c r="P39" t="n">
        <v>0.06</v>
      </c>
      <c r="Q39" t="n">
        <v>0</v>
      </c>
      <c r="R39">
        <f>SUM(B39:Q39)</f>
        <v/>
      </c>
      <c r="T39" s="41">
        <f>(B39/$R39)</f>
        <v/>
      </c>
      <c r="U39" s="41">
        <f>(C39/$R39)</f>
        <v/>
      </c>
      <c r="V39" s="41">
        <f>(D39/$R39)</f>
        <v/>
      </c>
      <c r="W39" s="41">
        <f>(E39/R39)</f>
        <v/>
      </c>
      <c r="X39" s="41">
        <f>(F39/R39)*100</f>
        <v/>
      </c>
      <c r="Y39" s="41">
        <f>(G39/$R39)</f>
        <v/>
      </c>
      <c r="Z39" s="41">
        <f>(H39/$R39)</f>
        <v/>
      </c>
      <c r="AA39" s="41">
        <f>(I39/$R39)</f>
        <v/>
      </c>
      <c r="AB39" s="41">
        <f>(J39/$R39)</f>
        <v/>
      </c>
      <c r="AC39" s="41">
        <f>(K39/$R39)</f>
        <v/>
      </c>
      <c r="AD39" s="41">
        <f>(L39/$R39)</f>
        <v/>
      </c>
      <c r="AE39" s="41">
        <f>(M39/$R39)</f>
        <v/>
      </c>
      <c r="AF39" s="41">
        <f>(N39/$R39)</f>
        <v/>
      </c>
      <c r="AG39" s="41">
        <f>(O39/$R39)</f>
        <v/>
      </c>
      <c r="AH39" s="41">
        <f>(P39/$R39)</f>
        <v/>
      </c>
      <c r="AI39" s="41">
        <f>(Q39/$R39)</f>
        <v/>
      </c>
      <c r="AJ39" s="41">
        <f>SUM(T39:W39)</f>
        <v/>
      </c>
      <c r="AK39" s="41">
        <f>SUM(AA39:AE39)+X39</f>
        <v/>
      </c>
      <c r="AL39" s="43">
        <f>AI39+AJ39+AF39+AG39+AH39</f>
        <v/>
      </c>
      <c r="AM39" s="41">
        <f>AL39+AK39</f>
        <v/>
      </c>
      <c r="AN39" s="41" t="n"/>
    </row>
    <row r="40" hidden="1" ht="15.75" customHeight="1" s="259">
      <c r="A40" s="8" t="n">
        <v>45099</v>
      </c>
      <c r="B40" t="n">
        <v>0</v>
      </c>
      <c r="C40" t="n">
        <v>0</v>
      </c>
      <c r="D40" t="n">
        <v>0</v>
      </c>
      <c r="E40" t="n">
        <v>0</v>
      </c>
      <c r="F40" t="n">
        <v>0</v>
      </c>
      <c r="G40" t="n">
        <v>18.12</v>
      </c>
      <c r="H40" t="n">
        <v>1.84</v>
      </c>
      <c r="I40" t="n">
        <v>0.16</v>
      </c>
      <c r="J40" t="n">
        <v>0</v>
      </c>
      <c r="K40" t="n">
        <v>0.08</v>
      </c>
      <c r="L40" t="n">
        <v>0</v>
      </c>
      <c r="M40" t="n">
        <v>0.08</v>
      </c>
      <c r="N40" t="n">
        <v>0</v>
      </c>
      <c r="O40" t="n">
        <v>0.06</v>
      </c>
      <c r="P40" t="n">
        <v>0</v>
      </c>
      <c r="Q40" t="n">
        <v>0.32</v>
      </c>
      <c r="R40">
        <f>SUM(B40:Q40)</f>
        <v/>
      </c>
      <c r="T40" s="41">
        <f>(B40/$R40)</f>
        <v/>
      </c>
      <c r="U40" s="41">
        <f>(C40/$R40)</f>
        <v/>
      </c>
      <c r="V40" s="41">
        <f>(D40/$R40)</f>
        <v/>
      </c>
      <c r="W40" s="41">
        <f>(E40/R40)</f>
        <v/>
      </c>
      <c r="X40" s="41">
        <f>(F40/R40)*100</f>
        <v/>
      </c>
      <c r="Y40" s="41">
        <f>(G40/$R40)</f>
        <v/>
      </c>
      <c r="Z40" s="41">
        <f>(H40/$R40)</f>
        <v/>
      </c>
      <c r="AA40" s="41">
        <f>(I40/$R40)</f>
        <v/>
      </c>
      <c r="AB40" s="41">
        <f>(J40/$R40)</f>
        <v/>
      </c>
      <c r="AC40" s="41">
        <f>(K40/$R40)</f>
        <v/>
      </c>
      <c r="AD40" s="41">
        <f>(L40/$R40)</f>
        <v/>
      </c>
      <c r="AE40" s="41">
        <f>(M40/$R40)</f>
        <v/>
      </c>
      <c r="AF40" s="41">
        <f>(N40/$R40)</f>
        <v/>
      </c>
      <c r="AG40" s="41">
        <f>(O40/$R40)</f>
        <v/>
      </c>
      <c r="AH40" s="41">
        <f>(P40/$R40)</f>
        <v/>
      </c>
      <c r="AI40" s="41">
        <f>(Q40/$R40)</f>
        <v/>
      </c>
      <c r="AJ40" s="41">
        <f>SUM(T40:W40)</f>
        <v/>
      </c>
      <c r="AK40" s="41">
        <f>SUM(AA40:AE40)+X40</f>
        <v/>
      </c>
      <c r="AL40" s="43">
        <f>AI40+AJ40+AF40+AG40+AH40</f>
        <v/>
      </c>
      <c r="AM40" s="41">
        <f>AL40+AK40</f>
        <v/>
      </c>
      <c r="AN40" s="41" t="n"/>
    </row>
    <row r="41" hidden="1" ht="15.75" customHeight="1" s="259">
      <c r="A41" s="8" t="n">
        <v>45126</v>
      </c>
      <c r="B41" t="n">
        <v>0</v>
      </c>
      <c r="C41" t="n">
        <v>0</v>
      </c>
      <c r="D41" t="n">
        <v>0.84</v>
      </c>
      <c r="E41" t="n">
        <v>0.82</v>
      </c>
      <c r="F41" t="n">
        <v>0</v>
      </c>
      <c r="G41" t="n">
        <v>24.44</v>
      </c>
      <c r="H41" t="n">
        <v>2.1</v>
      </c>
      <c r="I41" t="n">
        <v>0</v>
      </c>
      <c r="J41" t="n">
        <v>0.08</v>
      </c>
      <c r="K41" t="n">
        <v>0.14</v>
      </c>
      <c r="L41" t="n">
        <v>0</v>
      </c>
      <c r="M41" t="n">
        <v>0</v>
      </c>
      <c r="N41" t="n">
        <v>0</v>
      </c>
      <c r="O41" t="n">
        <v>0.04</v>
      </c>
      <c r="P41" t="n">
        <v>0</v>
      </c>
      <c r="Q41" t="n">
        <v>0.24</v>
      </c>
      <c r="R41">
        <f>SUM(B41:Q41)</f>
        <v/>
      </c>
      <c r="T41" s="41">
        <f>(B41/$R41)</f>
        <v/>
      </c>
      <c r="U41" s="41">
        <f>(C41/$R41)</f>
        <v/>
      </c>
      <c r="V41" s="41">
        <f>(D41/$R41)</f>
        <v/>
      </c>
      <c r="W41" s="41">
        <f>(E41/R41)</f>
        <v/>
      </c>
      <c r="X41" s="41">
        <f>(F41/R41)*100</f>
        <v/>
      </c>
      <c r="Y41" s="41">
        <f>(G41/$R41)</f>
        <v/>
      </c>
      <c r="Z41" s="41">
        <f>(H41/$R41)</f>
        <v/>
      </c>
      <c r="AA41" s="41">
        <f>(I41/$R41)</f>
        <v/>
      </c>
      <c r="AB41" s="41">
        <f>(J41/$R41)</f>
        <v/>
      </c>
      <c r="AC41" s="41">
        <f>(K41/$R41)</f>
        <v/>
      </c>
      <c r="AD41" s="41">
        <f>(L41/$R41)</f>
        <v/>
      </c>
      <c r="AE41" s="41">
        <f>(M41/$R41)</f>
        <v/>
      </c>
      <c r="AF41" s="41">
        <f>(N41/$R41)</f>
        <v/>
      </c>
      <c r="AG41" s="41">
        <f>(O41/$R41)</f>
        <v/>
      </c>
      <c r="AH41" s="41">
        <f>(P41/$R41)</f>
        <v/>
      </c>
      <c r="AI41" s="41">
        <f>(Q41/$R41)</f>
        <v/>
      </c>
      <c r="AJ41" s="41">
        <f>SUM(T41:W41)</f>
        <v/>
      </c>
      <c r="AK41" s="41">
        <f>SUM(AA41:AE41)+X41</f>
        <v/>
      </c>
      <c r="AL41" s="43">
        <f>AI41+AJ41+AF41+AG41+AH41</f>
        <v/>
      </c>
      <c r="AM41" s="41">
        <f>AL41+AK41</f>
        <v/>
      </c>
      <c r="AN41" s="41" t="n"/>
    </row>
    <row r="42" hidden="1" ht="15.75" customHeight="1" s="259">
      <c r="A42" s="8" t="n">
        <v>45129</v>
      </c>
      <c r="B42" t="n">
        <v>0</v>
      </c>
      <c r="C42" t="n">
        <v>0</v>
      </c>
      <c r="D42" t="n">
        <v>0</v>
      </c>
      <c r="E42" t="n">
        <v>0</v>
      </c>
      <c r="F42" t="n">
        <v>0</v>
      </c>
      <c r="G42" t="n">
        <v>22</v>
      </c>
      <c r="H42" t="n">
        <v>1.56</v>
      </c>
      <c r="I42" t="n">
        <v>0.32</v>
      </c>
      <c r="J42" t="n">
        <v>0</v>
      </c>
      <c r="K42" t="n">
        <v>0</v>
      </c>
      <c r="L42" t="n">
        <v>0</v>
      </c>
      <c r="M42" t="n">
        <v>0</v>
      </c>
      <c r="N42" t="n">
        <v>0</v>
      </c>
      <c r="O42" t="n">
        <v>0.02</v>
      </c>
      <c r="P42" t="n">
        <v>0</v>
      </c>
      <c r="Q42" t="n">
        <v>0.24</v>
      </c>
      <c r="R42">
        <f>SUM(B42:Q42)</f>
        <v/>
      </c>
      <c r="T42" s="41">
        <f>(B42/$R42)</f>
        <v/>
      </c>
      <c r="U42" s="41">
        <f>(C42/$R42)</f>
        <v/>
      </c>
      <c r="V42" s="41">
        <f>(D42/$R42)</f>
        <v/>
      </c>
      <c r="W42" s="41">
        <f>(E42/R42)</f>
        <v/>
      </c>
      <c r="X42" s="41">
        <f>(F42/R42)*100</f>
        <v/>
      </c>
      <c r="Y42" s="41">
        <f>(G42/$R42)</f>
        <v/>
      </c>
      <c r="Z42" s="41">
        <f>(H42/$R42)</f>
        <v/>
      </c>
      <c r="AA42" s="41">
        <f>(I42/$R42)</f>
        <v/>
      </c>
      <c r="AB42" s="41">
        <f>(J42/$R42)</f>
        <v/>
      </c>
      <c r="AC42" s="41">
        <f>(K42/$R42)</f>
        <v/>
      </c>
      <c r="AD42" s="41">
        <f>(L42/$R42)</f>
        <v/>
      </c>
      <c r="AE42" s="41">
        <f>(M42/$R42)</f>
        <v/>
      </c>
      <c r="AF42" s="41">
        <f>(N42/$R42)</f>
        <v/>
      </c>
      <c r="AG42" s="41">
        <f>(O42/$R42)</f>
        <v/>
      </c>
      <c r="AH42" s="41">
        <f>(P42/$R42)</f>
        <v/>
      </c>
      <c r="AI42" s="41">
        <f>(Q42/$R42)</f>
        <v/>
      </c>
      <c r="AJ42" s="41">
        <f>SUM(T42:W42)</f>
        <v/>
      </c>
      <c r="AK42" s="41">
        <f>SUM(AA42:AE42)+X42</f>
        <v/>
      </c>
      <c r="AL42" s="43">
        <f>AI42+AJ42+AF42+AG42+AH42</f>
        <v/>
      </c>
      <c r="AM42" s="41">
        <f>AL42+AK42</f>
        <v/>
      </c>
      <c r="AN42" s="41" t="n"/>
    </row>
    <row r="43" hidden="1" ht="15.75" customHeight="1" s="259">
      <c r="A43" s="8" t="n">
        <v>45162</v>
      </c>
      <c r="B43" t="n">
        <v>0.04</v>
      </c>
      <c r="C43" t="n">
        <v>0</v>
      </c>
      <c r="D43" t="n">
        <v>0.24</v>
      </c>
      <c r="E43" t="n">
        <v>0.06</v>
      </c>
      <c r="F43" t="n">
        <v>0</v>
      </c>
      <c r="G43" t="n">
        <v>19.98</v>
      </c>
      <c r="H43" t="n">
        <v>1.46</v>
      </c>
      <c r="I43" t="n">
        <v>0.14</v>
      </c>
      <c r="J43" t="n">
        <v>0.06</v>
      </c>
      <c r="K43" t="n">
        <v>0.12</v>
      </c>
      <c r="L43" t="n">
        <v>0.12</v>
      </c>
      <c r="M43" t="n">
        <v>0</v>
      </c>
      <c r="N43" t="n">
        <v>0</v>
      </c>
      <c r="O43" t="n">
        <v>0.12</v>
      </c>
      <c r="P43" t="n">
        <v>0.04</v>
      </c>
      <c r="Q43" t="n">
        <v>0.72</v>
      </c>
      <c r="R43">
        <f>SUM(B43:Q43)</f>
        <v/>
      </c>
      <c r="T43" s="41">
        <f>(B43/$R43)</f>
        <v/>
      </c>
      <c r="U43" s="41">
        <f>(C43/$R43)</f>
        <v/>
      </c>
      <c r="V43" s="41">
        <f>(D43/$R43)</f>
        <v/>
      </c>
      <c r="W43" s="41">
        <f>(E43/R43)</f>
        <v/>
      </c>
      <c r="X43" s="41">
        <f>(F43/R43)*100</f>
        <v/>
      </c>
      <c r="Y43" s="41">
        <f>(G43/$R43)</f>
        <v/>
      </c>
      <c r="Z43" s="41">
        <f>(H43/$R43)</f>
        <v/>
      </c>
      <c r="AA43" s="41">
        <f>(I43/$R43)</f>
        <v/>
      </c>
      <c r="AB43" s="41">
        <f>(J43/$R43)</f>
        <v/>
      </c>
      <c r="AC43" s="41">
        <f>(K43/$R43)</f>
        <v/>
      </c>
      <c r="AD43" s="41">
        <f>(L43/$R43)</f>
        <v/>
      </c>
      <c r="AE43" s="41">
        <f>(M43/$R43)</f>
        <v/>
      </c>
      <c r="AF43" s="41">
        <f>(N43/$R43)</f>
        <v/>
      </c>
      <c r="AG43" s="41">
        <f>(O43/$R43)</f>
        <v/>
      </c>
      <c r="AH43" s="41">
        <f>(P43/$R43)</f>
        <v/>
      </c>
      <c r="AI43" s="41">
        <f>(Q43/$R43)</f>
        <v/>
      </c>
      <c r="AJ43" s="41">
        <f>SUM(T43:W43)</f>
        <v/>
      </c>
      <c r="AK43" s="41">
        <f>SUM(AA43:AE43)+X43</f>
        <v/>
      </c>
      <c r="AL43" s="43">
        <f>AI43+AJ43+AF43+AG43+AH43</f>
        <v/>
      </c>
      <c r="AM43" s="41">
        <f>AL43+AK43</f>
        <v/>
      </c>
      <c r="AN43" s="41" t="n"/>
    </row>
    <row r="44" hidden="1" ht="15.75" customHeight="1" s="259">
      <c r="A44" s="8" t="n">
        <v>45167</v>
      </c>
      <c r="B44" t="n">
        <v>0</v>
      </c>
      <c r="C44" t="n">
        <v>0</v>
      </c>
      <c r="D44" t="n">
        <v>0</v>
      </c>
      <c r="E44" t="n">
        <v>0.08</v>
      </c>
      <c r="F44" t="n">
        <v>0</v>
      </c>
      <c r="G44" t="n">
        <v>20.5</v>
      </c>
      <c r="H44" t="n">
        <v>1.94</v>
      </c>
      <c r="I44" t="n">
        <v>0</v>
      </c>
      <c r="J44" t="n">
        <v>0.08</v>
      </c>
      <c r="K44" t="n">
        <v>0</v>
      </c>
      <c r="L44" t="n">
        <v>0.08</v>
      </c>
      <c r="M44" t="n">
        <v>0.02</v>
      </c>
      <c r="N44" t="n">
        <v>0</v>
      </c>
      <c r="O44" t="n">
        <v>0</v>
      </c>
      <c r="P44" t="n">
        <v>0.04</v>
      </c>
      <c r="Q44" t="n">
        <v>0.42</v>
      </c>
      <c r="R44">
        <f>SUM(B44:Q44)</f>
        <v/>
      </c>
      <c r="T44" s="41">
        <f>(B44/$R44)</f>
        <v/>
      </c>
      <c r="U44" s="41">
        <f>(C44/$R44)</f>
        <v/>
      </c>
      <c r="V44" s="41">
        <f>(D44/$R44)</f>
        <v/>
      </c>
      <c r="W44" s="41">
        <f>(E44/R44)</f>
        <v/>
      </c>
      <c r="X44" s="41">
        <f>(F44/R44)*100</f>
        <v/>
      </c>
      <c r="Y44" s="41">
        <f>(G44/$R44)</f>
        <v/>
      </c>
      <c r="Z44" s="41">
        <f>(H44/$R44)</f>
        <v/>
      </c>
      <c r="AA44" s="41">
        <f>(I44/$R44)</f>
        <v/>
      </c>
      <c r="AB44" s="41">
        <f>(J44/$R44)</f>
        <v/>
      </c>
      <c r="AC44" s="41">
        <f>(K44/$R44)</f>
        <v/>
      </c>
      <c r="AD44" s="41">
        <f>(L44/$R44)</f>
        <v/>
      </c>
      <c r="AE44" s="41">
        <f>(M44/$R44)</f>
        <v/>
      </c>
      <c r="AF44" s="41">
        <f>(N44/$R44)</f>
        <v/>
      </c>
      <c r="AG44" s="41">
        <f>(O44/$R44)</f>
        <v/>
      </c>
      <c r="AH44" s="41">
        <f>(P44/$R44)</f>
        <v/>
      </c>
      <c r="AI44" s="41">
        <f>(Q44/$R44)</f>
        <v/>
      </c>
      <c r="AJ44" s="41">
        <f>SUM(T44:W44)</f>
        <v/>
      </c>
      <c r="AK44" s="41">
        <f>SUM(AA44:AE44)+X44</f>
        <v/>
      </c>
      <c r="AL44" s="43">
        <f>AI44+AJ44+AF44+AG44+AH44</f>
        <v/>
      </c>
      <c r="AM44" s="41">
        <f>AL44+AK44</f>
        <v/>
      </c>
      <c r="AN44" s="41" t="n"/>
    </row>
    <row r="45" hidden="1" ht="15.75" customHeight="1" s="259">
      <c r="A45" s="8" t="n">
        <v>45174</v>
      </c>
      <c r="B45" t="n">
        <v>0.06</v>
      </c>
      <c r="C45" t="n">
        <v>0</v>
      </c>
      <c r="D45" t="n">
        <v>0</v>
      </c>
      <c r="E45" t="n">
        <v>0</v>
      </c>
      <c r="F45" t="n">
        <v>0</v>
      </c>
      <c r="G45" t="n">
        <v>18.92</v>
      </c>
      <c r="H45" t="n">
        <v>1.16</v>
      </c>
      <c r="I45" t="n">
        <v>0</v>
      </c>
      <c r="J45" t="n">
        <v>0.06</v>
      </c>
      <c r="K45" t="n">
        <v>0.02</v>
      </c>
      <c r="L45" t="n">
        <v>0</v>
      </c>
      <c r="M45" t="n">
        <v>0</v>
      </c>
      <c r="N45" t="n">
        <v>0</v>
      </c>
      <c r="O45" t="n">
        <v>0.04</v>
      </c>
      <c r="P45" t="n">
        <v>0</v>
      </c>
      <c r="Q45" t="n">
        <v>0.18</v>
      </c>
      <c r="R45">
        <f>SUM(B45:Q45)</f>
        <v/>
      </c>
      <c r="T45" s="41">
        <f>(B45/$R45)</f>
        <v/>
      </c>
      <c r="U45" s="41">
        <f>(C45/$R45)</f>
        <v/>
      </c>
      <c r="V45" s="41">
        <f>(D45/$R45)</f>
        <v/>
      </c>
      <c r="W45" s="41">
        <f>(E45/R45)</f>
        <v/>
      </c>
      <c r="X45" s="41">
        <f>(F45/R45)*100</f>
        <v/>
      </c>
      <c r="Y45" s="41">
        <f>(G45/$R45)</f>
        <v/>
      </c>
      <c r="Z45" s="41">
        <f>(H45/$R45)</f>
        <v/>
      </c>
      <c r="AA45" s="41">
        <f>(I45/$R45)</f>
        <v/>
      </c>
      <c r="AB45" s="41">
        <f>(J45/$R45)</f>
        <v/>
      </c>
      <c r="AC45" s="41">
        <f>(K45/$R45)</f>
        <v/>
      </c>
      <c r="AD45" s="41">
        <f>(L45/$R45)</f>
        <v/>
      </c>
      <c r="AE45" s="41">
        <f>(M45/$R45)</f>
        <v/>
      </c>
      <c r="AF45" s="41">
        <f>(N45/$R45)</f>
        <v/>
      </c>
      <c r="AG45" s="41">
        <f>(O45/$R45)</f>
        <v/>
      </c>
      <c r="AH45" s="41">
        <f>(P45/$R45)</f>
        <v/>
      </c>
      <c r="AI45" s="41">
        <f>(Q45/$R45)</f>
        <v/>
      </c>
      <c r="AJ45" s="41">
        <f>SUM(T45:W45)</f>
        <v/>
      </c>
      <c r="AK45" s="41">
        <f>SUM(AA45:AE45)+X45</f>
        <v/>
      </c>
      <c r="AL45" s="43">
        <f>AI45+AJ45+AF45+AG45+AH45</f>
        <v/>
      </c>
      <c r="AM45" s="41">
        <f>AL45+AK45</f>
        <v/>
      </c>
      <c r="AN45" s="41" t="n"/>
    </row>
    <row r="46" hidden="1" ht="15.75" customHeight="1" s="259">
      <c r="A46" s="8" t="n">
        <v>45196</v>
      </c>
      <c r="B46" t="n">
        <v>0</v>
      </c>
      <c r="C46" t="n">
        <v>0</v>
      </c>
      <c r="D46" t="n">
        <v>0.02</v>
      </c>
      <c r="E46" t="n">
        <v>0</v>
      </c>
      <c r="F46" t="n">
        <v>0</v>
      </c>
      <c r="G46" t="n">
        <v>17.76</v>
      </c>
      <c r="H46" t="n">
        <v>1.42</v>
      </c>
      <c r="I46" t="n">
        <v>0.06</v>
      </c>
      <c r="J46" t="n">
        <v>0</v>
      </c>
      <c r="K46" t="n">
        <v>0.02</v>
      </c>
      <c r="L46" t="n">
        <v>0</v>
      </c>
      <c r="M46" t="n">
        <v>0</v>
      </c>
      <c r="N46" t="n">
        <v>0</v>
      </c>
      <c r="O46" t="n">
        <v>0.1</v>
      </c>
      <c r="P46" t="n">
        <v>0.06</v>
      </c>
      <c r="Q46" t="n">
        <v>0.48</v>
      </c>
      <c r="R46">
        <f>SUM(B46:Q46)</f>
        <v/>
      </c>
      <c r="T46" s="41">
        <f>(B46/$R46)</f>
        <v/>
      </c>
      <c r="U46" s="41">
        <f>(C46/$R46)</f>
        <v/>
      </c>
      <c r="V46" s="41">
        <f>(D46/$R46)</f>
        <v/>
      </c>
      <c r="W46" s="41">
        <f>(E46/R46)</f>
        <v/>
      </c>
      <c r="X46" s="41">
        <f>(F46/R46)*100</f>
        <v/>
      </c>
      <c r="Y46" s="41">
        <f>(G46/$R46)</f>
        <v/>
      </c>
      <c r="Z46" s="41">
        <f>(H46/$R46)</f>
        <v/>
      </c>
      <c r="AA46" s="41">
        <f>(I46/$R46)</f>
        <v/>
      </c>
      <c r="AB46" s="41">
        <f>(J46/$R46)</f>
        <v/>
      </c>
      <c r="AC46" s="41">
        <f>(K46/$R46)</f>
        <v/>
      </c>
      <c r="AD46" s="41">
        <f>(L46/$R46)</f>
        <v/>
      </c>
      <c r="AE46" s="41">
        <f>(M46/$R46)</f>
        <v/>
      </c>
      <c r="AF46" s="41">
        <f>(N46/$R46)</f>
        <v/>
      </c>
      <c r="AG46" s="41">
        <f>(O46/$R46)</f>
        <v/>
      </c>
      <c r="AH46" s="41">
        <f>(P46/$R46)</f>
        <v/>
      </c>
      <c r="AI46" s="41">
        <f>(Q46/$R46)</f>
        <v/>
      </c>
      <c r="AJ46" s="41">
        <f>SUM(T46:W46)</f>
        <v/>
      </c>
      <c r="AK46" s="41">
        <f>SUM(AA46:AE46)+X46</f>
        <v/>
      </c>
      <c r="AL46" s="43">
        <f>AI46+AJ46+AF46+AG46+AH46</f>
        <v/>
      </c>
      <c r="AM46" s="41">
        <f>AL46+AK46</f>
        <v/>
      </c>
      <c r="AN46" s="41" t="n"/>
    </row>
    <row r="47" hidden="1" ht="15.75" customHeight="1" s="259">
      <c r="A47" s="8" t="n">
        <v>45208</v>
      </c>
      <c r="B47" t="n">
        <v>0</v>
      </c>
      <c r="C47" t="n">
        <v>0</v>
      </c>
      <c r="D47" t="n">
        <v>0.04</v>
      </c>
      <c r="E47" t="n">
        <v>0</v>
      </c>
      <c r="F47" t="n">
        <v>0</v>
      </c>
      <c r="G47" t="n">
        <v>21.76</v>
      </c>
      <c r="H47" t="n">
        <v>2.08</v>
      </c>
      <c r="I47" t="n">
        <v>0.06</v>
      </c>
      <c r="J47" t="n">
        <v>0</v>
      </c>
      <c r="K47" t="n">
        <v>0.1</v>
      </c>
      <c r="L47" t="n">
        <v>0</v>
      </c>
      <c r="M47" t="n">
        <v>0</v>
      </c>
      <c r="N47" t="n">
        <v>0</v>
      </c>
      <c r="O47" t="n">
        <v>0</v>
      </c>
      <c r="P47" t="n">
        <v>0</v>
      </c>
      <c r="Q47" t="n">
        <v>0.16</v>
      </c>
      <c r="R47">
        <f>SUM(B47:Q47)</f>
        <v/>
      </c>
      <c r="T47" s="41">
        <f>(B47/$R47)</f>
        <v/>
      </c>
      <c r="U47" s="41">
        <f>(C47/$R47)</f>
        <v/>
      </c>
      <c r="V47" s="41">
        <f>(D47/$R47)</f>
        <v/>
      </c>
      <c r="W47" s="41">
        <f>(E47/R47)</f>
        <v/>
      </c>
      <c r="X47" s="41">
        <f>(F47/R47)*100</f>
        <v/>
      </c>
      <c r="Y47" s="41">
        <f>(G47/$R47)</f>
        <v/>
      </c>
      <c r="Z47" s="41">
        <f>(H47/$R47)</f>
        <v/>
      </c>
      <c r="AA47" s="41">
        <f>(I47/$R47)</f>
        <v/>
      </c>
      <c r="AB47" s="41">
        <f>(J47/$R47)</f>
        <v/>
      </c>
      <c r="AC47" s="41">
        <f>(K47/$R47)</f>
        <v/>
      </c>
      <c r="AD47" s="41">
        <f>(L47/$R47)</f>
        <v/>
      </c>
      <c r="AE47" s="41">
        <f>(M47/$R47)</f>
        <v/>
      </c>
      <c r="AF47" s="41">
        <f>(N47/$R47)</f>
        <v/>
      </c>
      <c r="AG47" s="41">
        <f>(O47/$R47)</f>
        <v/>
      </c>
      <c r="AH47" s="41">
        <f>(P47/$R47)</f>
        <v/>
      </c>
      <c r="AI47" s="41">
        <f>(Q47/$R47)</f>
        <v/>
      </c>
      <c r="AJ47" s="41">
        <f>SUM(T47:W47)</f>
        <v/>
      </c>
      <c r="AK47" s="41">
        <f>SUM(AA47:AE47)+X47</f>
        <v/>
      </c>
      <c r="AL47" s="43">
        <f>AI47+AJ47+AF47+AG47+AH47</f>
        <v/>
      </c>
      <c r="AM47" s="41">
        <f>AL47+AK47</f>
        <v/>
      </c>
      <c r="AN47" s="41" t="n"/>
    </row>
    <row r="48" hidden="1" ht="15.75" customHeight="1" s="259">
      <c r="A48" s="8" t="n">
        <v>45232</v>
      </c>
      <c r="B48" t="n">
        <v>0</v>
      </c>
      <c r="C48" t="n">
        <v>0</v>
      </c>
      <c r="D48" t="n">
        <v>0.06</v>
      </c>
      <c r="E48" t="n">
        <v>0</v>
      </c>
      <c r="F48" t="n">
        <v>0.06</v>
      </c>
      <c r="G48" t="n">
        <v>20.66</v>
      </c>
      <c r="H48" t="n">
        <v>2.72</v>
      </c>
      <c r="I48" t="n">
        <v>0.02</v>
      </c>
      <c r="J48" t="n">
        <v>0.82</v>
      </c>
      <c r="K48" t="n">
        <v>0.06</v>
      </c>
      <c r="L48" t="n">
        <v>0</v>
      </c>
      <c r="M48" t="n">
        <v>0</v>
      </c>
      <c r="N48" t="n">
        <v>0</v>
      </c>
      <c r="O48" t="n">
        <v>0</v>
      </c>
      <c r="P48" t="n">
        <v>0</v>
      </c>
      <c r="Q48" t="n">
        <v>0.44</v>
      </c>
      <c r="R48">
        <f>SUM(B48:Q48)</f>
        <v/>
      </c>
      <c r="T48" s="41">
        <f>(B48/$R48)</f>
        <v/>
      </c>
      <c r="U48" s="41">
        <f>(C48/$R48)</f>
        <v/>
      </c>
      <c r="V48" s="41">
        <f>(D48/$R48)</f>
        <v/>
      </c>
      <c r="W48" s="41">
        <f>(E48/R48)</f>
        <v/>
      </c>
      <c r="X48" s="41">
        <f>(F48/R48)*100</f>
        <v/>
      </c>
      <c r="Y48" s="41">
        <f>(G48/$R48)</f>
        <v/>
      </c>
      <c r="Z48" s="41">
        <f>(H48/$R48)</f>
        <v/>
      </c>
      <c r="AA48" s="41">
        <f>(I48/$R48)</f>
        <v/>
      </c>
      <c r="AB48" s="41">
        <f>(J48/$R48)</f>
        <v/>
      </c>
      <c r="AC48" s="41">
        <f>(K48/$R48)</f>
        <v/>
      </c>
      <c r="AD48" s="41">
        <f>(L48/$R48)</f>
        <v/>
      </c>
      <c r="AE48" s="41">
        <f>(M48/$R48)</f>
        <v/>
      </c>
      <c r="AF48" s="41">
        <f>(N48/$R48)</f>
        <v/>
      </c>
      <c r="AG48" s="41">
        <f>(O48/$R48)</f>
        <v/>
      </c>
      <c r="AH48" s="41">
        <f>(P48/$R48)</f>
        <v/>
      </c>
      <c r="AI48" s="41">
        <f>(Q48/$R48)</f>
        <v/>
      </c>
      <c r="AJ48" s="41">
        <f>SUM(T48:W48)</f>
        <v/>
      </c>
      <c r="AK48" s="41">
        <f>SUM(AA48:AE48)+X48</f>
        <v/>
      </c>
      <c r="AL48" s="43">
        <f>AI48+AJ48+AF48+AG48+AH48</f>
        <v/>
      </c>
      <c r="AM48" s="41">
        <f>AL48+AK48</f>
        <v/>
      </c>
      <c r="AN48" s="41" t="n"/>
    </row>
    <row r="49" hidden="1" ht="15.75" customHeight="1" s="259">
      <c r="A49" s="8" t="n">
        <v>45244</v>
      </c>
      <c r="B49" t="n">
        <v>0</v>
      </c>
      <c r="C49" t="n">
        <v>0</v>
      </c>
      <c r="D49" t="n">
        <v>0</v>
      </c>
      <c r="E49" t="n">
        <v>0</v>
      </c>
      <c r="F49" t="n">
        <v>0</v>
      </c>
      <c r="G49" t="n">
        <v>22.6</v>
      </c>
      <c r="H49" t="n">
        <v>1.08</v>
      </c>
      <c r="I49" t="n">
        <v>0</v>
      </c>
      <c r="J49" t="n">
        <v>0</v>
      </c>
      <c r="K49" t="n">
        <v>0.12</v>
      </c>
      <c r="L49" t="n">
        <v>0.02</v>
      </c>
      <c r="M49" t="n">
        <v>0</v>
      </c>
      <c r="N49" t="n">
        <v>0</v>
      </c>
      <c r="O49" t="n">
        <v>0</v>
      </c>
      <c r="P49" t="n">
        <v>0</v>
      </c>
      <c r="Q49" t="n">
        <v>0.1</v>
      </c>
      <c r="R49">
        <f>SUM(B49:Q49)</f>
        <v/>
      </c>
      <c r="T49" s="41">
        <f>(B49/$R49)</f>
        <v/>
      </c>
      <c r="U49" s="41">
        <f>(C49/$R49)</f>
        <v/>
      </c>
      <c r="V49" s="41">
        <f>(D49/$R49)</f>
        <v/>
      </c>
      <c r="W49" s="41">
        <f>(E49/R49)</f>
        <v/>
      </c>
      <c r="X49" s="41">
        <f>(F49/R49)*100</f>
        <v/>
      </c>
      <c r="Y49" s="41">
        <f>(G49/$R49)</f>
        <v/>
      </c>
      <c r="Z49" s="41">
        <f>(H49/$R49)</f>
        <v/>
      </c>
      <c r="AA49" s="41">
        <f>(I49/$R49)</f>
        <v/>
      </c>
      <c r="AB49" s="41">
        <f>(J49/$R49)</f>
        <v/>
      </c>
      <c r="AC49" s="41">
        <f>(K49/$R49)</f>
        <v/>
      </c>
      <c r="AD49" s="41">
        <f>(L49/$R49)</f>
        <v/>
      </c>
      <c r="AE49" s="41">
        <f>(M49/$R49)</f>
        <v/>
      </c>
      <c r="AF49" s="41">
        <f>(N49/$R49)</f>
        <v/>
      </c>
      <c r="AG49" s="41">
        <f>(O49/$R49)</f>
        <v/>
      </c>
      <c r="AH49" s="41">
        <f>(P49/$R49)</f>
        <v/>
      </c>
      <c r="AI49" s="41">
        <f>(Q49/$R49)</f>
        <v/>
      </c>
      <c r="AJ49" s="41">
        <f>SUM(T49:W49)</f>
        <v/>
      </c>
      <c r="AK49" s="41">
        <f>SUM(AA49:AE49)+X49</f>
        <v/>
      </c>
      <c r="AL49" s="43">
        <f>AI49+AJ49+AF49+AG49+AH49</f>
        <v/>
      </c>
      <c r="AM49" s="41">
        <f>AL49+AK49</f>
        <v/>
      </c>
      <c r="AN49" s="41" t="n"/>
    </row>
    <row r="50" hidden="1" ht="15.75" customHeight="1" s="259">
      <c r="A50" s="8" t="n">
        <v>45265</v>
      </c>
      <c r="B50" t="n">
        <v>0</v>
      </c>
      <c r="C50" t="n">
        <v>0</v>
      </c>
      <c r="D50" t="n">
        <v>0</v>
      </c>
      <c r="E50" t="n">
        <v>0</v>
      </c>
      <c r="F50" t="n">
        <v>0</v>
      </c>
      <c r="G50" t="n">
        <v>18.34</v>
      </c>
      <c r="H50" t="n">
        <v>1.3</v>
      </c>
      <c r="I50" t="n">
        <v>0</v>
      </c>
      <c r="J50" t="n">
        <v>0.08</v>
      </c>
      <c r="K50" t="n">
        <v>0.1</v>
      </c>
      <c r="L50" t="n">
        <v>0.04</v>
      </c>
      <c r="M50" t="n">
        <v>0</v>
      </c>
      <c r="N50" t="n">
        <v>0</v>
      </c>
      <c r="O50" t="n">
        <v>0.08</v>
      </c>
      <c r="P50" t="n">
        <v>0.02</v>
      </c>
      <c r="Q50" t="n">
        <v>0.3</v>
      </c>
      <c r="R50">
        <f>SUM(B50:Q50)</f>
        <v/>
      </c>
      <c r="T50" s="41">
        <f>(B50/$R50)</f>
        <v/>
      </c>
      <c r="U50" s="41">
        <f>(C50/$R50)</f>
        <v/>
      </c>
      <c r="V50" s="41">
        <f>(D50/$R50)</f>
        <v/>
      </c>
      <c r="W50" s="41">
        <f>(E50/R50)</f>
        <v/>
      </c>
      <c r="X50" s="41">
        <f>(F50/R50)*100</f>
        <v/>
      </c>
      <c r="Y50" s="41">
        <f>(G50/$R50)</f>
        <v/>
      </c>
      <c r="Z50" s="41">
        <f>(H50/$R50)</f>
        <v/>
      </c>
      <c r="AA50" s="41">
        <f>(I50/$R50)</f>
        <v/>
      </c>
      <c r="AB50" s="41">
        <f>(J50/$R50)</f>
        <v/>
      </c>
      <c r="AC50" s="41">
        <f>(K50/$R50)</f>
        <v/>
      </c>
      <c r="AD50" s="41">
        <f>(L50/$R50)</f>
        <v/>
      </c>
      <c r="AE50" s="41">
        <f>(M50/$R50)</f>
        <v/>
      </c>
      <c r="AF50" s="41">
        <f>(N50/$R50)</f>
        <v/>
      </c>
      <c r="AG50" s="41">
        <f>(O50/$R50)</f>
        <v/>
      </c>
      <c r="AH50" s="41">
        <f>(P50/$R50)</f>
        <v/>
      </c>
      <c r="AI50" s="41">
        <f>(Q50/$R50)</f>
        <v/>
      </c>
      <c r="AJ50" s="41">
        <f>SUM(T50:W50)</f>
        <v/>
      </c>
      <c r="AK50" s="41">
        <f>SUM(AA50:AE50)+X50</f>
        <v/>
      </c>
      <c r="AL50" s="43">
        <f>AI50+AJ50+AF50+AG50+AH50</f>
        <v/>
      </c>
      <c r="AM50" s="41">
        <f>AL50+AK50</f>
        <v/>
      </c>
      <c r="AN50" s="41" t="n"/>
    </row>
    <row r="51" hidden="1" ht="15.75" customHeight="1" s="259">
      <c r="A51" s="8" t="n">
        <v>45286</v>
      </c>
      <c r="B51" t="n">
        <v>0</v>
      </c>
      <c r="C51" t="n">
        <v>0</v>
      </c>
      <c r="D51" t="n">
        <v>0</v>
      </c>
      <c r="E51" t="n">
        <v>0</v>
      </c>
      <c r="F51" t="n">
        <v>0</v>
      </c>
      <c r="G51" t="n">
        <v>19.42</v>
      </c>
      <c r="H51" t="n">
        <v>2.68</v>
      </c>
      <c r="I51" t="n">
        <v>0</v>
      </c>
      <c r="J51" t="n">
        <v>0.06</v>
      </c>
      <c r="L51" t="n">
        <v>0</v>
      </c>
      <c r="M51" t="n">
        <v>0</v>
      </c>
      <c r="N51" t="n">
        <v>0</v>
      </c>
      <c r="O51" t="n">
        <v>0.02</v>
      </c>
      <c r="P51" t="n">
        <v>0.02</v>
      </c>
      <c r="Q51" t="n">
        <v>0.12</v>
      </c>
      <c r="R51">
        <f>SUM(B51:Q51)</f>
        <v/>
      </c>
      <c r="T51" s="41">
        <f>(B51/$R51)</f>
        <v/>
      </c>
      <c r="U51" s="41">
        <f>(C51/$R51)</f>
        <v/>
      </c>
      <c r="V51" s="41">
        <f>(D51/$R51)</f>
        <v/>
      </c>
      <c r="W51" s="41">
        <f>(E51/R51)</f>
        <v/>
      </c>
      <c r="X51" s="41">
        <f>(F51/R51)*100</f>
        <v/>
      </c>
      <c r="Y51" s="41">
        <f>(G51/$R51)</f>
        <v/>
      </c>
      <c r="Z51" s="41">
        <f>(H51/$R51)</f>
        <v/>
      </c>
      <c r="AA51" s="41">
        <f>(I51/$R51)</f>
        <v/>
      </c>
      <c r="AB51" s="41">
        <f>(J51/$R51)</f>
        <v/>
      </c>
      <c r="AC51" s="41">
        <f>(K51/$R51)</f>
        <v/>
      </c>
      <c r="AD51" s="41">
        <f>(L51/$R51)</f>
        <v/>
      </c>
      <c r="AE51" s="41">
        <f>(M51/$R51)</f>
        <v/>
      </c>
      <c r="AF51" s="41">
        <f>(N51/$R51)</f>
        <v/>
      </c>
      <c r="AG51" s="41">
        <f>(O51/$R51)</f>
        <v/>
      </c>
      <c r="AH51" s="41">
        <f>(P51/$R51)</f>
        <v/>
      </c>
      <c r="AI51" s="41">
        <f>(Q51/$R51)</f>
        <v/>
      </c>
      <c r="AJ51" s="41">
        <f>SUM(T51:W51)</f>
        <v/>
      </c>
      <c r="AK51" s="41">
        <f>SUM(AA51:AE51)+X51</f>
        <v/>
      </c>
      <c r="AL51" s="43">
        <f>AI51+AJ51+AF51+AG51+AH51</f>
        <v/>
      </c>
      <c r="AM51" s="41">
        <f>AL51+AK51</f>
        <v/>
      </c>
      <c r="AN51" s="41" t="n"/>
    </row>
    <row r="52" ht="15.75" customHeight="1" s="259">
      <c r="A52" s="8" t="n">
        <v>45300</v>
      </c>
      <c r="B52" t="n">
        <v>0</v>
      </c>
      <c r="C52" t="n">
        <v>0</v>
      </c>
      <c r="D52" t="n">
        <v>0</v>
      </c>
      <c r="E52" t="n">
        <v>0</v>
      </c>
      <c r="F52" t="n">
        <v>0</v>
      </c>
      <c r="G52" t="n">
        <v>18.42</v>
      </c>
      <c r="H52" t="n">
        <v>1.08</v>
      </c>
      <c r="I52" t="n">
        <v>0.06</v>
      </c>
      <c r="J52" t="n">
        <v>0</v>
      </c>
      <c r="K52" t="n">
        <v>0.04</v>
      </c>
      <c r="L52" t="n">
        <v>0</v>
      </c>
      <c r="M52" t="n">
        <v>0</v>
      </c>
      <c r="N52" t="n">
        <v>0</v>
      </c>
      <c r="O52" t="n">
        <v>0</v>
      </c>
      <c r="P52" t="n">
        <v>0</v>
      </c>
      <c r="Q52" t="n">
        <v>0.64</v>
      </c>
      <c r="R52">
        <f>SUM(B52:Q52)</f>
        <v/>
      </c>
      <c r="T52" s="41">
        <f>(B52/$R52)</f>
        <v/>
      </c>
      <c r="U52" s="41">
        <f>(C52/$R52)</f>
        <v/>
      </c>
      <c r="V52" s="41">
        <f>(D52/$R52)</f>
        <v/>
      </c>
      <c r="W52" s="41">
        <f>(E52/R52)</f>
        <v/>
      </c>
      <c r="X52" s="41">
        <f>(F52/R52)*100</f>
        <v/>
      </c>
      <c r="Y52" s="41">
        <f>(G52/$R52)</f>
        <v/>
      </c>
      <c r="Z52" s="41">
        <f>(H52/$R52)</f>
        <v/>
      </c>
      <c r="AA52" s="41">
        <f>(I52/$R52)</f>
        <v/>
      </c>
      <c r="AB52" s="41">
        <f>(J52/$R52)</f>
        <v/>
      </c>
      <c r="AC52" s="41">
        <f>(K52/$R52)</f>
        <v/>
      </c>
      <c r="AD52" s="41">
        <f>(L52/$R52)</f>
        <v/>
      </c>
      <c r="AE52" s="41">
        <f>(M52/$R52)</f>
        <v/>
      </c>
      <c r="AF52" s="41">
        <f>(N52/$R52)</f>
        <v/>
      </c>
      <c r="AG52" s="41">
        <f>(O52/$R52)</f>
        <v/>
      </c>
      <c r="AH52" s="41">
        <f>(P52/$R52)</f>
        <v/>
      </c>
      <c r="AI52" s="41">
        <f>(Q52/$R52)</f>
        <v/>
      </c>
      <c r="AJ52" s="41">
        <f>SUM(T52:W52)</f>
        <v/>
      </c>
      <c r="AK52" s="41">
        <f>SUM(AA52:AE52)+X52</f>
        <v/>
      </c>
      <c r="AL52" s="43">
        <f>AI52+AJ52+AF52+AG52+AH52</f>
        <v/>
      </c>
      <c r="AM52" s="41">
        <f>AL52+AK52</f>
        <v/>
      </c>
      <c r="AN52" s="41">
        <f>SUM(Y52:Z52)</f>
        <v/>
      </c>
      <c r="AO52">
        <f>YEAR(A52)</f>
        <v/>
      </c>
      <c r="AP52">
        <f>MONTH(A52)</f>
        <v/>
      </c>
      <c r="AQ52" t="n">
        <v>1</v>
      </c>
    </row>
    <row r="53" ht="15.75" customHeight="1" s="259">
      <c r="A53" s="8" t="n">
        <v>45324</v>
      </c>
      <c r="B53" t="n">
        <v>0.02</v>
      </c>
      <c r="C53" t="n">
        <v>0</v>
      </c>
      <c r="D53" t="n">
        <v>0.04</v>
      </c>
      <c r="E53" t="n">
        <v>0.02</v>
      </c>
      <c r="F53" t="n">
        <v>0</v>
      </c>
      <c r="G53" t="n">
        <v>20.1</v>
      </c>
      <c r="H53" t="n">
        <v>2.02</v>
      </c>
      <c r="I53" t="n">
        <v>0.04</v>
      </c>
      <c r="J53" t="n">
        <v>0.04</v>
      </c>
      <c r="K53" t="n">
        <v>0.2</v>
      </c>
      <c r="L53" t="n">
        <v>0</v>
      </c>
      <c r="M53" t="n">
        <v>0.02</v>
      </c>
      <c r="N53" t="n">
        <v>0.04</v>
      </c>
      <c r="O53" t="n">
        <v>0.06</v>
      </c>
      <c r="P53" t="n">
        <v>0.02</v>
      </c>
      <c r="Q53" t="n">
        <v>0.48</v>
      </c>
      <c r="R53">
        <f>SUM(B53:Q53)</f>
        <v/>
      </c>
      <c r="T53" s="41">
        <f>(B53/$R53)</f>
        <v/>
      </c>
      <c r="U53" s="41">
        <f>(C53/$R53)</f>
        <v/>
      </c>
      <c r="V53" s="41">
        <f>(D53/$R53)</f>
        <v/>
      </c>
      <c r="W53" s="41">
        <f>(E53/R53)</f>
        <v/>
      </c>
      <c r="X53" s="41">
        <f>(F53/R53)*100</f>
        <v/>
      </c>
      <c r="Y53" s="41">
        <f>(G53/$R53)</f>
        <v/>
      </c>
      <c r="Z53" s="41">
        <f>(H53/$R53)</f>
        <v/>
      </c>
      <c r="AA53" s="41">
        <f>(I53/$R53)</f>
        <v/>
      </c>
      <c r="AB53" s="41">
        <f>(J53/$R53)</f>
        <v/>
      </c>
      <c r="AC53" s="41">
        <f>(K53/$R53)</f>
        <v/>
      </c>
      <c r="AD53" s="41">
        <f>(L53/$R53)</f>
        <v/>
      </c>
      <c r="AE53" s="41">
        <f>(M53/$R53)</f>
        <v/>
      </c>
      <c r="AF53" s="41">
        <f>(N53/$R53)</f>
        <v/>
      </c>
      <c r="AG53" s="41">
        <f>(O53/$R53)</f>
        <v/>
      </c>
      <c r="AH53" s="41">
        <f>(P53/$R53)</f>
        <v/>
      </c>
      <c r="AI53" s="41">
        <f>(Q53/$R53)</f>
        <v/>
      </c>
      <c r="AJ53" s="41">
        <f>SUM(T53:W53)</f>
        <v/>
      </c>
      <c r="AK53" s="41">
        <f>SUM(AA53:AE53)+X53</f>
        <v/>
      </c>
      <c r="AL53" s="43">
        <f>AI53+AJ53+AF53+AG53+AH53</f>
        <v/>
      </c>
      <c r="AM53" s="41">
        <f>AL53+AK53</f>
        <v/>
      </c>
      <c r="AN53" s="41">
        <f>SUM(Y53:Z53)</f>
        <v/>
      </c>
      <c r="AO53">
        <f>YEAR(A53)</f>
        <v/>
      </c>
      <c r="AP53">
        <f>MONTH(A53)</f>
        <v/>
      </c>
      <c r="AQ53">
        <f>AQ52+1</f>
        <v/>
      </c>
    </row>
    <row r="54" ht="15.75" customHeight="1" s="259">
      <c r="A54" s="8" t="n">
        <v>45393</v>
      </c>
      <c r="B54" t="n">
        <v>0.02</v>
      </c>
      <c r="C54" t="n">
        <v>0</v>
      </c>
      <c r="D54" t="n">
        <v>0</v>
      </c>
      <c r="E54" t="n">
        <v>0</v>
      </c>
      <c r="F54" t="n">
        <v>0</v>
      </c>
      <c r="G54" t="n">
        <v>5.8</v>
      </c>
      <c r="H54" t="n">
        <v>0.58</v>
      </c>
      <c r="I54" t="n">
        <v>0.04</v>
      </c>
      <c r="J54" t="n">
        <v>0</v>
      </c>
      <c r="K54" t="n">
        <v>0.12</v>
      </c>
      <c r="L54" t="n">
        <v>0</v>
      </c>
      <c r="M54" t="n">
        <v>0</v>
      </c>
      <c r="N54" t="n">
        <v>0.04</v>
      </c>
      <c r="Q54" t="n">
        <v>0.54</v>
      </c>
      <c r="R54">
        <f>SUM(B54:Q54)</f>
        <v/>
      </c>
      <c r="T54" s="41">
        <f>(B54/$R54)</f>
        <v/>
      </c>
      <c r="U54" s="41">
        <f>(C54/$R54)</f>
        <v/>
      </c>
      <c r="V54" s="41">
        <f>(D54/$R54)</f>
        <v/>
      </c>
      <c r="W54" s="41">
        <f>(E54/R54)</f>
        <v/>
      </c>
      <c r="X54" s="41">
        <f>(F54/R54)*100</f>
        <v/>
      </c>
      <c r="Y54" s="41">
        <f>(G54/$R54)</f>
        <v/>
      </c>
      <c r="Z54" s="41">
        <f>(H54/$R54)</f>
        <v/>
      </c>
      <c r="AA54" s="41">
        <f>(I54/$R54)</f>
        <v/>
      </c>
      <c r="AB54" s="41">
        <f>(J54/$R54)</f>
        <v/>
      </c>
      <c r="AC54" s="41">
        <f>(K54/$R54)</f>
        <v/>
      </c>
      <c r="AD54" s="41">
        <f>(L54/$R54)</f>
        <v/>
      </c>
      <c r="AE54" s="41">
        <f>(M54/$R54)</f>
        <v/>
      </c>
      <c r="AF54" s="41">
        <f>(N54/$R54)</f>
        <v/>
      </c>
      <c r="AG54" s="41">
        <f>(O54/$R54)</f>
        <v/>
      </c>
      <c r="AH54" s="41">
        <f>(P54/$R54)</f>
        <v/>
      </c>
      <c r="AI54" s="41">
        <f>(Q54/$R54)</f>
        <v/>
      </c>
      <c r="AJ54" s="41">
        <f>SUM(T54:W54)</f>
        <v/>
      </c>
      <c r="AK54" s="41">
        <f>SUM(AA54:AE54)+X54</f>
        <v/>
      </c>
      <c r="AL54" s="43">
        <f>AI54+AJ54+AF54+AG54+AH54</f>
        <v/>
      </c>
      <c r="AM54" s="41">
        <f>AL54+AK54</f>
        <v/>
      </c>
      <c r="AN54" s="41">
        <f>SUM(Y54:Z54)</f>
        <v/>
      </c>
      <c r="AO54">
        <f>YEAR(A54)</f>
        <v/>
      </c>
      <c r="AP54">
        <f>MONTH(A54)</f>
        <v/>
      </c>
      <c r="AQ54">
        <f>AQ53+1</f>
        <v/>
      </c>
    </row>
    <row r="55" ht="15.75" customHeight="1" s="259">
      <c r="A55" s="8" t="n">
        <v>45398</v>
      </c>
      <c r="B55" t="n">
        <v>0</v>
      </c>
      <c r="C55" t="n">
        <v>0</v>
      </c>
      <c r="D55" t="n">
        <v>0</v>
      </c>
      <c r="E55" t="n">
        <v>0</v>
      </c>
      <c r="F55" t="n">
        <v>0</v>
      </c>
      <c r="G55" t="n">
        <v>8.300000000000001</v>
      </c>
      <c r="H55" t="n">
        <v>0.6</v>
      </c>
      <c r="I55" t="n">
        <v>0</v>
      </c>
      <c r="J55" t="n">
        <v>0</v>
      </c>
      <c r="K55" t="n">
        <v>0.04</v>
      </c>
      <c r="L55" t="n">
        <v>0</v>
      </c>
      <c r="M55" t="n">
        <v>0</v>
      </c>
      <c r="N55" t="n">
        <v>0</v>
      </c>
      <c r="O55" t="n">
        <v>0</v>
      </c>
      <c r="P55" t="n">
        <v>0</v>
      </c>
      <c r="Q55" t="n">
        <v>0.32</v>
      </c>
      <c r="R55">
        <f>SUM(B55:Q55)</f>
        <v/>
      </c>
      <c r="T55" s="41">
        <f>(B55/$R55)</f>
        <v/>
      </c>
      <c r="U55" s="41">
        <f>(C55/$R55)</f>
        <v/>
      </c>
      <c r="V55" s="41">
        <f>(D55/$R55)</f>
        <v/>
      </c>
      <c r="W55" s="41">
        <f>(E55/R55)</f>
        <v/>
      </c>
      <c r="X55" s="41">
        <f>(F55/R55)*100</f>
        <v/>
      </c>
      <c r="Y55" s="41">
        <f>(G55/$R55)</f>
        <v/>
      </c>
      <c r="Z55" s="41">
        <f>(H55/$R55)</f>
        <v/>
      </c>
      <c r="AA55" s="41">
        <f>(I55/$R55)</f>
        <v/>
      </c>
      <c r="AB55" s="41">
        <f>(J55/$R55)</f>
        <v/>
      </c>
      <c r="AC55" s="41">
        <f>(K55/$R55)</f>
        <v/>
      </c>
      <c r="AD55" s="41">
        <f>(L55/$R55)</f>
        <v/>
      </c>
      <c r="AE55" s="41">
        <f>(M55/$R55)</f>
        <v/>
      </c>
      <c r="AF55" s="41">
        <f>(N55/$R55)</f>
        <v/>
      </c>
      <c r="AG55" s="41">
        <f>(O55/$R55)</f>
        <v/>
      </c>
      <c r="AH55" s="41">
        <f>(P55/$R55)</f>
        <v/>
      </c>
      <c r="AI55" s="41">
        <f>(Q55/$R55)</f>
        <v/>
      </c>
      <c r="AJ55" s="41">
        <f>SUM(T55:W55)</f>
        <v/>
      </c>
      <c r="AK55" s="41">
        <f>SUM(AA55:AE55)+X55</f>
        <v/>
      </c>
      <c r="AL55" s="43">
        <f>AI55+AJ55+AF55+AG55+AH55</f>
        <v/>
      </c>
      <c r="AM55" s="41">
        <f>AL55+AK55</f>
        <v/>
      </c>
      <c r="AN55" s="41">
        <f>SUM(Y55:Z55)</f>
        <v/>
      </c>
      <c r="AO55">
        <f>YEAR(A55)</f>
        <v/>
      </c>
      <c r="AP55">
        <f>MONTH(A55)</f>
        <v/>
      </c>
      <c r="AQ55">
        <f>AQ54+1</f>
        <v/>
      </c>
    </row>
    <row r="56" ht="15.75" customHeight="1" s="259">
      <c r="A56" s="8" t="n">
        <v>45405</v>
      </c>
      <c r="B56" t="n">
        <v>0</v>
      </c>
      <c r="C56" t="n">
        <v>0</v>
      </c>
      <c r="D56" t="n">
        <v>0.04</v>
      </c>
      <c r="E56" t="n">
        <v>0</v>
      </c>
      <c r="F56" t="n">
        <v>0</v>
      </c>
      <c r="G56" t="n">
        <v>6.48</v>
      </c>
      <c r="H56" t="n">
        <v>0.9399999999999999</v>
      </c>
      <c r="I56" t="n">
        <v>0.04</v>
      </c>
      <c r="J56" t="n">
        <v>0</v>
      </c>
      <c r="K56" t="n">
        <v>0</v>
      </c>
      <c r="M56" t="n">
        <v>0</v>
      </c>
      <c r="N56" t="n">
        <v>0</v>
      </c>
      <c r="O56" t="n">
        <v>0.02</v>
      </c>
      <c r="P56" t="n">
        <v>0</v>
      </c>
      <c r="Q56" t="n">
        <v>0.08</v>
      </c>
      <c r="R56">
        <f>SUM(B56:Q56)</f>
        <v/>
      </c>
      <c r="T56" s="41">
        <f>(B56/$R56)</f>
        <v/>
      </c>
      <c r="U56" s="41">
        <f>(C56/$R56)</f>
        <v/>
      </c>
      <c r="V56" s="41">
        <f>(D56/$R56)</f>
        <v/>
      </c>
      <c r="W56" s="41">
        <f>(E56/R56)</f>
        <v/>
      </c>
      <c r="X56" s="41">
        <f>(F56/R56)*100</f>
        <v/>
      </c>
      <c r="Y56" s="41">
        <f>(G56/$R56)</f>
        <v/>
      </c>
      <c r="Z56" s="41">
        <f>(H56/$R56)</f>
        <v/>
      </c>
      <c r="AA56" s="41">
        <f>(I56/$R56)</f>
        <v/>
      </c>
      <c r="AB56" s="41">
        <f>(J56/$R56)</f>
        <v/>
      </c>
      <c r="AC56" s="41">
        <f>(K56/$R56)</f>
        <v/>
      </c>
      <c r="AD56" s="41">
        <f>(L56/$R56)</f>
        <v/>
      </c>
      <c r="AE56" s="41">
        <f>(M56/$R56)</f>
        <v/>
      </c>
      <c r="AF56" s="41">
        <f>(N56/$R56)</f>
        <v/>
      </c>
      <c r="AG56" s="41">
        <f>(O56/$R56)</f>
        <v/>
      </c>
      <c r="AH56" s="41">
        <f>(P56/$R56)</f>
        <v/>
      </c>
      <c r="AI56" s="41">
        <f>(Q56/$R56)</f>
        <v/>
      </c>
      <c r="AJ56" s="41">
        <f>SUM(T56:W56)</f>
        <v/>
      </c>
      <c r="AK56" s="41">
        <f>SUM(AA56:AE56)+X56</f>
        <v/>
      </c>
      <c r="AL56" s="43">
        <f>AI56+AJ56+AF56+AG56+AH56</f>
        <v/>
      </c>
      <c r="AM56" s="41">
        <f>AL56+AK56</f>
        <v/>
      </c>
      <c r="AN56" s="41">
        <f>SUM(Y56:Z56)</f>
        <v/>
      </c>
      <c r="AO56">
        <f>YEAR(A56)</f>
        <v/>
      </c>
      <c r="AP56">
        <f>MONTH(A56)</f>
        <v/>
      </c>
      <c r="AQ56">
        <f>AQ55+1</f>
        <v/>
      </c>
    </row>
    <row r="57" ht="15.6" customHeight="1" s="259">
      <c r="A57" s="8" t="n">
        <v>45408</v>
      </c>
      <c r="B57" t="n">
        <v>0</v>
      </c>
      <c r="C57" t="n">
        <v>0</v>
      </c>
      <c r="D57" t="n">
        <v>0.1</v>
      </c>
      <c r="E57" t="n">
        <v>0</v>
      </c>
      <c r="F57" t="n">
        <v>0.02</v>
      </c>
      <c r="G57" t="n">
        <v>8.74</v>
      </c>
      <c r="H57" t="n">
        <v>1.22</v>
      </c>
      <c r="I57" t="n">
        <v>0.24</v>
      </c>
      <c r="J57" t="n">
        <v>0</v>
      </c>
      <c r="K57" t="n">
        <v>0.66</v>
      </c>
      <c r="L57" t="n">
        <v>0</v>
      </c>
      <c r="M57" t="n">
        <v>0</v>
      </c>
      <c r="N57" t="n">
        <v>0</v>
      </c>
      <c r="O57" t="n">
        <v>0.02</v>
      </c>
      <c r="P57" t="n">
        <v>0</v>
      </c>
      <c r="Q57" t="n">
        <v>1.76</v>
      </c>
      <c r="R57">
        <f>SUM(B57:Q57)</f>
        <v/>
      </c>
      <c r="T57" s="41">
        <f>(B57/$R57)</f>
        <v/>
      </c>
      <c r="U57" s="41">
        <f>(C57/$R57)</f>
        <v/>
      </c>
      <c r="V57" s="41">
        <f>(D57/$R57)</f>
        <v/>
      </c>
      <c r="W57" s="41">
        <f>(E57/R57)</f>
        <v/>
      </c>
      <c r="X57" s="41">
        <f>(F57/R57)*100</f>
        <v/>
      </c>
      <c r="Y57" s="41">
        <f>(G57/$R57)</f>
        <v/>
      </c>
      <c r="Z57" s="41">
        <f>(H57/$R57)</f>
        <v/>
      </c>
      <c r="AA57" s="41">
        <f>(I57/$R57)</f>
        <v/>
      </c>
      <c r="AB57" s="41">
        <f>(J57/$R57)</f>
        <v/>
      </c>
      <c r="AC57" s="41">
        <f>(K57/$R57)</f>
        <v/>
      </c>
      <c r="AD57" s="41">
        <f>(L57/$R57)</f>
        <v/>
      </c>
      <c r="AE57" s="41">
        <f>(M57/$R57)</f>
        <v/>
      </c>
      <c r="AF57" s="41">
        <f>(N57/$R57)</f>
        <v/>
      </c>
      <c r="AG57" s="41">
        <f>(O57/$R57)</f>
        <v/>
      </c>
      <c r="AH57" s="41">
        <f>(P57/$R57)</f>
        <v/>
      </c>
      <c r="AI57" s="41">
        <f>(Q57/$R57)</f>
        <v/>
      </c>
      <c r="AJ57" s="41">
        <f>SUM(T57:W57)</f>
        <v/>
      </c>
      <c r="AK57" s="41">
        <f>SUM(AA57:AE57)+X57</f>
        <v/>
      </c>
      <c r="AL57" s="43">
        <f>AI57+AJ57+AF57+AG57+AH57</f>
        <v/>
      </c>
      <c r="AM57" s="41">
        <f>AL57+AK57</f>
        <v/>
      </c>
      <c r="AN57" s="41">
        <f>SUM(Y57:Z57)</f>
        <v/>
      </c>
      <c r="AO57">
        <f>YEAR(A57)</f>
        <v/>
      </c>
      <c r="AP57">
        <f>MONTH(A57)</f>
        <v/>
      </c>
      <c r="AQ57">
        <f>AQ56+1</f>
        <v/>
      </c>
    </row>
    <row r="58" ht="15.6" customHeight="1" s="259">
      <c r="A58" s="8" t="n">
        <v>45496</v>
      </c>
      <c r="B58" t="n">
        <v>0</v>
      </c>
      <c r="C58" t="n">
        <v>0.12</v>
      </c>
      <c r="D58" t="n">
        <v>0.08</v>
      </c>
      <c r="E58" t="n">
        <v>0</v>
      </c>
      <c r="F58" t="n">
        <v>0</v>
      </c>
      <c r="G58" t="n">
        <v>17.4</v>
      </c>
      <c r="H58" t="n">
        <v>2.77</v>
      </c>
      <c r="I58" t="n">
        <v>0</v>
      </c>
      <c r="J58" t="n">
        <v>0</v>
      </c>
      <c r="K58" t="n">
        <v>0.62</v>
      </c>
      <c r="L58" t="n">
        <v>0.02</v>
      </c>
      <c r="M58" t="n">
        <v>0</v>
      </c>
      <c r="N58" t="n">
        <v>0</v>
      </c>
      <c r="O58" t="n">
        <v>0.12</v>
      </c>
      <c r="P58" t="n">
        <v>0</v>
      </c>
      <c r="Q58" t="n">
        <v>1.26</v>
      </c>
      <c r="R58">
        <f>SUM(B58:Q58)</f>
        <v/>
      </c>
      <c r="T58" s="41">
        <f>(B58/$R58)</f>
        <v/>
      </c>
      <c r="U58" s="41">
        <f>(C58/$R58)</f>
        <v/>
      </c>
      <c r="V58" s="41">
        <f>(D58/$R58)</f>
        <v/>
      </c>
      <c r="W58" s="41">
        <f>(E58/R58)</f>
        <v/>
      </c>
      <c r="X58" s="41">
        <f>(F58/R58)*100</f>
        <v/>
      </c>
      <c r="Y58" s="41">
        <f>(G58/$R58)</f>
        <v/>
      </c>
      <c r="Z58" s="41">
        <f>(H58/$R58)</f>
        <v/>
      </c>
      <c r="AA58" s="41">
        <f>(I58/$R58)</f>
        <v/>
      </c>
      <c r="AB58" s="41">
        <f>(J58/$R58)</f>
        <v/>
      </c>
      <c r="AC58" s="41">
        <f>(K58/$R58)</f>
        <v/>
      </c>
      <c r="AD58" s="41">
        <f>(L58/$R58)</f>
        <v/>
      </c>
      <c r="AE58" s="41">
        <f>(M58/$R58)</f>
        <v/>
      </c>
      <c r="AF58" s="41">
        <f>(N58/$R58)</f>
        <v/>
      </c>
      <c r="AG58" s="41">
        <f>(O58/$R58)</f>
        <v/>
      </c>
      <c r="AH58" s="41">
        <f>(P58/$R58)</f>
        <v/>
      </c>
      <c r="AI58" s="41">
        <f>(Q58/$R58)</f>
        <v/>
      </c>
      <c r="AJ58" s="41">
        <f>SUM(T58:W58)</f>
        <v/>
      </c>
      <c r="AK58" s="41">
        <f>SUM(AA58:AE58)+X58</f>
        <v/>
      </c>
      <c r="AL58" s="43">
        <f>AI58+AJ58+AF58+AG58+AH58</f>
        <v/>
      </c>
      <c r="AM58" s="41">
        <f>AL58+AK58</f>
        <v/>
      </c>
      <c r="AN58" s="41">
        <f>SUM(Y58:Z58)</f>
        <v/>
      </c>
      <c r="AO58">
        <f>YEAR(A58)</f>
        <v/>
      </c>
      <c r="AP58">
        <f>MONTH(A58)</f>
        <v/>
      </c>
      <c r="AQ58">
        <f>AQ57+1</f>
        <v/>
      </c>
    </row>
    <row r="59" ht="15.6" customHeight="1" s="259">
      <c r="A59" s="8" t="n">
        <v>45500</v>
      </c>
      <c r="B59" t="n">
        <v>0.06</v>
      </c>
      <c r="C59" t="n">
        <v>0.06</v>
      </c>
      <c r="D59" t="n">
        <v>0.12</v>
      </c>
      <c r="E59" t="n">
        <v>0.02</v>
      </c>
      <c r="F59" t="n">
        <v>0.06</v>
      </c>
      <c r="G59" t="n">
        <v>28.58</v>
      </c>
      <c r="H59" t="n">
        <v>2.2</v>
      </c>
      <c r="I59" t="n">
        <v>0.36</v>
      </c>
      <c r="J59" t="n">
        <v>0</v>
      </c>
      <c r="K59" t="n">
        <v>0.42</v>
      </c>
      <c r="L59" t="n">
        <v>0.06</v>
      </c>
      <c r="M59" t="n">
        <v>0</v>
      </c>
      <c r="N59" t="n">
        <v>0</v>
      </c>
      <c r="O59" t="n">
        <v>0.18</v>
      </c>
      <c r="P59" t="n">
        <v>0.02</v>
      </c>
      <c r="Q59" t="n">
        <v>0.72</v>
      </c>
      <c r="R59">
        <f>SUM(B59:Q59)</f>
        <v/>
      </c>
      <c r="T59" s="41">
        <f>(B59/$R59)</f>
        <v/>
      </c>
      <c r="U59" s="41">
        <f>(C59/$R59)</f>
        <v/>
      </c>
      <c r="V59" s="41">
        <f>(D59/$R59)</f>
        <v/>
      </c>
      <c r="W59" s="41">
        <f>(E59/R59)</f>
        <v/>
      </c>
      <c r="X59" s="41">
        <f>(F59/R59)*100</f>
        <v/>
      </c>
      <c r="Y59" s="41">
        <f>(G59/$R59)</f>
        <v/>
      </c>
      <c r="Z59" s="41">
        <f>(H59/$R59)</f>
        <v/>
      </c>
      <c r="AA59" s="41">
        <f>(I59/$R59)</f>
        <v/>
      </c>
      <c r="AB59" s="41">
        <f>(J59/$R59)</f>
        <v/>
      </c>
      <c r="AC59" s="41">
        <f>(K59/$R59)</f>
        <v/>
      </c>
      <c r="AD59" s="41">
        <f>(L59/$R59)</f>
        <v/>
      </c>
      <c r="AE59" s="41">
        <f>(M59/$R59)</f>
        <v/>
      </c>
      <c r="AF59" s="41">
        <f>(N59/$R59)</f>
        <v/>
      </c>
      <c r="AG59" s="41">
        <f>(O59/$R59)</f>
        <v/>
      </c>
      <c r="AH59" s="41">
        <f>(P59/$R59)</f>
        <v/>
      </c>
      <c r="AI59" s="41">
        <f>(Q59/$R59)</f>
        <v/>
      </c>
      <c r="AJ59" s="41">
        <f>SUM(T59:W59)</f>
        <v/>
      </c>
      <c r="AK59" s="41">
        <f>SUM(AA59:AE59)+X59</f>
        <v/>
      </c>
      <c r="AL59" s="43">
        <f>AI59+AJ59+AF59+AG59+AH59</f>
        <v/>
      </c>
      <c r="AM59" s="41">
        <f>AL59+AK59</f>
        <v/>
      </c>
      <c r="AN59" s="41">
        <f>SUM(Y59:Z59)</f>
        <v/>
      </c>
      <c r="AO59">
        <f>YEAR(A59)</f>
        <v/>
      </c>
      <c r="AP59">
        <f>MONTH(A59)</f>
        <v/>
      </c>
      <c r="AQ59">
        <f>AQ58+1</f>
        <v/>
      </c>
    </row>
    <row r="60" ht="15.6" customHeight="1" s="259">
      <c r="A60" s="8" t="n">
        <v>45520</v>
      </c>
      <c r="B60" t="n">
        <v>0.04</v>
      </c>
      <c r="C60" t="n">
        <v>0</v>
      </c>
      <c r="D60" t="n">
        <v>0.08</v>
      </c>
      <c r="E60" t="n">
        <v>0</v>
      </c>
      <c r="F60" t="n">
        <v>0</v>
      </c>
      <c r="G60" t="n">
        <v>22.44</v>
      </c>
      <c r="H60" t="n">
        <v>2.2</v>
      </c>
      <c r="I60" t="n">
        <v>0</v>
      </c>
      <c r="J60" t="n">
        <v>0.06</v>
      </c>
      <c r="K60" t="n">
        <v>0.08</v>
      </c>
      <c r="L60" t="n">
        <v>0.08</v>
      </c>
      <c r="M60" t="n">
        <v>0</v>
      </c>
      <c r="N60" t="n">
        <v>0.02</v>
      </c>
      <c r="O60" t="n">
        <v>0.08</v>
      </c>
      <c r="P60" t="n">
        <v>0</v>
      </c>
      <c r="Q60" t="n">
        <v>0.28</v>
      </c>
      <c r="R60">
        <f>SUM(B60:Q60)</f>
        <v/>
      </c>
      <c r="T60" s="41">
        <f>(B60/$R60)</f>
        <v/>
      </c>
      <c r="U60" s="41">
        <f>(C60/$R60)</f>
        <v/>
      </c>
      <c r="V60" s="41">
        <f>(D60/$R60)</f>
        <v/>
      </c>
      <c r="W60" s="41">
        <f>(E60/R60)</f>
        <v/>
      </c>
      <c r="X60" s="41">
        <f>(F60/R60)*100</f>
        <v/>
      </c>
      <c r="Y60" s="41">
        <f>(G60/$R60)</f>
        <v/>
      </c>
      <c r="Z60" s="41">
        <f>(H60/$R60)</f>
        <v/>
      </c>
      <c r="AA60" s="41">
        <f>(I60/$R60)</f>
        <v/>
      </c>
      <c r="AB60" s="41">
        <f>(J60/$R60)</f>
        <v/>
      </c>
      <c r="AC60" s="41">
        <f>(K60/$R60)</f>
        <v/>
      </c>
      <c r="AD60" s="41">
        <f>(L60/$R60)</f>
        <v/>
      </c>
      <c r="AE60" s="41">
        <f>(M60/$R60)</f>
        <v/>
      </c>
      <c r="AF60" s="41">
        <f>(N60/$R60)</f>
        <v/>
      </c>
      <c r="AG60" s="41">
        <f>(O60/$R60)</f>
        <v/>
      </c>
      <c r="AH60" s="41">
        <f>(P60/$R60)</f>
        <v/>
      </c>
      <c r="AI60" s="41">
        <f>(Q60/$R60)</f>
        <v/>
      </c>
      <c r="AJ60" s="41">
        <f>SUM(T60:W60)</f>
        <v/>
      </c>
      <c r="AK60" s="41">
        <f>SUM(AA60:AE60)+X60</f>
        <v/>
      </c>
      <c r="AL60" s="43">
        <f>AI60+AJ60+AF60+AG60+AH60</f>
        <v/>
      </c>
      <c r="AM60" s="41">
        <f>AL60+AK60</f>
        <v/>
      </c>
      <c r="AN60" s="41">
        <f>SUM(Y60:Z60)</f>
        <v/>
      </c>
      <c r="AO60">
        <f>YEAR(A60)</f>
        <v/>
      </c>
      <c r="AP60">
        <f>MONTH(A60)</f>
        <v/>
      </c>
      <c r="AQ60">
        <f>AQ59+1</f>
        <v/>
      </c>
    </row>
    <row r="61" ht="15.6" customHeight="1" s="259">
      <c r="A61" s="8" t="n">
        <v>45538</v>
      </c>
      <c r="B61" t="n">
        <v>0.1</v>
      </c>
      <c r="C61" t="n">
        <v>0.04</v>
      </c>
      <c r="D61" t="n">
        <v>0.14</v>
      </c>
      <c r="E61" t="n">
        <v>0</v>
      </c>
      <c r="F61" t="n">
        <v>0.02</v>
      </c>
      <c r="G61" t="n">
        <v>23.76</v>
      </c>
      <c r="H61" t="n">
        <v>3.26</v>
      </c>
      <c r="I61" t="n">
        <v>0.14</v>
      </c>
      <c r="J61" t="n">
        <v>0.04</v>
      </c>
      <c r="K61" t="n">
        <v>0.1</v>
      </c>
      <c r="L61" t="n">
        <v>0.1</v>
      </c>
      <c r="M61" t="n">
        <v>0</v>
      </c>
      <c r="N61" t="n">
        <v>0.04</v>
      </c>
      <c r="O61" t="n">
        <v>0.08</v>
      </c>
      <c r="P61" t="n">
        <v>0.04</v>
      </c>
      <c r="Q61" t="n">
        <v>0.48</v>
      </c>
      <c r="R61">
        <f>SUM(B61:Q61)</f>
        <v/>
      </c>
      <c r="T61" s="41">
        <f>(B61/$R61)</f>
        <v/>
      </c>
      <c r="U61" s="41">
        <f>(C61/$R61)</f>
        <v/>
      </c>
      <c r="V61" s="41">
        <f>(D61/$R61)</f>
        <v/>
      </c>
      <c r="W61" s="41">
        <f>(E61/R61)</f>
        <v/>
      </c>
      <c r="X61" s="41">
        <f>(F61/R61)*100</f>
        <v/>
      </c>
      <c r="Y61" s="41">
        <f>(G61/$R61)</f>
        <v/>
      </c>
      <c r="Z61" s="41">
        <f>(H61/$R61)</f>
        <v/>
      </c>
      <c r="AA61" s="41">
        <f>(I61/$R61)</f>
        <v/>
      </c>
      <c r="AB61" s="41">
        <f>(J61/$R61)</f>
        <v/>
      </c>
      <c r="AC61" s="41">
        <f>(K61/$R61)</f>
        <v/>
      </c>
      <c r="AD61" s="41">
        <f>(L61/$R61)</f>
        <v/>
      </c>
      <c r="AE61" s="41">
        <f>(M61/$R61)</f>
        <v/>
      </c>
      <c r="AF61" s="41">
        <f>(N61/$R61)</f>
        <v/>
      </c>
      <c r="AG61" s="41">
        <f>(O61/$R61)</f>
        <v/>
      </c>
      <c r="AH61" s="41">
        <f>(P61/$R61)</f>
        <v/>
      </c>
      <c r="AI61" s="41">
        <f>(Q61/$R61)</f>
        <v/>
      </c>
      <c r="AJ61" s="41">
        <f>SUM(T61:W61)</f>
        <v/>
      </c>
      <c r="AK61" s="41">
        <f>SUM(AA61:AE61)+X61</f>
        <v/>
      </c>
      <c r="AL61" s="43">
        <f>AI61+AJ61+AF61+AG61+AH61</f>
        <v/>
      </c>
      <c r="AM61" s="41">
        <f>AL61+AK61</f>
        <v/>
      </c>
      <c r="AN61" s="41">
        <f>SUM(Y61:Z61)</f>
        <v/>
      </c>
      <c r="AO61">
        <f>YEAR(A61)</f>
        <v/>
      </c>
      <c r="AP61">
        <f>MONTH(A61)</f>
        <v/>
      </c>
      <c r="AQ61">
        <f>AQ60+1</f>
        <v/>
      </c>
    </row>
    <row r="62" ht="15.6" customHeight="1" s="259">
      <c r="A62" s="8" t="n">
        <v>45593</v>
      </c>
      <c r="B62" t="n">
        <v>0</v>
      </c>
      <c r="C62" t="n">
        <v>0</v>
      </c>
      <c r="D62" t="n">
        <v>0.02</v>
      </c>
      <c r="E62" t="n">
        <v>0</v>
      </c>
      <c r="F62" t="n">
        <v>0</v>
      </c>
      <c r="G62" t="n">
        <v>21.84</v>
      </c>
      <c r="H62" t="n">
        <v>2.35</v>
      </c>
      <c r="I62" t="n">
        <v>0.04</v>
      </c>
      <c r="J62" t="n">
        <v>0</v>
      </c>
      <c r="K62" t="n">
        <v>0.1</v>
      </c>
      <c r="L62" t="n">
        <v>0</v>
      </c>
      <c r="M62" t="n">
        <v>0</v>
      </c>
      <c r="N62" t="n">
        <v>0</v>
      </c>
      <c r="O62" t="n">
        <v>0.02</v>
      </c>
      <c r="P62" t="n">
        <v>0</v>
      </c>
      <c r="Q62" t="n">
        <v>0.2</v>
      </c>
      <c r="R62">
        <f>SUM(B62:Q62)</f>
        <v/>
      </c>
      <c r="T62" s="41">
        <f>(B62/$R62)</f>
        <v/>
      </c>
      <c r="U62" s="41">
        <f>(C62/$R62)</f>
        <v/>
      </c>
      <c r="V62" s="41">
        <f>(D62/$R62)</f>
        <v/>
      </c>
      <c r="W62" s="41">
        <f>(E62/R62)</f>
        <v/>
      </c>
      <c r="X62" s="41">
        <f>(F62/R62)*100</f>
        <v/>
      </c>
      <c r="Y62" s="41">
        <f>(G62/$R62)</f>
        <v/>
      </c>
      <c r="Z62" s="41">
        <f>(H62/$R62)</f>
        <v/>
      </c>
      <c r="AA62" s="41">
        <f>(I62/$R62)</f>
        <v/>
      </c>
      <c r="AB62" s="41">
        <f>(J62/$R62)</f>
        <v/>
      </c>
      <c r="AC62" s="41">
        <f>(K62/$R62)</f>
        <v/>
      </c>
      <c r="AD62" s="41">
        <f>(L62/$R62)</f>
        <v/>
      </c>
      <c r="AE62" s="41">
        <f>(M62/$R62)</f>
        <v/>
      </c>
      <c r="AF62" s="41">
        <f>(N62/$R62)</f>
        <v/>
      </c>
      <c r="AG62" s="41">
        <f>(O62/$R62)</f>
        <v/>
      </c>
      <c r="AH62" s="41">
        <f>(P62/$R62)</f>
        <v/>
      </c>
      <c r="AI62" s="41">
        <f>(Q62/$R62)</f>
        <v/>
      </c>
      <c r="AJ62" s="41">
        <f>SUM(T62:W62)</f>
        <v/>
      </c>
      <c r="AK62" s="41">
        <f>SUM(AA62:AE62)+X62</f>
        <v/>
      </c>
      <c r="AL62" s="43">
        <f>AI62+AJ62+AF62+AG62+AH62</f>
        <v/>
      </c>
      <c r="AM62" s="41">
        <f>AL62+AK62</f>
        <v/>
      </c>
      <c r="AN62" s="41">
        <f>SUM(Y62:Z62)</f>
        <v/>
      </c>
      <c r="AO62">
        <f>YEAR(A62)</f>
        <v/>
      </c>
      <c r="AP62">
        <f>MONTH(A62)</f>
        <v/>
      </c>
      <c r="AQ62">
        <f>AQ61+1</f>
        <v/>
      </c>
    </row>
    <row r="63" hidden="1" ht="15.6" customHeight="1" s="259">
      <c r="A63" s="8" t="n">
        <v>45664</v>
      </c>
      <c r="B63" t="n">
        <v>0</v>
      </c>
      <c r="C63" t="n">
        <v>0</v>
      </c>
      <c r="D63" t="n">
        <v>0.14</v>
      </c>
      <c r="E63" t="n">
        <v>0</v>
      </c>
      <c r="F63" t="n">
        <v>0</v>
      </c>
      <c r="G63" t="n">
        <v>20.6</v>
      </c>
      <c r="H63" t="n">
        <v>3.64</v>
      </c>
      <c r="I63" t="n">
        <v>0</v>
      </c>
      <c r="J63" t="n">
        <v>0.06</v>
      </c>
      <c r="K63" t="n">
        <v>0</v>
      </c>
      <c r="L63" t="n">
        <v>0.04</v>
      </c>
      <c r="M63" t="n">
        <v>0.02</v>
      </c>
      <c r="N63" t="n">
        <v>0</v>
      </c>
      <c r="O63" t="n">
        <v>0.08</v>
      </c>
      <c r="P63" t="n">
        <v>0.04</v>
      </c>
      <c r="Q63" t="n">
        <v>0.6</v>
      </c>
      <c r="R63">
        <f>SUM(B63:Q63)</f>
        <v/>
      </c>
      <c r="T63" s="41">
        <f>(B63/$R63)</f>
        <v/>
      </c>
      <c r="U63" s="41">
        <f>(C63/$R63)</f>
        <v/>
      </c>
      <c r="V63" s="41">
        <f>(D63/$R63)</f>
        <v/>
      </c>
      <c r="W63" s="41">
        <f>(E63/R63)</f>
        <v/>
      </c>
      <c r="X63" s="41">
        <f>(F63/R63)*100</f>
        <v/>
      </c>
      <c r="Y63" s="41">
        <f>(G63/$R63)</f>
        <v/>
      </c>
      <c r="Z63" s="41">
        <f>(H63/$R63)</f>
        <v/>
      </c>
      <c r="AA63" s="41">
        <f>(I63/$R63)</f>
        <v/>
      </c>
      <c r="AB63" s="41">
        <f>(J63/$R63)</f>
        <v/>
      </c>
      <c r="AC63" s="41">
        <f>(K63/$R63)</f>
        <v/>
      </c>
      <c r="AD63" s="41">
        <f>(L63/$R63)</f>
        <v/>
      </c>
      <c r="AE63" s="41">
        <f>(M63/$R63)</f>
        <v/>
      </c>
      <c r="AF63" s="41">
        <f>(N63/$R63)</f>
        <v/>
      </c>
      <c r="AG63" s="41">
        <f>(O63/$R63)</f>
        <v/>
      </c>
      <c r="AH63" s="41">
        <f>(P63/$R63)</f>
        <v/>
      </c>
      <c r="AI63" s="41">
        <f>(Q63/$R63)</f>
        <v/>
      </c>
      <c r="AJ63" s="41">
        <f>SUM(T63:W63)</f>
        <v/>
      </c>
      <c r="AK63" s="41">
        <f>SUM(AA63:AE63)+X63</f>
        <v/>
      </c>
      <c r="AL63" s="43">
        <f>AI63+AJ63+AF63+AG63+AH63</f>
        <v/>
      </c>
      <c r="AM63" s="41">
        <f>AL63+AK63</f>
        <v/>
      </c>
      <c r="AN63" s="41">
        <f>SUM(Y63:Z63)</f>
        <v/>
      </c>
      <c r="AO63">
        <f>YEAR(A63)</f>
        <v/>
      </c>
      <c r="AP63">
        <f>MONTH(A63)</f>
        <v/>
      </c>
      <c r="AQ63">
        <f>AQ62+1</f>
        <v/>
      </c>
    </row>
    <row r="64" ht="15.6" customHeight="1" s="259">
      <c r="T64" s="41">
        <f>(B64/$R64)</f>
        <v/>
      </c>
      <c r="U64" s="41">
        <f>(C64/$R64)</f>
        <v/>
      </c>
      <c r="V64" s="41">
        <f>(D64/$R64)</f>
        <v/>
      </c>
      <c r="W64" s="41">
        <f>(E64/R64)</f>
        <v/>
      </c>
      <c r="X64" s="41">
        <f>(F64/R64)*100</f>
        <v/>
      </c>
      <c r="Y64" s="41">
        <f>(G64/$R64)</f>
        <v/>
      </c>
      <c r="Z64" s="41">
        <f>(H64/$R64)</f>
        <v/>
      </c>
      <c r="AA64" s="41">
        <f>(I64/$R64)</f>
        <v/>
      </c>
      <c r="AB64" s="41">
        <f>(J64/$R64)</f>
        <v/>
      </c>
      <c r="AC64" s="41">
        <f>(K64/$R64)</f>
        <v/>
      </c>
      <c r="AD64" s="41">
        <f>(L64/$R64)</f>
        <v/>
      </c>
      <c r="AE64" s="41">
        <f>(M64/$R64)</f>
        <v/>
      </c>
      <c r="AF64" s="41">
        <f>(N64/$R64)</f>
        <v/>
      </c>
      <c r="AG64" s="41">
        <f>(O64/$R64)</f>
        <v/>
      </c>
      <c r="AH64" s="41">
        <f>(P64/$R64)</f>
        <v/>
      </c>
      <c r="AI64" s="41">
        <f>(Q64/$R64)</f>
        <v/>
      </c>
      <c r="AJ64" s="41">
        <f>SUM(T64:W64)</f>
        <v/>
      </c>
      <c r="AK64" s="41">
        <f>SUM(AA64:AE64)+X64</f>
        <v/>
      </c>
      <c r="AL64" s="43">
        <f>AI64+AJ64+AF64+AG64+AH64</f>
        <v/>
      </c>
      <c r="AM64" s="41">
        <f>AL64+AK64</f>
        <v/>
      </c>
      <c r="AN64" s="41">
        <f>SUM(Y64:Z64)</f>
        <v/>
      </c>
      <c r="AO64">
        <f>YEAR(A64)</f>
        <v/>
      </c>
      <c r="AP64">
        <f>MONTH(A64)</f>
        <v/>
      </c>
      <c r="AQ64">
        <f>AQ63+1</f>
        <v/>
      </c>
    </row>
    <row r="65" ht="15.6" customHeight="1" s="259">
      <c r="T65" s="41">
        <f>(B65/$R65)</f>
        <v/>
      </c>
      <c r="U65" s="41">
        <f>(C65/$R65)</f>
        <v/>
      </c>
      <c r="V65" s="41">
        <f>(D65/$R65)</f>
        <v/>
      </c>
      <c r="W65" s="41">
        <f>(E65/R65)</f>
        <v/>
      </c>
      <c r="X65" s="41">
        <f>(F65/R65)*100</f>
        <v/>
      </c>
      <c r="Y65" s="41">
        <f>(G65/$R65)</f>
        <v/>
      </c>
      <c r="Z65" s="41">
        <f>(H65/$R65)</f>
        <v/>
      </c>
      <c r="AA65" s="41">
        <f>(I65/$R65)</f>
        <v/>
      </c>
      <c r="AB65" s="41">
        <f>(J65/$R65)</f>
        <v/>
      </c>
      <c r="AC65" s="41">
        <f>(K65/$R65)</f>
        <v/>
      </c>
      <c r="AD65" s="41">
        <f>(L65/$R65)</f>
        <v/>
      </c>
      <c r="AE65" s="41">
        <f>(M65/$R65)</f>
        <v/>
      </c>
      <c r="AF65" s="41">
        <f>(N65/$R65)</f>
        <v/>
      </c>
      <c r="AG65" s="41">
        <f>(O65/$R65)</f>
        <v/>
      </c>
      <c r="AH65" s="41">
        <f>(P65/$R65)</f>
        <v/>
      </c>
      <c r="AI65" s="41">
        <f>(Q65/$R65)</f>
        <v/>
      </c>
      <c r="AJ65" s="41">
        <f>SUM(T65:W65)</f>
        <v/>
      </c>
      <c r="AK65" s="41">
        <f>SUM(AA65:AE65)+X65</f>
        <v/>
      </c>
      <c r="AL65" s="43">
        <f>AI65+AJ65+AF65+AG65+AH65</f>
        <v/>
      </c>
      <c r="AM65" s="41">
        <f>AL65+AK65</f>
        <v/>
      </c>
      <c r="AN65" s="41">
        <f>SUM(Y65:Z65)</f>
        <v/>
      </c>
      <c r="AO65">
        <f>YEAR(A65)</f>
        <v/>
      </c>
      <c r="AP65">
        <f>MONTH(A65)</f>
        <v/>
      </c>
      <c r="AQ65">
        <f>AQ64+1</f>
        <v/>
      </c>
    </row>
    <row r="66" ht="15.6" customHeight="1" s="259">
      <c r="T66" s="41">
        <f>(B66/$R66)</f>
        <v/>
      </c>
      <c r="U66" s="41">
        <f>(C66/$R66)</f>
        <v/>
      </c>
      <c r="V66" s="41">
        <f>(D66/$R66)</f>
        <v/>
      </c>
      <c r="W66" s="41">
        <f>(E66/R66)</f>
        <v/>
      </c>
      <c r="X66" s="41">
        <f>(F66/R66)*100</f>
        <v/>
      </c>
      <c r="Y66" s="41">
        <f>(G66/$R66)</f>
        <v/>
      </c>
      <c r="Z66" s="41">
        <f>(H66/$R66)</f>
        <v/>
      </c>
      <c r="AA66" s="41">
        <f>(I66/$R66)</f>
        <v/>
      </c>
      <c r="AB66" s="41">
        <f>(J66/$R66)</f>
        <v/>
      </c>
      <c r="AC66" s="41">
        <f>(K66/$R66)</f>
        <v/>
      </c>
      <c r="AD66" s="41">
        <f>(L66/$R66)</f>
        <v/>
      </c>
      <c r="AE66" s="41">
        <f>(M66/$R66)</f>
        <v/>
      </c>
      <c r="AF66" s="41">
        <f>(N66/$R66)</f>
        <v/>
      </c>
      <c r="AG66" s="41">
        <f>(O66/$R66)</f>
        <v/>
      </c>
      <c r="AH66" s="41">
        <f>(P66/$R66)</f>
        <v/>
      </c>
      <c r="AI66" s="41">
        <f>(Q66/$R66)</f>
        <v/>
      </c>
      <c r="AJ66" s="41">
        <f>SUM(T66:W66)</f>
        <v/>
      </c>
      <c r="AK66" s="41">
        <f>SUM(AA66:AE66)+X66</f>
        <v/>
      </c>
      <c r="AL66" s="43">
        <f>AI66+AJ66+AF66+AG66+AH66</f>
        <v/>
      </c>
      <c r="AM66" s="41">
        <f>AL66+AK66</f>
        <v/>
      </c>
      <c r="AN66" s="41">
        <f>SUM(Y66:Z66)</f>
        <v/>
      </c>
      <c r="AO66">
        <f>YEAR(A66)</f>
        <v/>
      </c>
      <c r="AP66">
        <f>MONTH(A66)</f>
        <v/>
      </c>
      <c r="AQ66">
        <f>AQ65+1</f>
        <v/>
      </c>
    </row>
    <row r="67" ht="15.6" customHeight="1" s="259">
      <c r="T67" s="41">
        <f>(B67/$R67)</f>
        <v/>
      </c>
      <c r="U67" s="41">
        <f>(C67/$R67)</f>
        <v/>
      </c>
      <c r="V67" s="41">
        <f>(D67/$R67)</f>
        <v/>
      </c>
      <c r="W67" s="41">
        <f>(E67/R67)</f>
        <v/>
      </c>
      <c r="X67" s="41">
        <f>(F67/R67)*100</f>
        <v/>
      </c>
      <c r="Y67" s="41">
        <f>(G67/$R67)</f>
        <v/>
      </c>
      <c r="Z67" s="41">
        <f>(H67/$R67)</f>
        <v/>
      </c>
      <c r="AA67" s="41">
        <f>(I67/$R67)</f>
        <v/>
      </c>
      <c r="AB67" s="41">
        <f>(J67/$R67)</f>
        <v/>
      </c>
      <c r="AC67" s="41">
        <f>(K67/$R67)</f>
        <v/>
      </c>
      <c r="AD67" s="41">
        <f>(L67/$R67)</f>
        <v/>
      </c>
      <c r="AE67" s="41">
        <f>(M67/$R67)</f>
        <v/>
      </c>
      <c r="AF67" s="41">
        <f>(N67/$R67)</f>
        <v/>
      </c>
      <c r="AG67" s="41">
        <f>(O67/$R67)</f>
        <v/>
      </c>
      <c r="AH67" s="41">
        <f>(P67/$R67)</f>
        <v/>
      </c>
      <c r="AI67" s="41">
        <f>(Q67/$R67)</f>
        <v/>
      </c>
      <c r="AJ67" s="41">
        <f>SUM(T67:W67)</f>
        <v/>
      </c>
      <c r="AK67" s="41">
        <f>SUM(AA67:AE67)+X67</f>
        <v/>
      </c>
      <c r="AL67" s="43">
        <f>AI67+AJ67+AF67+AG67+AH67</f>
        <v/>
      </c>
      <c r="AM67" s="41">
        <f>AL67+AK67</f>
        <v/>
      </c>
      <c r="AN67" s="41">
        <f>SUM(Y67:Z67)</f>
        <v/>
      </c>
      <c r="AO67">
        <f>YEAR(A67)</f>
        <v/>
      </c>
      <c r="AP67">
        <f>MONTH(A67)</f>
        <v/>
      </c>
      <c r="AQ67">
        <f>AQ66+1</f>
        <v/>
      </c>
    </row>
    <row r="68" ht="15.6" customHeight="1" s="259">
      <c r="T68" s="41">
        <f>(B68/$R68)</f>
        <v/>
      </c>
      <c r="U68" s="41">
        <f>(C68/$R68)</f>
        <v/>
      </c>
      <c r="V68" s="41">
        <f>(D68/$R68)</f>
        <v/>
      </c>
      <c r="W68" s="41">
        <f>(E68/R68)</f>
        <v/>
      </c>
      <c r="X68" s="41">
        <f>(F68/R68)*100</f>
        <v/>
      </c>
      <c r="Y68" s="41">
        <f>(G68/$R68)</f>
        <v/>
      </c>
      <c r="Z68" s="41">
        <f>(H68/$R68)</f>
        <v/>
      </c>
      <c r="AA68" s="41">
        <f>(I68/$R68)</f>
        <v/>
      </c>
      <c r="AB68" s="41">
        <f>(J68/$R68)</f>
        <v/>
      </c>
      <c r="AC68" s="41">
        <f>(K68/$R68)</f>
        <v/>
      </c>
      <c r="AD68" s="41">
        <f>(L68/$R68)</f>
        <v/>
      </c>
      <c r="AE68" s="41">
        <f>(M68/$R68)</f>
        <v/>
      </c>
      <c r="AF68" s="41">
        <f>(N68/$R68)</f>
        <v/>
      </c>
      <c r="AG68" s="41">
        <f>(O68/$R68)</f>
        <v/>
      </c>
      <c r="AH68" s="41">
        <f>(P68/$R68)</f>
        <v/>
      </c>
      <c r="AI68" s="41">
        <f>(Q68/$R68)</f>
        <v/>
      </c>
      <c r="AJ68" s="41">
        <f>SUM(T68:W68)</f>
        <v/>
      </c>
      <c r="AK68" s="41">
        <f>SUM(AA68:AE68)+X68</f>
        <v/>
      </c>
      <c r="AL68" s="43">
        <f>AI68+AJ68+AF68+AG68+AH68</f>
        <v/>
      </c>
      <c r="AM68" s="41">
        <f>AL68+AK68</f>
        <v/>
      </c>
      <c r="AN68" s="41">
        <f>SUM(Y68:Z68)</f>
        <v/>
      </c>
      <c r="AO68">
        <f>YEAR(A68)</f>
        <v/>
      </c>
      <c r="AP68">
        <f>MONTH(A68)</f>
        <v/>
      </c>
      <c r="AQ68">
        <f>AQ67+1</f>
        <v/>
      </c>
    </row>
    <row r="69" ht="15.6" customHeight="1" s="259">
      <c r="T69" s="41">
        <f>(B69/$R69)</f>
        <v/>
      </c>
      <c r="U69" s="41">
        <f>(C69/$R69)</f>
        <v/>
      </c>
      <c r="V69" s="41">
        <f>(D69/$R69)</f>
        <v/>
      </c>
      <c r="W69" s="41">
        <f>(E69/R69)</f>
        <v/>
      </c>
      <c r="X69" s="41">
        <f>(F69/R69)*100</f>
        <v/>
      </c>
      <c r="Y69" s="41">
        <f>(G69/$R69)</f>
        <v/>
      </c>
      <c r="Z69" s="41">
        <f>(H69/$R69)</f>
        <v/>
      </c>
      <c r="AA69" s="41">
        <f>(I69/$R69)</f>
        <v/>
      </c>
      <c r="AB69" s="41">
        <f>(J69/$R69)</f>
        <v/>
      </c>
      <c r="AC69" s="41">
        <f>(K69/$R69)</f>
        <v/>
      </c>
      <c r="AD69" s="41">
        <f>(L69/$R69)</f>
        <v/>
      </c>
      <c r="AE69" s="41">
        <f>(M69/$R69)</f>
        <v/>
      </c>
      <c r="AF69" s="41">
        <f>(N69/$R69)</f>
        <v/>
      </c>
      <c r="AG69" s="41">
        <f>(O69/$R69)</f>
        <v/>
      </c>
      <c r="AH69" s="41">
        <f>(P69/$R69)</f>
        <v/>
      </c>
      <c r="AI69" s="41">
        <f>(Q69/$R69)</f>
        <v/>
      </c>
      <c r="AJ69" s="41">
        <f>SUM(T69:W69)</f>
        <v/>
      </c>
      <c r="AK69" s="41">
        <f>SUM(AA69:AE69)+X69</f>
        <v/>
      </c>
      <c r="AL69" s="43">
        <f>AI69+AJ69+AF69+AG69+AH69</f>
        <v/>
      </c>
      <c r="AM69" s="41">
        <f>AL69+AK69</f>
        <v/>
      </c>
      <c r="AN69" s="41">
        <f>SUM(Y69:Z69)</f>
        <v/>
      </c>
      <c r="AO69">
        <f>YEAR(A69)</f>
        <v/>
      </c>
      <c r="AP69">
        <f>MONTH(A69)</f>
        <v/>
      </c>
      <c r="AQ69">
        <f>AQ68+1</f>
        <v/>
      </c>
    </row>
    <row r="70" ht="15.6" customHeight="1" s="259">
      <c r="T70" s="41" t="n"/>
      <c r="U70" s="41" t="n"/>
      <c r="V70" s="41" t="n"/>
      <c r="W70" s="41" t="n"/>
      <c r="X70" s="41" t="n"/>
      <c r="Y70" s="41" t="n"/>
      <c r="Z70" s="41" t="n"/>
      <c r="AA70" s="41" t="n"/>
      <c r="AB70" s="41" t="n"/>
      <c r="AC70" s="41" t="n"/>
      <c r="AD70" s="41" t="n"/>
      <c r="AE70" s="41" t="n"/>
      <c r="AF70" s="41" t="n"/>
      <c r="AG70" s="41" t="n"/>
      <c r="AH70" s="41" t="n"/>
      <c r="AI70" s="41" t="n"/>
      <c r="AJ70" s="41" t="n"/>
      <c r="AK70" s="41" t="n"/>
      <c r="AL70" s="43" t="n"/>
      <c r="AM70" s="41" t="n"/>
      <c r="AN70" s="41" t="n"/>
    </row>
    <row r="71" ht="15.6" customHeight="1" s="259"/>
    <row r="72" ht="15.6" customHeight="1" s="259">
      <c r="S72" s="38" t="inlineStr">
        <is>
          <t>Q7</t>
        </is>
      </c>
      <c r="T72" s="46">
        <f>AVERAGE(T2:T61)</f>
        <v/>
      </c>
      <c r="U72" s="46">
        <f>AVERAGE(U2:U61)</f>
        <v/>
      </c>
      <c r="V72" s="46">
        <f>AVERAGE(V2:V61)</f>
        <v/>
      </c>
      <c r="W72" s="46">
        <f>AVERAGE(W2:W61)</f>
        <v/>
      </c>
      <c r="X72" s="46">
        <f>AVERAGE(X2:X61)</f>
        <v/>
      </c>
      <c r="Y72" s="48">
        <f>AVERAGE(Y2:Y61)</f>
        <v/>
      </c>
      <c r="Z72" s="48">
        <f>AVERAGE(Z2:Z61)</f>
        <v/>
      </c>
      <c r="AA72" s="47">
        <f>AVERAGE(AA2:AA61)</f>
        <v/>
      </c>
      <c r="AB72" s="47">
        <f>AVERAGE(AB2:AB61)</f>
        <v/>
      </c>
      <c r="AC72" s="47">
        <f>AVERAGE(AC2:AC61)</f>
        <v/>
      </c>
      <c r="AD72" s="46">
        <f>AVERAGE(AD2:AD61)</f>
        <v/>
      </c>
      <c r="AE72" s="46">
        <f>AVERAGE(AE2:AE61)</f>
        <v/>
      </c>
      <c r="AF72" s="46">
        <f>AVERAGE(AF2:AF61)</f>
        <v/>
      </c>
      <c r="AG72" s="46">
        <f>AVERAGE(AG2:AG61)</f>
        <v/>
      </c>
      <c r="AH72" s="46">
        <f>AVERAGE(AH2:AH61)</f>
        <v/>
      </c>
      <c r="AI72" s="53">
        <f>AVERAGE(AI2:AI61)</f>
        <v/>
      </c>
      <c r="AJ72" s="55">
        <f>AVERAGE(AJ2:AJ61)</f>
        <v/>
      </c>
      <c r="AK72" s="50">
        <f>AVERAGE(AK2:AK61)</f>
        <v/>
      </c>
      <c r="AL72" s="49">
        <f>AVERAGE(AL2:AL61)</f>
        <v/>
      </c>
      <c r="AM72" s="50">
        <f>AVERAGE(AM2:AM61)</f>
        <v/>
      </c>
      <c r="AN72" s="50" t="n"/>
    </row>
    <row r="73" ht="15.6" customHeight="1" s="259"/>
    <row r="74" ht="15.6" customHeight="1" s="259">
      <c r="S74" s="38" t="n">
        <v>2024</v>
      </c>
      <c r="T74" s="91">
        <f>AVERAGE(T52:T62)</f>
        <v/>
      </c>
      <c r="U74" s="91">
        <f>AVERAGE(U52:U62)</f>
        <v/>
      </c>
      <c r="V74" s="91">
        <f>AVERAGE(V52:V62)</f>
        <v/>
      </c>
      <c r="W74" s="91">
        <f>AVERAGE(W52:W62)</f>
        <v/>
      </c>
      <c r="X74" s="91">
        <f>AVERAGE(X52:X62)</f>
        <v/>
      </c>
      <c r="Y74" s="91">
        <f>AVERAGE(Y52:Y62)</f>
        <v/>
      </c>
      <c r="Z74" s="91">
        <f>AVERAGE(Z52:Z62)</f>
        <v/>
      </c>
      <c r="AA74" s="91">
        <f>AVERAGE(AA52:AA62)</f>
        <v/>
      </c>
      <c r="AB74" s="91">
        <f>AVERAGE(AB52:AB62)</f>
        <v/>
      </c>
      <c r="AC74" s="91">
        <f>AVERAGE(AC52:AC62)</f>
        <v/>
      </c>
      <c r="AD74" s="91">
        <f>AVERAGE(AD52:AD62)</f>
        <v/>
      </c>
      <c r="AE74" s="91">
        <f>AVERAGE(AE52:AE62)</f>
        <v/>
      </c>
      <c r="AF74" s="91">
        <f>AVERAGE(AF52:AF62)</f>
        <v/>
      </c>
      <c r="AG74" s="91">
        <f>AVERAGE(AG52:AG62)</f>
        <v/>
      </c>
      <c r="AH74" s="91">
        <f>AVERAGE(AH52:AH62)</f>
        <v/>
      </c>
      <c r="AI74" s="91">
        <f>AVERAGE(AI52:AI62)</f>
        <v/>
      </c>
      <c r="AJ74" s="91">
        <f>AVERAGE(AJ52:AJ62)</f>
        <v/>
      </c>
      <c r="AK74" s="91">
        <f>AVERAGE(AK52:AK62)</f>
        <v/>
      </c>
      <c r="AL74" s="91">
        <f>AVERAGE(AL52:AL62)</f>
        <v/>
      </c>
      <c r="AM74" s="91">
        <f>AVERAGE(AM52:AM62)</f>
        <v/>
      </c>
      <c r="AN74" s="91" t="n"/>
    </row>
    <row r="75" ht="15.6" customHeight="1" s="259">
      <c r="S75" s="92" t="inlineStr">
        <is>
          <t>Janvier</t>
        </is>
      </c>
      <c r="T75" s="95">
        <f>AVERAGE(T52)</f>
        <v/>
      </c>
      <c r="U75" s="95">
        <f>AVERAGE(U52)</f>
        <v/>
      </c>
      <c r="V75" s="95">
        <f>AVERAGE(V52)</f>
        <v/>
      </c>
      <c r="W75" s="95">
        <f>AVERAGE(W52)</f>
        <v/>
      </c>
      <c r="X75" s="95">
        <f>AVERAGE(X52)</f>
        <v/>
      </c>
      <c r="Y75" s="95">
        <f>AVERAGE(Y52)</f>
        <v/>
      </c>
      <c r="Z75" s="95">
        <f>AVERAGE(Z52)</f>
        <v/>
      </c>
      <c r="AA75" s="95">
        <f>AVERAGE(AA52)</f>
        <v/>
      </c>
      <c r="AB75" s="95">
        <f>AVERAGE(AB52)</f>
        <v/>
      </c>
      <c r="AC75" s="95">
        <f>AVERAGE(AC52)</f>
        <v/>
      </c>
      <c r="AD75" s="95">
        <f>AVERAGE(AD52)</f>
        <v/>
      </c>
      <c r="AE75" s="95">
        <f>AVERAGE(AE52)</f>
        <v/>
      </c>
      <c r="AF75" s="95">
        <f>AVERAGE(AF52)</f>
        <v/>
      </c>
      <c r="AG75" s="95">
        <f>AVERAGE(AG52)</f>
        <v/>
      </c>
      <c r="AH75" s="95">
        <f>AVERAGE(AH52)</f>
        <v/>
      </c>
      <c r="AI75" s="95">
        <f>AVERAGE(AI52)</f>
        <v/>
      </c>
      <c r="AJ75" s="95">
        <f>AVERAGE(AJ52)</f>
        <v/>
      </c>
      <c r="AK75" s="95">
        <f>AVERAGE(AK52)</f>
        <v/>
      </c>
      <c r="AL75" s="95">
        <f>AVERAGE(AL52)</f>
        <v/>
      </c>
      <c r="AM75" s="95">
        <f>AVERAGE(AM52)</f>
        <v/>
      </c>
      <c r="AN75" s="95" t="n"/>
    </row>
    <row r="76" ht="15.6" customHeight="1" s="259">
      <c r="S76" s="92" t="inlineStr">
        <is>
          <t>Février</t>
        </is>
      </c>
      <c r="T76" s="95">
        <f>AVERAGE(T53)</f>
        <v/>
      </c>
      <c r="U76" s="95">
        <f>AVERAGE(U53)</f>
        <v/>
      </c>
      <c r="V76" s="95">
        <f>AVERAGE(V53)</f>
        <v/>
      </c>
      <c r="W76" s="95">
        <f>AVERAGE(W53)</f>
        <v/>
      </c>
      <c r="X76" s="95">
        <f>AVERAGE(X53)</f>
        <v/>
      </c>
      <c r="Y76" s="95">
        <f>AVERAGE(Y53)</f>
        <v/>
      </c>
      <c r="Z76" s="95">
        <f>AVERAGE(Z53)</f>
        <v/>
      </c>
      <c r="AA76" s="95">
        <f>AVERAGE(AA53)</f>
        <v/>
      </c>
      <c r="AB76" s="95">
        <f>AVERAGE(AB53)</f>
        <v/>
      </c>
      <c r="AC76" s="95">
        <f>AVERAGE(AC53)</f>
        <v/>
      </c>
      <c r="AD76" s="95">
        <f>AVERAGE(AD53)</f>
        <v/>
      </c>
      <c r="AE76" s="95">
        <f>AVERAGE(AE53)</f>
        <v/>
      </c>
      <c r="AF76" s="95">
        <f>AVERAGE(AF53)</f>
        <v/>
      </c>
      <c r="AG76" s="95">
        <f>AVERAGE(AG53)</f>
        <v/>
      </c>
      <c r="AH76" s="95">
        <f>AVERAGE(AH53)</f>
        <v/>
      </c>
      <c r="AI76" s="95">
        <f>AVERAGE(AI53)</f>
        <v/>
      </c>
      <c r="AJ76" s="95">
        <f>AVERAGE(AJ53)</f>
        <v/>
      </c>
      <c r="AK76" s="95">
        <f>AVERAGE(AK53)</f>
        <v/>
      </c>
      <c r="AL76" s="95">
        <f>AVERAGE(AL53)</f>
        <v/>
      </c>
      <c r="AM76" s="95">
        <f>AVERAGE(AM53)</f>
        <v/>
      </c>
      <c r="AN76" s="95" t="n"/>
    </row>
    <row r="77" ht="15.6" customHeight="1" s="259">
      <c r="S77" s="92" t="inlineStr">
        <is>
          <t>Mars</t>
        </is>
      </c>
      <c r="T77" s="95" t="inlineStr">
        <is>
          <t>/</t>
        </is>
      </c>
      <c r="U77" s="95" t="inlineStr">
        <is>
          <t>/</t>
        </is>
      </c>
      <c r="V77" s="95" t="inlineStr">
        <is>
          <t>/</t>
        </is>
      </c>
      <c r="W77" s="95" t="inlineStr">
        <is>
          <t>/</t>
        </is>
      </c>
      <c r="X77" s="95" t="inlineStr">
        <is>
          <t>/</t>
        </is>
      </c>
      <c r="Y77" s="95" t="inlineStr">
        <is>
          <t>/</t>
        </is>
      </c>
      <c r="Z77" s="95" t="inlineStr">
        <is>
          <t>/</t>
        </is>
      </c>
      <c r="AA77" s="95" t="inlineStr">
        <is>
          <t>/</t>
        </is>
      </c>
      <c r="AB77" s="95" t="inlineStr">
        <is>
          <t>/</t>
        </is>
      </c>
      <c r="AC77" s="95" t="inlineStr">
        <is>
          <t>/</t>
        </is>
      </c>
      <c r="AD77" s="95" t="inlineStr">
        <is>
          <t>/</t>
        </is>
      </c>
      <c r="AE77" s="95" t="inlineStr">
        <is>
          <t>/</t>
        </is>
      </c>
      <c r="AF77" s="95" t="inlineStr">
        <is>
          <t>/</t>
        </is>
      </c>
      <c r="AG77" s="95" t="inlineStr">
        <is>
          <t>/</t>
        </is>
      </c>
      <c r="AH77" s="95" t="inlineStr">
        <is>
          <t>/</t>
        </is>
      </c>
      <c r="AI77" s="95" t="inlineStr">
        <is>
          <t>/</t>
        </is>
      </c>
      <c r="AJ77" s="95" t="inlineStr">
        <is>
          <t>/</t>
        </is>
      </c>
      <c r="AK77" s="95" t="inlineStr">
        <is>
          <t>/</t>
        </is>
      </c>
      <c r="AL77" s="95" t="inlineStr">
        <is>
          <t>/</t>
        </is>
      </c>
      <c r="AM77" s="95" t="inlineStr">
        <is>
          <t>/</t>
        </is>
      </c>
      <c r="AN77" s="95" t="n"/>
    </row>
    <row r="78" ht="15.6" customHeight="1" s="259">
      <c r="S78" s="92" t="inlineStr">
        <is>
          <t>Avril</t>
        </is>
      </c>
      <c r="T78" s="95">
        <f>AVERAGE(T54:T57)</f>
        <v/>
      </c>
      <c r="U78" s="95">
        <f>AVERAGE(U54:U57)</f>
        <v/>
      </c>
      <c r="V78" s="95">
        <f>AVERAGE(V54:V57)</f>
        <v/>
      </c>
      <c r="W78" s="95">
        <f>AVERAGE(W54:W57)</f>
        <v/>
      </c>
      <c r="X78" s="95">
        <f>AVERAGE(X54:X57)</f>
        <v/>
      </c>
      <c r="Y78" s="95">
        <f>AVERAGE(Y54:Y57)</f>
        <v/>
      </c>
      <c r="Z78" s="95">
        <f>AVERAGE(Z54:Z57)</f>
        <v/>
      </c>
      <c r="AA78" s="95">
        <f>AVERAGE(AA54:AA57)</f>
        <v/>
      </c>
      <c r="AB78" s="95">
        <f>AVERAGE(AB54:AB57)</f>
        <v/>
      </c>
      <c r="AC78" s="95">
        <f>AVERAGE(AC54:AC57)</f>
        <v/>
      </c>
      <c r="AD78" s="95">
        <f>AVERAGE(AD54:AD57)</f>
        <v/>
      </c>
      <c r="AE78" s="95">
        <f>AVERAGE(AE54:AE57)</f>
        <v/>
      </c>
      <c r="AF78" s="95">
        <f>AVERAGE(AF54:AF57)</f>
        <v/>
      </c>
      <c r="AG78" s="95">
        <f>AVERAGE(AG54:AG57)</f>
        <v/>
      </c>
      <c r="AH78" s="95">
        <f>AVERAGE(AH54:AH57)</f>
        <v/>
      </c>
      <c r="AI78" s="95">
        <f>AVERAGE(AI54:AI57)</f>
        <v/>
      </c>
      <c r="AJ78" s="95">
        <f>AVERAGE(AJ54:AJ57)</f>
        <v/>
      </c>
      <c r="AK78" s="95">
        <f>AVERAGE(AK54:AK57)</f>
        <v/>
      </c>
      <c r="AL78" s="95">
        <f>AVERAGE(AL54:AL57)</f>
        <v/>
      </c>
      <c r="AM78" s="95">
        <f>AVERAGE(AM54:AM57)</f>
        <v/>
      </c>
      <c r="AN78" s="95" t="n"/>
    </row>
    <row r="79" ht="15.6" customHeight="1" s="259">
      <c r="S79" s="92" t="inlineStr">
        <is>
          <t>Juin</t>
        </is>
      </c>
      <c r="T79" s="95" t="inlineStr">
        <is>
          <t>/</t>
        </is>
      </c>
      <c r="U79" s="95" t="inlineStr">
        <is>
          <t>/</t>
        </is>
      </c>
      <c r="V79" s="95" t="inlineStr">
        <is>
          <t>/</t>
        </is>
      </c>
      <c r="W79" s="95" t="inlineStr">
        <is>
          <t>/</t>
        </is>
      </c>
      <c r="X79" s="95" t="inlineStr">
        <is>
          <t>/</t>
        </is>
      </c>
      <c r="Y79" s="95" t="inlineStr">
        <is>
          <t>/</t>
        </is>
      </c>
      <c r="Z79" s="95" t="inlineStr">
        <is>
          <t>/</t>
        </is>
      </c>
      <c r="AA79" s="95" t="inlineStr">
        <is>
          <t>/</t>
        </is>
      </c>
      <c r="AB79" s="95" t="inlineStr">
        <is>
          <t>/</t>
        </is>
      </c>
      <c r="AC79" s="95" t="inlineStr">
        <is>
          <t>/</t>
        </is>
      </c>
      <c r="AD79" s="95" t="inlineStr">
        <is>
          <t>/</t>
        </is>
      </c>
      <c r="AE79" s="95" t="inlineStr">
        <is>
          <t>/</t>
        </is>
      </c>
      <c r="AF79" s="95" t="inlineStr">
        <is>
          <t>/</t>
        </is>
      </c>
      <c r="AG79" s="95" t="inlineStr">
        <is>
          <t>/</t>
        </is>
      </c>
      <c r="AH79" s="95" t="inlineStr">
        <is>
          <t>/</t>
        </is>
      </c>
      <c r="AI79" s="95" t="inlineStr">
        <is>
          <t>/</t>
        </is>
      </c>
      <c r="AJ79" s="95" t="inlineStr">
        <is>
          <t>/</t>
        </is>
      </c>
      <c r="AK79" s="95" t="inlineStr">
        <is>
          <t>/</t>
        </is>
      </c>
      <c r="AL79" s="95" t="inlineStr">
        <is>
          <t>/</t>
        </is>
      </c>
      <c r="AM79" s="95" t="inlineStr">
        <is>
          <t>/</t>
        </is>
      </c>
      <c r="AN79" s="95" t="n"/>
    </row>
    <row r="80" ht="15.6" customHeight="1" s="259">
      <c r="S80" s="92" t="inlineStr">
        <is>
          <t>Juillet</t>
        </is>
      </c>
      <c r="T80" s="95">
        <f>AVERAGE(T58:T59)</f>
        <v/>
      </c>
      <c r="U80" s="95">
        <f>AVERAGE(U58:U59)</f>
        <v/>
      </c>
      <c r="V80" s="95">
        <f>AVERAGE(V58:V59)</f>
        <v/>
      </c>
      <c r="W80" s="95">
        <f>AVERAGE(W58:W59)</f>
        <v/>
      </c>
      <c r="X80" s="95">
        <f>AVERAGE(X58:X59)</f>
        <v/>
      </c>
      <c r="Y80" s="95">
        <f>AVERAGE(Y58:Y59)</f>
        <v/>
      </c>
      <c r="Z80" s="95">
        <f>AVERAGE(Z58:Z59)</f>
        <v/>
      </c>
      <c r="AA80" s="95">
        <f>AVERAGE(AA58:AA59)</f>
        <v/>
      </c>
      <c r="AB80" s="95">
        <f>AVERAGE(AB58:AB59)</f>
        <v/>
      </c>
      <c r="AC80" s="95">
        <f>AVERAGE(AC58:AC59)</f>
        <v/>
      </c>
      <c r="AD80" s="95">
        <f>AVERAGE(AD58:AD59)</f>
        <v/>
      </c>
      <c r="AE80" s="95">
        <f>AVERAGE(AE58:AE59)</f>
        <v/>
      </c>
      <c r="AF80" s="95">
        <f>AVERAGE(AF58:AF59)</f>
        <v/>
      </c>
      <c r="AG80" s="95">
        <f>AVERAGE(AG58:AG59)</f>
        <v/>
      </c>
      <c r="AH80" s="95">
        <f>AVERAGE(AH58:AH59)</f>
        <v/>
      </c>
      <c r="AI80" s="95">
        <f>AVERAGE(AI58:AI59)</f>
        <v/>
      </c>
      <c r="AJ80" s="95">
        <f>AVERAGE(AJ58:AJ59)</f>
        <v/>
      </c>
      <c r="AK80" s="95">
        <f>AVERAGE(AK58:AK59)</f>
        <v/>
      </c>
      <c r="AL80" s="95">
        <f>AVERAGE(AL58:AL59)</f>
        <v/>
      </c>
      <c r="AM80" s="95">
        <f>AVERAGE(AM58:AM59)</f>
        <v/>
      </c>
      <c r="AN80" s="95" t="n"/>
    </row>
    <row r="81" ht="15.6" customHeight="1" s="259">
      <c r="S81" s="92" t="inlineStr">
        <is>
          <t>Aout</t>
        </is>
      </c>
      <c r="T81" s="95">
        <f>AVERAGE(T60)</f>
        <v/>
      </c>
      <c r="U81" s="95">
        <f>AVERAGE(U60)</f>
        <v/>
      </c>
      <c r="V81" s="95">
        <f>AVERAGE(V60)</f>
        <v/>
      </c>
      <c r="W81" s="95">
        <f>AVERAGE(W60)</f>
        <v/>
      </c>
      <c r="X81" s="95">
        <f>AVERAGE(X60)</f>
        <v/>
      </c>
      <c r="Y81" s="95">
        <f>AVERAGE(Y60)</f>
        <v/>
      </c>
      <c r="Z81" s="95">
        <f>AVERAGE(Z60)</f>
        <v/>
      </c>
      <c r="AA81" s="95">
        <f>AVERAGE(AA60)</f>
        <v/>
      </c>
      <c r="AB81" s="95">
        <f>AVERAGE(AB60)</f>
        <v/>
      </c>
      <c r="AC81" s="95">
        <f>AVERAGE(AC60)</f>
        <v/>
      </c>
      <c r="AD81" s="95">
        <f>AVERAGE(AD60)</f>
        <v/>
      </c>
      <c r="AE81" s="95">
        <f>AVERAGE(AE60)</f>
        <v/>
      </c>
      <c r="AF81" s="95">
        <f>AVERAGE(AF60)</f>
        <v/>
      </c>
      <c r="AG81" s="95">
        <f>AVERAGE(AG60)</f>
        <v/>
      </c>
      <c r="AH81" s="95">
        <f>AVERAGE(AH60)</f>
        <v/>
      </c>
      <c r="AI81" s="95">
        <f>AVERAGE(AI60)</f>
        <v/>
      </c>
      <c r="AJ81" s="95">
        <f>AVERAGE(AJ60)</f>
        <v/>
      </c>
      <c r="AK81" s="95">
        <f>AVERAGE(AK60)</f>
        <v/>
      </c>
      <c r="AL81" s="95">
        <f>AVERAGE(AL60)</f>
        <v/>
      </c>
      <c r="AM81" s="95">
        <f>AVERAGE(AM60)</f>
        <v/>
      </c>
    </row>
    <row r="82" ht="15.6" customHeight="1" s="259">
      <c r="S82" s="92" t="inlineStr">
        <is>
          <t>Septembre</t>
        </is>
      </c>
      <c r="T82" s="95">
        <f>AVERAGE(T61)</f>
        <v/>
      </c>
      <c r="U82" s="95">
        <f>AVERAGE(U61)</f>
        <v/>
      </c>
      <c r="V82" s="95">
        <f>AVERAGE(V61)</f>
        <v/>
      </c>
      <c r="W82" s="95">
        <f>AVERAGE(W61)</f>
        <v/>
      </c>
      <c r="X82" s="95">
        <f>AVERAGE(X61)</f>
        <v/>
      </c>
      <c r="Y82" s="95">
        <f>AVERAGE(Y61)</f>
        <v/>
      </c>
      <c r="Z82" s="95">
        <f>AVERAGE(Z61)</f>
        <v/>
      </c>
      <c r="AA82" s="95">
        <f>AVERAGE(AA61)</f>
        <v/>
      </c>
      <c r="AB82" s="95">
        <f>AVERAGE(AB61)</f>
        <v/>
      </c>
      <c r="AC82" s="95">
        <f>AVERAGE(AC61)</f>
        <v/>
      </c>
      <c r="AD82" s="95">
        <f>AVERAGE(AD61)</f>
        <v/>
      </c>
      <c r="AE82" s="95">
        <f>AVERAGE(AE61)</f>
        <v/>
      </c>
      <c r="AF82" s="95">
        <f>AVERAGE(AF61)</f>
        <v/>
      </c>
      <c r="AG82" s="95">
        <f>AVERAGE(AG61)</f>
        <v/>
      </c>
      <c r="AH82" s="95">
        <f>AVERAGE(AH61)</f>
        <v/>
      </c>
      <c r="AI82" s="95">
        <f>AVERAGE(AI61)</f>
        <v/>
      </c>
      <c r="AJ82" s="95">
        <f>AVERAGE(AJ61)</f>
        <v/>
      </c>
      <c r="AK82" s="95">
        <f>AVERAGE(AK61)</f>
        <v/>
      </c>
      <c r="AL82" s="95">
        <f>AVERAGE(AL61)</f>
        <v/>
      </c>
      <c r="AM82" s="95">
        <f>AVERAGE(AM61)</f>
        <v/>
      </c>
    </row>
    <row r="83" ht="15.6" customHeight="1" s="259">
      <c r="S83" s="92" t="inlineStr">
        <is>
          <t>Octobre</t>
        </is>
      </c>
      <c r="T83" s="95">
        <f>AVERAGE(T59:T62)</f>
        <v/>
      </c>
      <c r="U83" s="95">
        <f>AVERAGE(U59:U62)</f>
        <v/>
      </c>
      <c r="V83" s="95">
        <f>AVERAGE(V59:V62)</f>
        <v/>
      </c>
      <c r="W83" s="95">
        <f>AVERAGE(W59:W62)</f>
        <v/>
      </c>
      <c r="X83" s="95">
        <f>AVERAGE(X59:X62)</f>
        <v/>
      </c>
      <c r="Y83" s="95">
        <f>AVERAGE(Y59:Y62)</f>
        <v/>
      </c>
      <c r="Z83" s="95">
        <f>AVERAGE(Z59:Z62)</f>
        <v/>
      </c>
      <c r="AA83" s="95">
        <f>AVERAGE(AA59:AA62)</f>
        <v/>
      </c>
      <c r="AB83" s="95">
        <f>AVERAGE(AB59:AB62)</f>
        <v/>
      </c>
      <c r="AC83" s="95">
        <f>AVERAGE(AC59:AC62)</f>
        <v/>
      </c>
      <c r="AD83" s="95">
        <f>AVERAGE(AD59:AD62)</f>
        <v/>
      </c>
      <c r="AE83" s="95">
        <f>AVERAGE(AE59:AE62)</f>
        <v/>
      </c>
      <c r="AF83" s="95">
        <f>AVERAGE(AF59:AF62)</f>
        <v/>
      </c>
      <c r="AG83" s="95">
        <f>AVERAGE(AG59:AG62)</f>
        <v/>
      </c>
      <c r="AH83" s="95">
        <f>AVERAGE(AH59:AH62)</f>
        <v/>
      </c>
      <c r="AI83" s="95">
        <f>AVERAGE(AI59:AI62)</f>
        <v/>
      </c>
      <c r="AJ83" s="95">
        <f>AVERAGE(AJ59:AJ62)</f>
        <v/>
      </c>
      <c r="AK83" s="95">
        <f>AVERAGE(AK59:AK62)</f>
        <v/>
      </c>
      <c r="AL83" s="95">
        <f>AVERAGE(AL59:AL62)</f>
        <v/>
      </c>
      <c r="AM83" s="95">
        <f>AVERAGE(AM59:AM62)</f>
        <v/>
      </c>
    </row>
    <row r="84" ht="15.6" customHeight="1" s="259">
      <c r="S84" s="92" t="inlineStr">
        <is>
          <t>Novembre</t>
        </is>
      </c>
      <c r="T84" s="95">
        <f>AVERAGE(T60:T63)</f>
        <v/>
      </c>
      <c r="U84" s="95">
        <f>AVERAGE(U60:U63)</f>
        <v/>
      </c>
      <c r="V84" s="95">
        <f>AVERAGE(V60:V63)</f>
        <v/>
      </c>
      <c r="W84" s="95">
        <f>AVERAGE(W60:W63)</f>
        <v/>
      </c>
      <c r="X84" s="95">
        <f>AVERAGE(X60:X63)</f>
        <v/>
      </c>
      <c r="Y84" s="95">
        <f>AVERAGE(Y60:Y63)</f>
        <v/>
      </c>
      <c r="Z84" s="95">
        <f>AVERAGE(Z60:Z63)</f>
        <v/>
      </c>
      <c r="AA84" s="95">
        <f>AVERAGE(AA60:AA63)</f>
        <v/>
      </c>
      <c r="AB84" s="95">
        <f>AVERAGE(AB60:AB63)</f>
        <v/>
      </c>
      <c r="AC84" s="95">
        <f>AVERAGE(AC60:AC63)</f>
        <v/>
      </c>
      <c r="AD84" s="95">
        <f>AVERAGE(AD60:AD63)</f>
        <v/>
      </c>
      <c r="AE84" s="95">
        <f>AVERAGE(AE60:AE63)</f>
        <v/>
      </c>
      <c r="AF84" s="95">
        <f>AVERAGE(AF60:AF63)</f>
        <v/>
      </c>
      <c r="AG84" s="95">
        <f>AVERAGE(AG60:AG63)</f>
        <v/>
      </c>
      <c r="AH84" s="95">
        <f>AVERAGE(AH60:AH63)</f>
        <v/>
      </c>
      <c r="AI84" s="95">
        <f>AVERAGE(AI60:AI63)</f>
        <v/>
      </c>
      <c r="AJ84" s="95">
        <f>AVERAGE(AJ60:AJ63)</f>
        <v/>
      </c>
      <c r="AK84" s="95">
        <f>AVERAGE(AK60:AK63)</f>
        <v/>
      </c>
      <c r="AL84" s="95">
        <f>AVERAGE(AL60:AL63)</f>
        <v/>
      </c>
      <c r="AM84" s="95">
        <f>AVERAGE(AM60:AM63)</f>
        <v/>
      </c>
    </row>
    <row r="85" ht="15" customHeight="1" s="259">
      <c r="S85" s="92" t="inlineStr">
        <is>
          <t>Decembre</t>
        </is>
      </c>
      <c r="T85" s="95">
        <f>AVERAGE(T61:T64)</f>
        <v/>
      </c>
      <c r="U85" s="95">
        <f>AVERAGE(U61:U64)</f>
        <v/>
      </c>
      <c r="V85" s="95">
        <f>AVERAGE(V61:V64)</f>
        <v/>
      </c>
      <c r="W85" s="95">
        <f>AVERAGE(W61:W64)</f>
        <v/>
      </c>
      <c r="X85" s="95">
        <f>AVERAGE(X61:X64)</f>
        <v/>
      </c>
      <c r="Y85" s="95">
        <f>AVERAGE(Y61:Y64)</f>
        <v/>
      </c>
      <c r="Z85" s="95">
        <f>AVERAGE(Z61:Z64)</f>
        <v/>
      </c>
      <c r="AA85" s="95">
        <f>AVERAGE(AA61:AA64)</f>
        <v/>
      </c>
      <c r="AB85" s="95">
        <f>AVERAGE(AB61:AB64)</f>
        <v/>
      </c>
      <c r="AC85" s="95">
        <f>AVERAGE(AC61:AC64)</f>
        <v/>
      </c>
      <c r="AD85" s="95">
        <f>AVERAGE(AD61:AD64)</f>
        <v/>
      </c>
      <c r="AE85" s="95">
        <f>AVERAGE(AE61:AE64)</f>
        <v/>
      </c>
      <c r="AF85" s="95">
        <f>AVERAGE(AF61:AF64)</f>
        <v/>
      </c>
      <c r="AG85" s="95">
        <f>AVERAGE(AG61:AG64)</f>
        <v/>
      </c>
      <c r="AH85" s="95">
        <f>AVERAGE(AH61:AH64)</f>
        <v/>
      </c>
      <c r="AI85" s="95">
        <f>AVERAGE(AI61:AI64)</f>
        <v/>
      </c>
      <c r="AJ85" s="95">
        <f>AVERAGE(AJ61:AJ64)</f>
        <v/>
      </c>
      <c r="AK85" s="95">
        <f>AVERAGE(AK61:AK64)</f>
        <v/>
      </c>
      <c r="AL85" s="95">
        <f>AVERAGE(AL61:AL64)</f>
        <v/>
      </c>
      <c r="AM85" s="95">
        <f>AVERAGE(AM61:AM64)</f>
        <v/>
      </c>
    </row>
  </sheetData>
  <autoFilter ref="A1:AM63">
    <filterColumn colId="0" hiddenButton="0" showButton="1">
      <filters>
        <dateGroupItem year="2024" dateTimeGrouping="year"/>
      </filters>
    </filterColumn>
  </autoFilter>
  <pageMargins left="0.7086614173228347" right="0.7086614173228347" top="0.7480314960629921" bottom="0.7480314960629921" header="0.3149606299212598" footer="0.3149606299212598"/>
  <pageSetup orientation="landscape" paperSize="9" scale="22"/>
</worksheet>
</file>

<file path=xl/worksheets/sheet12.xml><?xml version="1.0" encoding="utf-8"?>
<worksheet xmlns="http://schemas.openxmlformats.org/spreadsheetml/2006/main">
  <sheetPr codeName="Feuil10" filterMode="1">
    <tabColor rgb="FFFFC000"/>
    <outlinePr summaryBelow="1" summaryRight="1"/>
    <pageSetUpPr fitToPage="1"/>
  </sheetPr>
  <dimension ref="A1:AQ88"/>
  <sheetViews>
    <sheetView topLeftCell="H1" zoomScale="85" zoomScaleNormal="85" workbookViewId="0">
      <pane ySplit="1" topLeftCell="A68" activePane="bottomLeft" state="frozen"/>
      <selection activeCell="H12" sqref="H12"/>
      <selection pane="bottomLeft" activeCell="H12" sqref="H12"/>
    </sheetView>
  </sheetViews>
  <sheetFormatPr baseColWidth="10" defaultRowHeight="20.25"/>
  <cols>
    <col width="14.28515625" customWidth="1" style="259" min="1" max="1"/>
    <col width="13.7109375" customWidth="1" style="259" min="3" max="3"/>
    <col width="13.28515625" customWidth="1" style="259" min="4" max="4"/>
    <col width="15.7109375" customWidth="1" style="259" min="7" max="7"/>
    <col width="16.7109375" customWidth="1" style="259" min="8" max="8"/>
    <col width="15.7109375" customWidth="1" style="259" min="9" max="9"/>
    <col width="17.7109375" customWidth="1" style="259" min="10" max="10"/>
    <col width="15.7109375" customWidth="1" style="259" min="11" max="12"/>
    <col width="15" bestFit="1" customWidth="1" style="259" min="18" max="18"/>
    <col width="11.42578125" customWidth="1" style="38" min="19" max="19"/>
    <col width="11.42578125" customWidth="1" style="259" min="20" max="20"/>
    <col width="12.7109375" customWidth="1" style="259" min="21" max="22"/>
    <col width="17.42578125" customWidth="1" style="259" min="25" max="30"/>
    <col width="16.42578125" customWidth="1" style="259" min="34" max="34"/>
    <col width="18.7109375" customWidth="1" style="259" min="36" max="36"/>
    <col width="17.28515625" customWidth="1" style="259" min="37" max="37"/>
    <col width="13.28515625" customWidth="1" style="259" min="39" max="40"/>
  </cols>
  <sheetData>
    <row r="1" ht="90" customHeight="1" s="259">
      <c r="A1" s="38" t="inlineStr">
        <is>
          <t>Date</t>
        </is>
      </c>
      <c r="B1" s="38" t="inlineStr">
        <is>
          <t>JRM</t>
        </is>
      </c>
      <c r="C1" s="38" t="inlineStr">
        <is>
          <t>Cartons 1.05</t>
        </is>
      </c>
      <c r="D1" s="38" t="inlineStr">
        <is>
          <t>Cartons 1.04</t>
        </is>
      </c>
      <c r="E1" s="38" t="inlineStr">
        <is>
          <t>GM</t>
        </is>
      </c>
      <c r="F1" s="37" t="inlineStr">
        <is>
          <t>ELA</t>
        </is>
      </c>
      <c r="G1" s="37" t="inlineStr">
        <is>
          <t>PET Q7 bouteilles</t>
        </is>
      </c>
      <c r="H1" s="37" t="inlineStr">
        <is>
          <t>PET Q7 barquettes</t>
        </is>
      </c>
      <c r="I1" s="36" t="inlineStr">
        <is>
          <t>PET Q8 bouteilles</t>
        </is>
      </c>
      <c r="J1" s="36" t="inlineStr">
        <is>
          <t>PET Q8 Barquettes</t>
        </is>
      </c>
      <c r="K1" s="36" t="inlineStr">
        <is>
          <t>PET Q8 Opaque</t>
        </is>
      </c>
      <c r="L1" s="37" t="inlineStr">
        <is>
          <t>PEPPPS</t>
        </is>
      </c>
      <c r="M1" s="38" t="inlineStr">
        <is>
          <t>films</t>
        </is>
      </c>
      <c r="N1" s="38" t="inlineStr">
        <is>
          <t>acier</t>
        </is>
      </c>
      <c r="O1" s="38" t="inlineStr">
        <is>
          <t>alu</t>
        </is>
      </c>
      <c r="P1" s="38" t="inlineStr">
        <is>
          <t>petits alu</t>
        </is>
      </c>
      <c r="Q1" s="33" t="inlineStr">
        <is>
          <t>refus indésirables</t>
        </is>
      </c>
      <c r="R1" s="38" t="inlineStr">
        <is>
          <t>TOTAL</t>
        </is>
      </c>
      <c r="T1" s="38" t="inlineStr">
        <is>
          <t>JRM</t>
        </is>
      </c>
      <c r="U1" s="38" t="inlineStr">
        <is>
          <t>Cartons 1.05</t>
        </is>
      </c>
      <c r="V1" s="38" t="inlineStr">
        <is>
          <t>Cartons 1.04</t>
        </is>
      </c>
      <c r="W1" s="38" t="inlineStr">
        <is>
          <t>GM</t>
        </is>
      </c>
      <c r="X1" s="38" t="inlineStr">
        <is>
          <t>ELA</t>
        </is>
      </c>
      <c r="Y1" s="37" t="inlineStr">
        <is>
          <t>PET Q7 bouteilles</t>
        </is>
      </c>
      <c r="Z1" s="37" t="inlineStr">
        <is>
          <t>PET Q7 barquettes</t>
        </is>
      </c>
      <c r="AA1" s="36" t="inlineStr">
        <is>
          <t>PET Q8 bouteilles</t>
        </is>
      </c>
      <c r="AB1" s="36" t="inlineStr">
        <is>
          <t>PET Q8 Barquettes</t>
        </is>
      </c>
      <c r="AC1" s="36" t="inlineStr">
        <is>
          <t>PET Q8 Opaque</t>
        </is>
      </c>
      <c r="AD1" s="38" t="inlineStr">
        <is>
          <t>PEPPPS</t>
        </is>
      </c>
      <c r="AE1" s="38" t="inlineStr">
        <is>
          <t>films</t>
        </is>
      </c>
      <c r="AF1" s="38" t="inlineStr">
        <is>
          <t>acier</t>
        </is>
      </c>
      <c r="AG1" s="38" t="inlineStr">
        <is>
          <t>alu</t>
        </is>
      </c>
      <c r="AH1" s="38" t="inlineStr">
        <is>
          <t>petits alu</t>
        </is>
      </c>
      <c r="AI1" s="33" t="inlineStr">
        <is>
          <t>refus indésirables</t>
        </is>
      </c>
      <c r="AJ1" s="32" t="inlineStr">
        <is>
          <t>TOTAL refus fibreux valorisables</t>
        </is>
      </c>
      <c r="AK1" s="31" t="inlineStr">
        <is>
          <t>TOTAL refus non fibreux valorisables</t>
        </is>
      </c>
      <c r="AL1" s="33" t="inlineStr">
        <is>
          <t xml:space="preserve">TOTAL REFUS </t>
        </is>
      </c>
      <c r="AM1" s="31" t="inlineStr">
        <is>
          <t>TOTAL REFUS + refus non fibreux</t>
        </is>
      </c>
      <c r="AN1" s="32" t="inlineStr">
        <is>
          <t>Q8</t>
        </is>
      </c>
      <c r="AO1" s="32" t="inlineStr">
        <is>
          <t>Annee</t>
        </is>
      </c>
      <c r="AP1" s="32" t="inlineStr">
        <is>
          <t>Mois</t>
        </is>
      </c>
      <c r="AQ1" s="32" t="inlineStr">
        <is>
          <t>Nb caract</t>
        </is>
      </c>
    </row>
    <row r="2" hidden="1" ht="15.75" customHeight="1" s="259">
      <c r="A2" s="8" t="n">
        <v>44623</v>
      </c>
      <c r="F2" t="n">
        <v>0.04</v>
      </c>
      <c r="G2" t="n">
        <v>1.48</v>
      </c>
      <c r="H2" t="n">
        <v>0.5</v>
      </c>
      <c r="I2" t="n">
        <v>9.24</v>
      </c>
      <c r="K2" t="n">
        <v>1.56</v>
      </c>
      <c r="L2" t="n">
        <v>0.12</v>
      </c>
      <c r="O2" t="n">
        <v>0.06</v>
      </c>
      <c r="P2" t="n">
        <v>0.12</v>
      </c>
      <c r="Q2" t="n">
        <v>0.16</v>
      </c>
      <c r="R2">
        <f>SUM(B2:Q2)</f>
        <v/>
      </c>
      <c r="T2" s="41">
        <f>B2/$R2</f>
        <v/>
      </c>
      <c r="U2" s="41">
        <f>C2/$R2</f>
        <v/>
      </c>
      <c r="V2" s="41">
        <f>D2/$R2</f>
        <v/>
      </c>
      <c r="W2" s="41">
        <f>E2/$R2</f>
        <v/>
      </c>
      <c r="X2" s="41">
        <f>F2/$R2</f>
        <v/>
      </c>
      <c r="Y2" s="41">
        <f>G2/$R2</f>
        <v/>
      </c>
      <c r="Z2" s="41">
        <f>H2/$R2</f>
        <v/>
      </c>
      <c r="AA2" s="41">
        <f>I2/$R2</f>
        <v/>
      </c>
      <c r="AB2" s="41">
        <f>J2/$R2</f>
        <v/>
      </c>
      <c r="AC2" s="41">
        <f>K2/$R2</f>
        <v/>
      </c>
      <c r="AD2" s="41">
        <f>L2/$R2</f>
        <v/>
      </c>
      <c r="AE2" s="41">
        <f>M2/$R2</f>
        <v/>
      </c>
      <c r="AF2" s="41">
        <f>N2/$R2</f>
        <v/>
      </c>
      <c r="AG2" s="41">
        <f>O2/$R2</f>
        <v/>
      </c>
      <c r="AH2" s="41">
        <f>P2/$R2</f>
        <v/>
      </c>
      <c r="AI2" s="41">
        <f>Q2/$R2</f>
        <v/>
      </c>
      <c r="AJ2" s="41">
        <f>SUM(T2:W2)</f>
        <v/>
      </c>
      <c r="AK2" s="45">
        <f>SUM(X2:Z2)+AD2+AE2</f>
        <v/>
      </c>
      <c r="AL2" s="45">
        <f>SUM(AF2:AI2)+AJ2</f>
        <v/>
      </c>
      <c r="AM2" s="45">
        <f>AK2+AL2</f>
        <v/>
      </c>
      <c r="AN2" s="45" t="n"/>
    </row>
    <row r="3" hidden="1" ht="15.75" customHeight="1" s="259">
      <c r="A3" s="8" t="n">
        <v>44624</v>
      </c>
      <c r="D3" t="n">
        <v>0.04</v>
      </c>
      <c r="G3" t="n">
        <v>2.04</v>
      </c>
      <c r="H3" t="n">
        <v>0.52</v>
      </c>
      <c r="I3" t="n">
        <v>10.92</v>
      </c>
      <c r="K3" t="n">
        <v>4.68</v>
      </c>
      <c r="O3" t="n">
        <v>0.02</v>
      </c>
      <c r="P3" t="n">
        <v>0.04</v>
      </c>
      <c r="Q3" t="n">
        <v>0.04</v>
      </c>
      <c r="R3">
        <f>SUM(B3:Q3)</f>
        <v/>
      </c>
      <c r="T3" s="41">
        <f>B3/$R3</f>
        <v/>
      </c>
      <c r="U3" s="41">
        <f>C3/$R3</f>
        <v/>
      </c>
      <c r="V3" s="41">
        <f>D3/$R3</f>
        <v/>
      </c>
      <c r="W3" s="41">
        <f>E3/$R3</f>
        <v/>
      </c>
      <c r="X3" s="41">
        <f>F3/$R3</f>
        <v/>
      </c>
      <c r="Y3" s="41">
        <f>G3/$R3</f>
        <v/>
      </c>
      <c r="Z3" s="41">
        <f>H3/$R3</f>
        <v/>
      </c>
      <c r="AA3" s="41">
        <f>I3/$R3</f>
        <v/>
      </c>
      <c r="AB3" s="41">
        <f>J3/$R3</f>
        <v/>
      </c>
      <c r="AC3" s="41">
        <f>K3/$R3</f>
        <v/>
      </c>
      <c r="AD3" s="41">
        <f>L3/$R3</f>
        <v/>
      </c>
      <c r="AE3" s="41">
        <f>M3/$R3</f>
        <v/>
      </c>
      <c r="AF3" s="41">
        <f>N3/$R3</f>
        <v/>
      </c>
      <c r="AG3" s="41">
        <f>O3/$R3</f>
        <v/>
      </c>
      <c r="AH3" s="41">
        <f>P3/$R3</f>
        <v/>
      </c>
      <c r="AI3" s="41">
        <f>Q3/$R3</f>
        <v/>
      </c>
      <c r="AJ3" s="41">
        <f>SUM(T3:W3)</f>
        <v/>
      </c>
      <c r="AK3" s="45">
        <f>SUM(X3:Z3)+AD3</f>
        <v/>
      </c>
      <c r="AL3" s="45">
        <f>SUM(AF3:AI3)+AJ3</f>
        <v/>
      </c>
      <c r="AM3" s="45">
        <f>AK3+AL3</f>
        <v/>
      </c>
      <c r="AN3" s="45" t="n"/>
    </row>
    <row r="4" hidden="1" ht="15.75" customHeight="1" s="259">
      <c r="A4" s="8" t="n">
        <v>44630</v>
      </c>
      <c r="G4" t="n">
        <v>1.54</v>
      </c>
      <c r="H4" t="n">
        <v>0.44</v>
      </c>
      <c r="I4" t="n">
        <v>13.82</v>
      </c>
      <c r="J4" t="n">
        <v>0.06</v>
      </c>
      <c r="K4" t="n">
        <v>3.98</v>
      </c>
      <c r="L4" t="n">
        <v>0.3</v>
      </c>
      <c r="M4" t="n">
        <v>0.06</v>
      </c>
      <c r="O4" t="n">
        <v>0.04</v>
      </c>
      <c r="P4" t="n">
        <v>0.02</v>
      </c>
      <c r="Q4" t="n">
        <v>0.52</v>
      </c>
      <c r="R4">
        <f>SUM(B4:Q4)</f>
        <v/>
      </c>
      <c r="T4" s="41">
        <f>B4/$R4</f>
        <v/>
      </c>
      <c r="U4" s="41">
        <f>C4/$R4</f>
        <v/>
      </c>
      <c r="V4" s="41">
        <f>D4/$R4</f>
        <v/>
      </c>
      <c r="W4" s="41">
        <f>E4/$R4</f>
        <v/>
      </c>
      <c r="X4" s="41">
        <f>F4/$R4</f>
        <v/>
      </c>
      <c r="Y4" s="41">
        <f>G4/$R4</f>
        <v/>
      </c>
      <c r="Z4" s="41">
        <f>H4/$R4</f>
        <v/>
      </c>
      <c r="AA4" s="41">
        <f>I4/$R4</f>
        <v/>
      </c>
      <c r="AB4" s="41">
        <f>J4/$R4</f>
        <v/>
      </c>
      <c r="AC4" s="41">
        <f>K4/$R4</f>
        <v/>
      </c>
      <c r="AD4" s="41">
        <f>L4/$R4</f>
        <v/>
      </c>
      <c r="AE4" s="41">
        <f>M4/$R4</f>
        <v/>
      </c>
      <c r="AF4" s="41">
        <f>N4/$R4</f>
        <v/>
      </c>
      <c r="AG4" s="41">
        <f>O4/$R4</f>
        <v/>
      </c>
      <c r="AH4" s="41">
        <f>P4/$R4</f>
        <v/>
      </c>
      <c r="AI4" s="41">
        <f>Q4/$R4</f>
        <v/>
      </c>
      <c r="AJ4" s="41">
        <f>SUM(T4:W4)</f>
        <v/>
      </c>
      <c r="AK4" s="45">
        <f>SUM(X4:Z4)+AD4</f>
        <v/>
      </c>
      <c r="AL4" s="45">
        <f>SUM(AF4:AI4)+AJ4</f>
        <v/>
      </c>
      <c r="AM4" s="45">
        <f>AK4+AL4</f>
        <v/>
      </c>
      <c r="AN4" s="45" t="n"/>
    </row>
    <row r="5" hidden="1" ht="15.75" customHeight="1" s="259">
      <c r="A5" s="8" t="n">
        <v>44631</v>
      </c>
      <c r="C5" t="n">
        <v>0.02</v>
      </c>
      <c r="G5" t="n">
        <v>1.34</v>
      </c>
      <c r="H5" t="n">
        <v>1.96</v>
      </c>
      <c r="I5" t="n">
        <v>17.2</v>
      </c>
      <c r="K5" t="n">
        <v>8.699999999999999</v>
      </c>
      <c r="M5" t="n">
        <v>0.02</v>
      </c>
      <c r="O5" t="n">
        <v>0.02</v>
      </c>
      <c r="Q5" t="n">
        <v>0.78</v>
      </c>
      <c r="R5">
        <f>SUM(B5:Q5)</f>
        <v/>
      </c>
      <c r="T5" s="41">
        <f>B5/$R5</f>
        <v/>
      </c>
      <c r="U5" s="41">
        <f>C5/$R5</f>
        <v/>
      </c>
      <c r="V5" s="41">
        <f>D5/$R5</f>
        <v/>
      </c>
      <c r="W5" s="41">
        <f>E5/$R5</f>
        <v/>
      </c>
      <c r="X5" s="41">
        <f>F5/$R5</f>
        <v/>
      </c>
      <c r="Y5" s="41">
        <f>G5/$R5</f>
        <v/>
      </c>
      <c r="Z5" s="41">
        <f>H5/$R5</f>
        <v/>
      </c>
      <c r="AA5" s="41">
        <f>I5/$R5</f>
        <v/>
      </c>
      <c r="AB5" s="41">
        <f>J5/$R5</f>
        <v/>
      </c>
      <c r="AC5" s="41">
        <f>K5/$R5</f>
        <v/>
      </c>
      <c r="AD5" s="41">
        <f>L5/$R5</f>
        <v/>
      </c>
      <c r="AE5" s="41">
        <f>M5/$R5</f>
        <v/>
      </c>
      <c r="AF5" s="41">
        <f>N5/$R5</f>
        <v/>
      </c>
      <c r="AG5" s="41">
        <f>O5/$R5</f>
        <v/>
      </c>
      <c r="AH5" s="41">
        <f>P5/$R5</f>
        <v/>
      </c>
      <c r="AI5" s="41">
        <f>Q5/$R5</f>
        <v/>
      </c>
      <c r="AJ5" s="41">
        <f>SUM(T5:W5)</f>
        <v/>
      </c>
      <c r="AK5" s="45">
        <f>SUM(X5:Z5)+AD5</f>
        <v/>
      </c>
      <c r="AL5" s="45">
        <f>SUM(AF5:AI5)+AJ5</f>
        <v/>
      </c>
      <c r="AM5" s="45">
        <f>AK5+AL5</f>
        <v/>
      </c>
      <c r="AN5" s="45" t="n"/>
    </row>
    <row r="6" hidden="1" ht="15.75" customHeight="1" s="259">
      <c r="A6" s="8" t="n">
        <v>44648</v>
      </c>
      <c r="D6" t="n">
        <v>0.4</v>
      </c>
      <c r="F6" t="n">
        <v>0.04</v>
      </c>
      <c r="G6" t="n">
        <v>1.12</v>
      </c>
      <c r="H6" t="n">
        <v>0.76</v>
      </c>
      <c r="I6" t="n">
        <v>16.22</v>
      </c>
      <c r="K6" t="n">
        <v>4.8</v>
      </c>
      <c r="L6" t="n">
        <v>0.32</v>
      </c>
      <c r="M6" t="n">
        <v>0.06</v>
      </c>
      <c r="P6" t="n">
        <v>0.08</v>
      </c>
      <c r="Q6" t="n">
        <v>0.3</v>
      </c>
      <c r="R6">
        <f>SUM(B6:Q6)</f>
        <v/>
      </c>
      <c r="T6" s="41">
        <f>B6/$R6</f>
        <v/>
      </c>
      <c r="U6" s="41">
        <f>C6/$R6</f>
        <v/>
      </c>
      <c r="V6" s="41">
        <f>D6/$R6</f>
        <v/>
      </c>
      <c r="W6" s="41">
        <f>E6/$R6</f>
        <v/>
      </c>
      <c r="X6" s="41">
        <f>F6/$R6</f>
        <v/>
      </c>
      <c r="Y6" s="41">
        <f>G6/$R6</f>
        <v/>
      </c>
      <c r="Z6" s="41">
        <f>H6/$R6</f>
        <v/>
      </c>
      <c r="AA6" s="41">
        <f>I6/$R6</f>
        <v/>
      </c>
      <c r="AB6" s="41">
        <f>J6/$R6</f>
        <v/>
      </c>
      <c r="AC6" s="41">
        <f>K6/$R6</f>
        <v/>
      </c>
      <c r="AD6" s="41">
        <f>L6/$R6</f>
        <v/>
      </c>
      <c r="AE6" s="41">
        <f>M6/$R6</f>
        <v/>
      </c>
      <c r="AF6" s="41">
        <f>N6/$R6</f>
        <v/>
      </c>
      <c r="AG6" s="41">
        <f>O6/$R6</f>
        <v/>
      </c>
      <c r="AH6" s="41">
        <f>P6/$R6</f>
        <v/>
      </c>
      <c r="AI6" s="41">
        <f>Q6/$R6</f>
        <v/>
      </c>
      <c r="AJ6" s="41">
        <f>SUM(T6:W6)</f>
        <v/>
      </c>
      <c r="AK6" s="45">
        <f>SUM(X6:Z6)+AD6</f>
        <v/>
      </c>
      <c r="AL6" s="45">
        <f>SUM(AF6:AI6)+AJ6</f>
        <v/>
      </c>
      <c r="AM6" s="45">
        <f>AK6+AL6</f>
        <v/>
      </c>
      <c r="AN6" s="45" t="n"/>
    </row>
    <row r="7" hidden="1" ht="15.75" customFormat="1" customHeight="1" s="13">
      <c r="A7" s="12" t="n">
        <v>44655</v>
      </c>
      <c r="B7" s="13" t="n">
        <v>0.12</v>
      </c>
      <c r="C7" s="13" t="n">
        <v>0.08</v>
      </c>
      <c r="G7" s="13" t="n">
        <v>1.6</v>
      </c>
      <c r="H7" s="13" t="n">
        <v>0.06</v>
      </c>
      <c r="I7" s="13" t="n">
        <v>18.84</v>
      </c>
      <c r="K7" s="13" t="n">
        <v>3.14</v>
      </c>
      <c r="L7" s="13" t="n">
        <v>0.08</v>
      </c>
      <c r="M7" s="13" t="n">
        <v>2.56</v>
      </c>
      <c r="P7" s="13" t="n">
        <v>0.02</v>
      </c>
      <c r="Q7" s="13" t="n">
        <v>0.34</v>
      </c>
      <c r="R7" s="13">
        <f>SUM(B7:Q7)</f>
        <v/>
      </c>
      <c r="S7" s="38" t="n"/>
      <c r="T7" s="41">
        <f>B7/$R7</f>
        <v/>
      </c>
      <c r="U7" s="41">
        <f>C7/$R7</f>
        <v/>
      </c>
      <c r="V7" s="41">
        <f>D7/$R7</f>
        <v/>
      </c>
      <c r="W7" s="41">
        <f>E7/$R7</f>
        <v/>
      </c>
      <c r="X7" s="41">
        <f>F7/$R7</f>
        <v/>
      </c>
      <c r="Y7" s="41">
        <f>G7/$R7</f>
        <v/>
      </c>
      <c r="Z7" s="41">
        <f>H7/$R7</f>
        <v/>
      </c>
      <c r="AA7" s="41">
        <f>I7/$R7</f>
        <v/>
      </c>
      <c r="AB7" s="41">
        <f>J7/$R7</f>
        <v/>
      </c>
      <c r="AC7" s="41">
        <f>K7/$R7</f>
        <v/>
      </c>
      <c r="AD7" s="41">
        <f>L7/$R7</f>
        <v/>
      </c>
      <c r="AE7" s="41">
        <f>M7/$R7</f>
        <v/>
      </c>
      <c r="AF7" s="41">
        <f>N7/$R7</f>
        <v/>
      </c>
      <c r="AG7" s="41">
        <f>O7/$R7</f>
        <v/>
      </c>
      <c r="AH7" s="41">
        <f>P7/$R7</f>
        <v/>
      </c>
      <c r="AI7" s="41">
        <f>Q7/$R7</f>
        <v/>
      </c>
      <c r="AJ7" s="41">
        <f>SUM(T7:W7)</f>
        <v/>
      </c>
      <c r="AK7" s="45">
        <f>SUM(X7:Z7)+AD7</f>
        <v/>
      </c>
      <c r="AL7" s="45">
        <f>SUM(AF7:AI7)+AJ7</f>
        <v/>
      </c>
      <c r="AM7" s="45">
        <f>AK7+AL7</f>
        <v/>
      </c>
      <c r="AN7" s="45" t="n"/>
    </row>
    <row r="8" hidden="1" ht="15.75" customHeight="1" s="259">
      <c r="A8" s="8" t="n">
        <v>44662</v>
      </c>
      <c r="D8" t="n">
        <v>0.04</v>
      </c>
      <c r="G8" t="n">
        <v>1.44</v>
      </c>
      <c r="H8" t="n">
        <v>0.48</v>
      </c>
      <c r="I8" t="n">
        <v>18.14</v>
      </c>
      <c r="K8" t="n">
        <v>2.4</v>
      </c>
      <c r="L8" t="n">
        <v>0.12</v>
      </c>
      <c r="M8" t="n">
        <v>0.04</v>
      </c>
      <c r="O8" t="n">
        <v>0.02</v>
      </c>
      <c r="Q8" t="n">
        <v>0</v>
      </c>
      <c r="R8" s="13">
        <f>SUM(B8:Q8)</f>
        <v/>
      </c>
      <c r="T8" s="41">
        <f>B8/$R8</f>
        <v/>
      </c>
      <c r="U8" s="41">
        <f>C8/$R8</f>
        <v/>
      </c>
      <c r="V8" s="41">
        <f>D8/$R8</f>
        <v/>
      </c>
      <c r="W8" s="41">
        <f>E8/$R8</f>
        <v/>
      </c>
      <c r="X8" s="41">
        <f>F8/$R8</f>
        <v/>
      </c>
      <c r="Y8" s="41">
        <f>G8/$R8</f>
        <v/>
      </c>
      <c r="Z8" s="41">
        <f>H8/$R8</f>
        <v/>
      </c>
      <c r="AA8" s="41">
        <f>I8/$R8</f>
        <v/>
      </c>
      <c r="AB8" s="41">
        <f>J8/$R8</f>
        <v/>
      </c>
      <c r="AC8" s="41">
        <f>K8/$R8</f>
        <v/>
      </c>
      <c r="AD8" s="41">
        <f>L8/$R8</f>
        <v/>
      </c>
      <c r="AE8" s="41">
        <f>M8/$R8</f>
        <v/>
      </c>
      <c r="AF8" s="41">
        <f>N8/$R8</f>
        <v/>
      </c>
      <c r="AG8" s="41">
        <f>O8/$R8</f>
        <v/>
      </c>
      <c r="AH8" s="41">
        <f>P8/$R8</f>
        <v/>
      </c>
      <c r="AI8" s="41">
        <f>Q8/$R8</f>
        <v/>
      </c>
      <c r="AJ8" s="41">
        <f>SUM(T8:W8)</f>
        <v/>
      </c>
      <c r="AK8" s="45">
        <f>SUM(X8:Z8)+AD8</f>
        <v/>
      </c>
      <c r="AL8" s="45">
        <f>SUM(AF8:AI8)+AJ8</f>
        <v/>
      </c>
      <c r="AM8" s="45">
        <f>AK8+AL8</f>
        <v/>
      </c>
      <c r="AN8" s="45" t="n"/>
    </row>
    <row r="9" hidden="1" ht="15.75" customHeight="1" s="259">
      <c r="A9" s="8" t="n">
        <v>44670</v>
      </c>
      <c r="C9" t="n">
        <v>0.12</v>
      </c>
      <c r="F9" t="n">
        <v>0.02</v>
      </c>
      <c r="G9" t="n">
        <v>2</v>
      </c>
      <c r="H9" t="n">
        <v>0.6</v>
      </c>
      <c r="I9" t="n">
        <v>18.67</v>
      </c>
      <c r="K9" t="n">
        <v>4.98</v>
      </c>
      <c r="L9" t="n">
        <v>0.06</v>
      </c>
      <c r="M9" t="n">
        <v>0.02</v>
      </c>
      <c r="O9" t="n">
        <v>0.04</v>
      </c>
      <c r="P9" t="n">
        <v>0.84</v>
      </c>
      <c r="Q9" t="n">
        <v>0.38</v>
      </c>
      <c r="R9" s="13">
        <f>SUM(B9:Q9)</f>
        <v/>
      </c>
      <c r="T9" s="41">
        <f>B9/$R9</f>
        <v/>
      </c>
      <c r="U9" s="41">
        <f>C9/$R9</f>
        <v/>
      </c>
      <c r="V9" s="41">
        <f>D9/$R9</f>
        <v/>
      </c>
      <c r="W9" s="41">
        <f>E9/$R9</f>
        <v/>
      </c>
      <c r="X9" s="41">
        <f>F9/$R9</f>
        <v/>
      </c>
      <c r="Y9" s="41">
        <f>G9/$R9</f>
        <v/>
      </c>
      <c r="Z9" s="41">
        <f>H9/$R9</f>
        <v/>
      </c>
      <c r="AA9" s="41">
        <f>I9/$R9</f>
        <v/>
      </c>
      <c r="AB9" s="41">
        <f>J9/$R9</f>
        <v/>
      </c>
      <c r="AC9" s="41">
        <f>K9/$R9</f>
        <v/>
      </c>
      <c r="AD9" s="41">
        <f>L9/$R9</f>
        <v/>
      </c>
      <c r="AE9" s="41">
        <f>M9/$R9</f>
        <v/>
      </c>
      <c r="AF9" s="41">
        <f>N9/$R9</f>
        <v/>
      </c>
      <c r="AG9" s="41">
        <f>O9/$R9</f>
        <v/>
      </c>
      <c r="AH9" s="41">
        <f>P9/$R9</f>
        <v/>
      </c>
      <c r="AI9" s="41">
        <f>Q9/$R9</f>
        <v/>
      </c>
      <c r="AJ9" s="41">
        <f>SUM(T9:W9)</f>
        <v/>
      </c>
      <c r="AK9" s="45">
        <f>SUM(X9:Z9)+AD9</f>
        <v/>
      </c>
      <c r="AL9" s="45">
        <f>SUM(AF9:AI9)+AJ9</f>
        <v/>
      </c>
      <c r="AM9" s="45">
        <f>AK9+AL9</f>
        <v/>
      </c>
      <c r="AN9" s="45" t="n"/>
    </row>
    <row r="10" hidden="1" ht="15.75" customHeight="1" s="259">
      <c r="A10" s="8" t="n">
        <v>44694</v>
      </c>
      <c r="D10" t="n">
        <v>0.06</v>
      </c>
      <c r="G10" t="n">
        <v>4.7</v>
      </c>
      <c r="H10" t="n">
        <v>0.52</v>
      </c>
      <c r="I10" t="n">
        <v>20.1</v>
      </c>
      <c r="K10" t="n">
        <v>3.52</v>
      </c>
      <c r="L10" t="n">
        <v>0.05</v>
      </c>
      <c r="N10" t="n">
        <v>0.04</v>
      </c>
      <c r="O10" t="n">
        <v>0.02</v>
      </c>
      <c r="Q10" t="n">
        <v>0.3</v>
      </c>
      <c r="R10">
        <f>SUM(B10:Q10)</f>
        <v/>
      </c>
      <c r="T10" s="41">
        <f>B10/$R10</f>
        <v/>
      </c>
      <c r="U10" s="41">
        <f>C10/$R10</f>
        <v/>
      </c>
      <c r="V10" s="41">
        <f>D10/$R10</f>
        <v/>
      </c>
      <c r="W10" s="41">
        <f>E10/$R10</f>
        <v/>
      </c>
      <c r="X10" s="41">
        <f>F10/$R10</f>
        <v/>
      </c>
      <c r="Y10" s="41">
        <f>G10/$R10</f>
        <v/>
      </c>
      <c r="Z10" s="41">
        <f>H10/$R10</f>
        <v/>
      </c>
      <c r="AA10" s="41">
        <f>I10/$R10</f>
        <v/>
      </c>
      <c r="AB10" s="41">
        <f>J10/$R10</f>
        <v/>
      </c>
      <c r="AC10" s="41">
        <f>K10/$R10</f>
        <v/>
      </c>
      <c r="AD10" s="41">
        <f>L10/$R10</f>
        <v/>
      </c>
      <c r="AE10" s="41">
        <f>M10/$R10</f>
        <v/>
      </c>
      <c r="AF10" s="41">
        <f>N10/$R10</f>
        <v/>
      </c>
      <c r="AG10" s="41">
        <f>O10/$R10</f>
        <v/>
      </c>
      <c r="AH10" s="41">
        <f>P10/$R10</f>
        <v/>
      </c>
      <c r="AI10" s="41">
        <f>Q10/$R10</f>
        <v/>
      </c>
      <c r="AJ10" s="41">
        <f>SUM(T10:W10)</f>
        <v/>
      </c>
      <c r="AK10" s="45">
        <f>SUM(X10:Z10)+AD10</f>
        <v/>
      </c>
      <c r="AL10" s="45">
        <f>SUM(AF10:AI10)+AJ10</f>
        <v/>
      </c>
      <c r="AM10" s="45">
        <f>AK10+AL10</f>
        <v/>
      </c>
      <c r="AN10" s="45" t="n"/>
    </row>
    <row r="11" hidden="1" ht="15.75" customHeight="1" s="259">
      <c r="A11" s="8" t="n">
        <v>44695</v>
      </c>
      <c r="D11" t="n">
        <v>0.04</v>
      </c>
      <c r="G11" t="n">
        <v>1.68</v>
      </c>
      <c r="H11" t="n">
        <v>0.6</v>
      </c>
      <c r="I11" t="n">
        <v>21.58</v>
      </c>
      <c r="K11" t="n">
        <v>3.84</v>
      </c>
      <c r="M11" t="n">
        <v>0.02</v>
      </c>
      <c r="O11" t="n">
        <v>0.02</v>
      </c>
      <c r="Q11" t="n">
        <v>0.36</v>
      </c>
      <c r="R11">
        <f>SUM(B11:Q11)</f>
        <v/>
      </c>
      <c r="T11" s="41">
        <f>B11/$R11</f>
        <v/>
      </c>
      <c r="U11" s="41">
        <f>C11/$R11</f>
        <v/>
      </c>
      <c r="V11" s="41">
        <f>D11/$R11</f>
        <v/>
      </c>
      <c r="W11" s="41">
        <f>E11/$R11</f>
        <v/>
      </c>
      <c r="X11" s="41">
        <f>F11/$R11</f>
        <v/>
      </c>
      <c r="Y11" s="41">
        <f>G11/$R11</f>
        <v/>
      </c>
      <c r="Z11" s="41">
        <f>H11/$R11</f>
        <v/>
      </c>
      <c r="AA11" s="41">
        <f>I11/$R11</f>
        <v/>
      </c>
      <c r="AB11" s="41">
        <f>J11/$R11</f>
        <v/>
      </c>
      <c r="AC11" s="41">
        <f>K11/$R11</f>
        <v/>
      </c>
      <c r="AD11" s="41">
        <f>L11/$R11</f>
        <v/>
      </c>
      <c r="AE11" s="41">
        <f>M11/$R11</f>
        <v/>
      </c>
      <c r="AF11" s="41">
        <f>N11/$R11</f>
        <v/>
      </c>
      <c r="AG11" s="41">
        <f>O11/$R11</f>
        <v/>
      </c>
      <c r="AH11" s="41">
        <f>P11/$R11</f>
        <v/>
      </c>
      <c r="AI11" s="41">
        <f>Q11/$R11</f>
        <v/>
      </c>
      <c r="AJ11" s="41">
        <f>SUM(T11:W11)</f>
        <v/>
      </c>
      <c r="AK11" s="45">
        <f>SUM(X11:Z11)+AD11</f>
        <v/>
      </c>
      <c r="AL11" s="45">
        <f>SUM(AF11:AI11)+AJ11</f>
        <v/>
      </c>
      <c r="AM11" s="45">
        <f>AK11+AL11</f>
        <v/>
      </c>
      <c r="AN11" s="45" t="n"/>
    </row>
    <row r="12" hidden="1" ht="15.75" customHeight="1" s="259">
      <c r="A12" s="8" t="n">
        <v>44702</v>
      </c>
      <c r="G12" t="n">
        <v>2.68</v>
      </c>
      <c r="H12" t="n">
        <v>0.44</v>
      </c>
      <c r="I12" t="n">
        <v>20.22</v>
      </c>
      <c r="K12" t="n">
        <v>2.66</v>
      </c>
      <c r="M12" t="n">
        <v>0.06</v>
      </c>
      <c r="Q12" t="n">
        <v>0.28</v>
      </c>
      <c r="R12">
        <f>SUM(B12:Q12)</f>
        <v/>
      </c>
      <c r="T12" s="41">
        <f>B12/$R12</f>
        <v/>
      </c>
      <c r="U12" s="41">
        <f>C12/$R12</f>
        <v/>
      </c>
      <c r="V12" s="41">
        <f>D12/$R12</f>
        <v/>
      </c>
      <c r="W12" s="41">
        <f>E12/$R12</f>
        <v/>
      </c>
      <c r="X12" s="41">
        <f>F12/$R12</f>
        <v/>
      </c>
      <c r="Y12" s="41">
        <f>G12/$R12</f>
        <v/>
      </c>
      <c r="Z12" s="41">
        <f>H12/$R12</f>
        <v/>
      </c>
      <c r="AA12" s="41">
        <f>I12/$R12</f>
        <v/>
      </c>
      <c r="AB12" s="41">
        <f>J12/$R12</f>
        <v/>
      </c>
      <c r="AC12" s="41">
        <f>K12/$R12</f>
        <v/>
      </c>
      <c r="AD12" s="41">
        <f>L12/$R12</f>
        <v/>
      </c>
      <c r="AE12" s="41">
        <f>M12/$R12</f>
        <v/>
      </c>
      <c r="AF12" s="41">
        <f>N12/$R12</f>
        <v/>
      </c>
      <c r="AG12" s="41">
        <f>O12/$R12</f>
        <v/>
      </c>
      <c r="AH12" s="41">
        <f>P12/$R12</f>
        <v/>
      </c>
      <c r="AI12" s="41">
        <f>Q12/$R12</f>
        <v/>
      </c>
      <c r="AJ12" s="41">
        <f>SUM(T12:W12)</f>
        <v/>
      </c>
      <c r="AK12" s="45">
        <f>SUM(X12:Z12)+AD12</f>
        <v/>
      </c>
      <c r="AL12" s="45">
        <f>SUM(AF12:AI12)+AJ12</f>
        <v/>
      </c>
      <c r="AM12" s="45">
        <f>AK12+AL12</f>
        <v/>
      </c>
      <c r="AN12" s="45" t="n"/>
    </row>
    <row r="13" hidden="1" ht="15.75" customHeight="1" s="259">
      <c r="A13" s="8" t="n">
        <v>44718</v>
      </c>
      <c r="C13" t="n">
        <v>0.08</v>
      </c>
      <c r="G13" t="n">
        <v>1.8</v>
      </c>
      <c r="H13" t="n">
        <v>0.82</v>
      </c>
      <c r="K13" t="n">
        <v>3.62</v>
      </c>
      <c r="L13" t="n">
        <v>0.38</v>
      </c>
      <c r="M13" t="n">
        <v>0.26</v>
      </c>
      <c r="O13" t="n">
        <v>0.02</v>
      </c>
      <c r="P13" t="n">
        <v>0.02</v>
      </c>
      <c r="Q13" t="n">
        <v>1.22</v>
      </c>
      <c r="R13">
        <f>SUM(B13:Q13)</f>
        <v/>
      </c>
      <c r="T13" s="41">
        <f>B13/$R13</f>
        <v/>
      </c>
      <c r="U13" s="41">
        <f>C13/$R13</f>
        <v/>
      </c>
      <c r="V13" s="41">
        <f>D13/$R13</f>
        <v/>
      </c>
      <c r="W13" s="41">
        <f>E13/$R13</f>
        <v/>
      </c>
      <c r="X13" s="41">
        <f>F13/$R13</f>
        <v/>
      </c>
      <c r="Y13" s="41">
        <f>G13/$R13</f>
        <v/>
      </c>
      <c r="Z13" s="41">
        <f>H13/$R13</f>
        <v/>
      </c>
      <c r="AA13" s="41">
        <f>I13/$R13</f>
        <v/>
      </c>
      <c r="AB13" s="41">
        <f>J13/$R13</f>
        <v/>
      </c>
      <c r="AC13" s="41">
        <f>K13/$R13</f>
        <v/>
      </c>
      <c r="AD13" s="41">
        <f>L13/$R13</f>
        <v/>
      </c>
      <c r="AE13" s="41">
        <f>M13/$R13</f>
        <v/>
      </c>
      <c r="AF13" s="41">
        <f>N13/$R13</f>
        <v/>
      </c>
      <c r="AG13" s="41">
        <f>O13/$R13</f>
        <v/>
      </c>
      <c r="AH13" s="41">
        <f>P13/$R13</f>
        <v/>
      </c>
      <c r="AI13" s="41">
        <f>Q13/$R13</f>
        <v/>
      </c>
      <c r="AJ13" s="41">
        <f>SUM(T13:W13)</f>
        <v/>
      </c>
      <c r="AK13" s="45">
        <f>SUM(X13:Z13)+AD13</f>
        <v/>
      </c>
      <c r="AL13" s="45">
        <f>SUM(AF13:AI13)+AJ13</f>
        <v/>
      </c>
      <c r="AM13" s="45">
        <f>AK13+AL13</f>
        <v/>
      </c>
      <c r="AN13" s="45" t="n"/>
    </row>
    <row r="14" hidden="1" ht="15.75" customHeight="1" s="259">
      <c r="A14" s="8" t="n">
        <v>44740</v>
      </c>
      <c r="D14" t="n">
        <v>0.04</v>
      </c>
      <c r="G14" t="n">
        <v>6.1</v>
      </c>
      <c r="H14" t="n">
        <v>0.26</v>
      </c>
      <c r="I14" t="n">
        <v>16.1</v>
      </c>
      <c r="K14" t="n">
        <v>3.4</v>
      </c>
      <c r="L14" t="n">
        <v>0.02</v>
      </c>
      <c r="M14" t="n">
        <v>0.16</v>
      </c>
      <c r="O14" t="n">
        <v>0.02</v>
      </c>
      <c r="Q14" t="n">
        <v>0.82</v>
      </c>
      <c r="R14">
        <f>SUM(B14:Q14)</f>
        <v/>
      </c>
      <c r="T14" s="41">
        <f>B14/$R14</f>
        <v/>
      </c>
      <c r="U14" s="41">
        <f>C14/$R14</f>
        <v/>
      </c>
      <c r="V14" s="41">
        <f>D14/$R14</f>
        <v/>
      </c>
      <c r="W14" s="41">
        <f>E14/$R14</f>
        <v/>
      </c>
      <c r="X14" s="41">
        <f>F14/$R14</f>
        <v/>
      </c>
      <c r="Y14" s="41">
        <f>G14/$R14</f>
        <v/>
      </c>
      <c r="Z14" s="41">
        <f>H14/$R14</f>
        <v/>
      </c>
      <c r="AA14" s="41">
        <f>I14/$R14</f>
        <v/>
      </c>
      <c r="AB14" s="41">
        <f>J14/$R14</f>
        <v/>
      </c>
      <c r="AC14" s="41">
        <f>K14/$R14</f>
        <v/>
      </c>
      <c r="AD14" s="41">
        <f>L14/$R14</f>
        <v/>
      </c>
      <c r="AE14" s="41">
        <f>M14/$R14</f>
        <v/>
      </c>
      <c r="AF14" s="41">
        <f>N14/$R14</f>
        <v/>
      </c>
      <c r="AG14" s="41">
        <f>O14/$R14</f>
        <v/>
      </c>
      <c r="AH14" s="41">
        <f>P14/$R14</f>
        <v/>
      </c>
      <c r="AI14" s="41">
        <f>Q14/$R14</f>
        <v/>
      </c>
      <c r="AJ14" s="41">
        <f>SUM(T14:W14)</f>
        <v/>
      </c>
      <c r="AK14" s="45">
        <f>SUM(X14:Z14)+AD14</f>
        <v/>
      </c>
      <c r="AL14" s="45">
        <f>SUM(AF14:AI14)+AJ14</f>
        <v/>
      </c>
      <c r="AM14" s="45">
        <f>AK14+AL14</f>
        <v/>
      </c>
      <c r="AN14" s="45" t="n"/>
    </row>
    <row r="15" hidden="1" ht="15.75" customHeight="1" s="259">
      <c r="A15" s="8" t="n">
        <v>44746</v>
      </c>
      <c r="D15" t="n">
        <v>0.08</v>
      </c>
      <c r="F15" t="n">
        <v>0.04</v>
      </c>
      <c r="G15" t="n">
        <v>5.9</v>
      </c>
      <c r="H15" t="n">
        <v>0.4</v>
      </c>
      <c r="I15" t="n">
        <v>13.88</v>
      </c>
      <c r="K15" t="n">
        <v>2.84</v>
      </c>
      <c r="M15" t="n">
        <v>0.18</v>
      </c>
      <c r="Q15" t="n">
        <v>0.7</v>
      </c>
      <c r="R15">
        <f>SUM(B15:Q15)</f>
        <v/>
      </c>
      <c r="T15" s="41">
        <f>B15/$R15</f>
        <v/>
      </c>
      <c r="U15" s="41">
        <f>C15/$R15</f>
        <v/>
      </c>
      <c r="V15" s="41">
        <f>D15/$R15</f>
        <v/>
      </c>
      <c r="W15" s="41">
        <f>E15/$R15</f>
        <v/>
      </c>
      <c r="X15" s="41">
        <f>F15/$R15</f>
        <v/>
      </c>
      <c r="Y15" s="41">
        <f>G15/$R15</f>
        <v/>
      </c>
      <c r="Z15" s="41">
        <f>H15/$R15</f>
        <v/>
      </c>
      <c r="AA15" s="41">
        <f>I15/$R15</f>
        <v/>
      </c>
      <c r="AB15" s="41">
        <f>J15/$R15</f>
        <v/>
      </c>
      <c r="AC15" s="41">
        <f>K15/$R15</f>
        <v/>
      </c>
      <c r="AD15" s="41">
        <f>L15/$R15</f>
        <v/>
      </c>
      <c r="AE15" s="41">
        <f>M15/$R15</f>
        <v/>
      </c>
      <c r="AF15" s="41">
        <f>N15/$R15</f>
        <v/>
      </c>
      <c r="AG15" s="41">
        <f>O15/$R15</f>
        <v/>
      </c>
      <c r="AH15" s="41">
        <f>P15/$R15</f>
        <v/>
      </c>
      <c r="AI15" s="41">
        <f>Q15/$R15</f>
        <v/>
      </c>
      <c r="AJ15" s="41">
        <f>SUM(T15:W15)</f>
        <v/>
      </c>
      <c r="AK15" s="45">
        <f>SUM(X15:Z15)+AD15</f>
        <v/>
      </c>
      <c r="AL15" s="45">
        <f>SUM(AF15:AI15)+AJ15</f>
        <v/>
      </c>
      <c r="AM15" s="45">
        <f>AK15+AL15</f>
        <v/>
      </c>
      <c r="AN15" s="45" t="n"/>
    </row>
    <row r="16" hidden="1" ht="15.75" customHeight="1" s="259">
      <c r="A16" s="8" t="n">
        <v>44835</v>
      </c>
      <c r="D16" t="n">
        <v>0.1</v>
      </c>
      <c r="F16" t="n">
        <v>0.02</v>
      </c>
      <c r="G16" t="n">
        <v>2.48</v>
      </c>
      <c r="H16" t="n">
        <v>0.54</v>
      </c>
      <c r="I16" t="n">
        <v>16.44</v>
      </c>
      <c r="K16" t="n">
        <v>5.3</v>
      </c>
      <c r="L16" t="n">
        <v>0.04</v>
      </c>
      <c r="M16" t="n">
        <v>0.18</v>
      </c>
      <c r="Q16" t="n">
        <v>1</v>
      </c>
      <c r="R16">
        <f>SUM(B16:Q16)</f>
        <v/>
      </c>
      <c r="T16" s="41">
        <f>B16/$R16</f>
        <v/>
      </c>
      <c r="U16" s="41">
        <f>C16/$R16</f>
        <v/>
      </c>
      <c r="V16" s="41">
        <f>D16/$R16</f>
        <v/>
      </c>
      <c r="W16" s="41">
        <f>E16/$R16</f>
        <v/>
      </c>
      <c r="X16" s="41">
        <f>F16/$R16</f>
        <v/>
      </c>
      <c r="Y16" s="41">
        <f>G16/$R16</f>
        <v/>
      </c>
      <c r="Z16" s="41">
        <f>H16/$R16</f>
        <v/>
      </c>
      <c r="AA16" s="41">
        <f>I16/$R16</f>
        <v/>
      </c>
      <c r="AB16" s="41">
        <f>J16/$R16</f>
        <v/>
      </c>
      <c r="AC16" s="41">
        <f>K16/$R16</f>
        <v/>
      </c>
      <c r="AD16" s="41">
        <f>L16/$R16</f>
        <v/>
      </c>
      <c r="AE16" s="41">
        <f>M16/$R16</f>
        <v/>
      </c>
      <c r="AF16" s="41">
        <f>N16/$R16</f>
        <v/>
      </c>
      <c r="AG16" s="41">
        <f>O16/$R16</f>
        <v/>
      </c>
      <c r="AH16" s="41">
        <f>P16/$R16</f>
        <v/>
      </c>
      <c r="AI16" s="41">
        <f>Q16/$R16</f>
        <v/>
      </c>
      <c r="AJ16" s="41">
        <f>SUM(T16:W16)</f>
        <v/>
      </c>
      <c r="AK16" s="45">
        <f>SUM(X16:Z16)+AD16</f>
        <v/>
      </c>
      <c r="AL16" s="45">
        <f>SUM(AF16:AI16)+AJ16</f>
        <v/>
      </c>
      <c r="AM16" s="45">
        <f>AK16+AL16</f>
        <v/>
      </c>
      <c r="AN16" s="45" t="n"/>
    </row>
    <row r="17" hidden="1" ht="15.75" customHeight="1" s="259">
      <c r="A17" s="8" t="n">
        <v>44838</v>
      </c>
      <c r="G17" t="n">
        <v>2.58</v>
      </c>
      <c r="H17" t="n">
        <v>0.6</v>
      </c>
      <c r="I17" t="n">
        <v>18.64</v>
      </c>
      <c r="K17" t="n">
        <v>6.92</v>
      </c>
      <c r="L17" t="n">
        <v>0.02</v>
      </c>
      <c r="M17" t="n">
        <v>0.04</v>
      </c>
      <c r="Q17" t="n">
        <v>1.24</v>
      </c>
      <c r="R17">
        <f>SUM(B17:Q17)</f>
        <v/>
      </c>
      <c r="T17" s="41">
        <f>B17/$R17</f>
        <v/>
      </c>
      <c r="U17" s="41">
        <f>C17/$R17</f>
        <v/>
      </c>
      <c r="V17" s="41">
        <f>D17/$R17</f>
        <v/>
      </c>
      <c r="W17" s="41">
        <f>E17/$R17</f>
        <v/>
      </c>
      <c r="X17" s="41">
        <f>F17/$R17</f>
        <v/>
      </c>
      <c r="Y17" s="41">
        <f>G17/$R17</f>
        <v/>
      </c>
      <c r="Z17" s="41">
        <f>H17/$R17</f>
        <v/>
      </c>
      <c r="AA17" s="41">
        <f>I17/$R17</f>
        <v/>
      </c>
      <c r="AB17" s="41">
        <f>J17/$R17</f>
        <v/>
      </c>
      <c r="AC17" s="41">
        <f>K17/$R17</f>
        <v/>
      </c>
      <c r="AD17" s="41">
        <f>L17/$R17</f>
        <v/>
      </c>
      <c r="AE17" s="41">
        <f>M17/$R17</f>
        <v/>
      </c>
      <c r="AF17" s="41">
        <f>N17/$R17</f>
        <v/>
      </c>
      <c r="AG17" s="41">
        <f>O17/$R17</f>
        <v/>
      </c>
      <c r="AH17" s="41">
        <f>P17/$R17</f>
        <v/>
      </c>
      <c r="AI17" s="41">
        <f>Q17/$R17</f>
        <v/>
      </c>
      <c r="AJ17" s="41">
        <f>SUM(T17:W17)</f>
        <v/>
      </c>
      <c r="AK17" s="45">
        <f>SUM(X17:Z17)+AD17</f>
        <v/>
      </c>
      <c r="AL17" s="45">
        <f>SUM(AF17:AI17)+AJ17</f>
        <v/>
      </c>
      <c r="AM17" s="45">
        <f>AK17+AL17</f>
        <v/>
      </c>
      <c r="AN17" s="45" t="n"/>
    </row>
    <row r="18" hidden="1" ht="15.75" customHeight="1" s="259">
      <c r="A18" s="8" t="n">
        <v>44844</v>
      </c>
      <c r="C18" t="n">
        <v>0.66</v>
      </c>
      <c r="G18" t="n">
        <v>2.6</v>
      </c>
      <c r="H18" t="n">
        <v>0.5600000000000001</v>
      </c>
      <c r="I18" t="n">
        <v>18.9</v>
      </c>
      <c r="K18" t="n">
        <v>5</v>
      </c>
      <c r="L18" t="n">
        <v>0.22</v>
      </c>
      <c r="M18" t="n">
        <v>0.16</v>
      </c>
      <c r="P18" t="n">
        <v>0.08</v>
      </c>
      <c r="Q18" t="n">
        <v>3.76</v>
      </c>
      <c r="R18">
        <f>SUM(B18:Q18)</f>
        <v/>
      </c>
      <c r="T18" s="41">
        <f>B18/$R18</f>
        <v/>
      </c>
      <c r="U18" s="41">
        <f>C18/$R18</f>
        <v/>
      </c>
      <c r="V18" s="41">
        <f>D18/$R18</f>
        <v/>
      </c>
      <c r="W18" s="41">
        <f>E18/$R18</f>
        <v/>
      </c>
      <c r="X18" s="41">
        <f>F18/$R18</f>
        <v/>
      </c>
      <c r="Y18" s="41">
        <f>G18/$R18</f>
        <v/>
      </c>
      <c r="Z18" s="41">
        <f>H18/$R18</f>
        <v/>
      </c>
      <c r="AA18" s="41">
        <f>I18/$R18</f>
        <v/>
      </c>
      <c r="AB18" s="41">
        <f>J18/$R18</f>
        <v/>
      </c>
      <c r="AC18" s="41">
        <f>K18/$R18</f>
        <v/>
      </c>
      <c r="AD18" s="41">
        <f>L18/$R18</f>
        <v/>
      </c>
      <c r="AE18" s="41">
        <f>M18/$R18</f>
        <v/>
      </c>
      <c r="AF18" s="41">
        <f>N18/$R18</f>
        <v/>
      </c>
      <c r="AG18" s="41">
        <f>O18/$R18</f>
        <v/>
      </c>
      <c r="AH18" s="41">
        <f>P18/$R18</f>
        <v/>
      </c>
      <c r="AI18" s="41">
        <f>Q18/$R18</f>
        <v/>
      </c>
      <c r="AJ18" s="41">
        <f>SUM(T18:W18)</f>
        <v/>
      </c>
      <c r="AK18" s="45">
        <f>SUM(X18:Z18)+AD18</f>
        <v/>
      </c>
      <c r="AL18" s="45">
        <f>SUM(AF18:AI18)+AJ18</f>
        <v/>
      </c>
      <c r="AM18" s="45">
        <f>AK18+AL18</f>
        <v/>
      </c>
      <c r="AN18" s="45" t="n"/>
    </row>
    <row r="19" hidden="1" ht="15.75" customHeight="1" s="259">
      <c r="A19" s="8" t="n">
        <v>44846</v>
      </c>
      <c r="G19" t="n">
        <v>2.28</v>
      </c>
      <c r="H19" t="n">
        <v>0.28</v>
      </c>
      <c r="I19" t="n">
        <v>13.56</v>
      </c>
      <c r="K19" t="n">
        <v>3.94</v>
      </c>
      <c r="L19" t="n">
        <v>0.8</v>
      </c>
      <c r="O19" t="n">
        <v>0.8</v>
      </c>
      <c r="Q19" t="n">
        <v>0.68</v>
      </c>
      <c r="R19">
        <f>SUM(B19:Q19)</f>
        <v/>
      </c>
      <c r="T19" s="41">
        <f>B19/$R19</f>
        <v/>
      </c>
      <c r="U19" s="41">
        <f>C19/$R19</f>
        <v/>
      </c>
      <c r="V19" s="41">
        <f>D19/$R19</f>
        <v/>
      </c>
      <c r="W19" s="41">
        <f>E19/$R19</f>
        <v/>
      </c>
      <c r="X19" s="41">
        <f>F19/$R19</f>
        <v/>
      </c>
      <c r="Y19" s="41">
        <f>G19/$R19</f>
        <v/>
      </c>
      <c r="Z19" s="41">
        <f>H19/$R19</f>
        <v/>
      </c>
      <c r="AA19" s="41">
        <f>I19/$R19</f>
        <v/>
      </c>
      <c r="AB19" s="41">
        <f>J19/$R19</f>
        <v/>
      </c>
      <c r="AC19" s="41">
        <f>K19/$R19</f>
        <v/>
      </c>
      <c r="AD19" s="41">
        <f>L19/$R19</f>
        <v/>
      </c>
      <c r="AE19" s="41">
        <f>M19/$R19</f>
        <v/>
      </c>
      <c r="AF19" s="41">
        <f>N19/$R19</f>
        <v/>
      </c>
      <c r="AG19" s="41">
        <f>O19/$R19</f>
        <v/>
      </c>
      <c r="AH19" s="41">
        <f>P19/$R19</f>
        <v/>
      </c>
      <c r="AI19" s="41">
        <f>Q19/$R19</f>
        <v/>
      </c>
      <c r="AJ19" s="41">
        <f>SUM(T19:W19)</f>
        <v/>
      </c>
      <c r="AK19" s="45">
        <f>SUM(X19:Z19)+AD19</f>
        <v/>
      </c>
      <c r="AL19" s="45">
        <f>SUM(AF19:AI19)+AJ19</f>
        <v/>
      </c>
      <c r="AM19" s="45">
        <f>AK19+AL19</f>
        <v/>
      </c>
      <c r="AN19" s="45" t="n"/>
    </row>
    <row r="20" hidden="1" ht="15.75" customHeight="1" s="259">
      <c r="A20" s="8" t="n">
        <v>44847</v>
      </c>
      <c r="G20" t="n">
        <v>5.56</v>
      </c>
      <c r="H20" t="n">
        <v>0.54</v>
      </c>
      <c r="I20" t="n">
        <v>12.32</v>
      </c>
      <c r="K20" t="n">
        <v>5.66</v>
      </c>
      <c r="L20" t="n">
        <v>0.2</v>
      </c>
      <c r="Q20" t="n">
        <v>0.92</v>
      </c>
      <c r="R20">
        <f>SUM(B20:Q20)</f>
        <v/>
      </c>
      <c r="T20" s="41">
        <f>B20/$R20</f>
        <v/>
      </c>
      <c r="U20" s="41">
        <f>C20/$R20</f>
        <v/>
      </c>
      <c r="V20" s="41">
        <f>D20/$R20</f>
        <v/>
      </c>
      <c r="W20" s="41">
        <f>E20/$R20</f>
        <v/>
      </c>
      <c r="X20" s="41">
        <f>F20/$R20</f>
        <v/>
      </c>
      <c r="Y20" s="41">
        <f>G20/$R20</f>
        <v/>
      </c>
      <c r="Z20" s="41">
        <f>H20/$R20</f>
        <v/>
      </c>
      <c r="AA20" s="41">
        <f>I20/$R20</f>
        <v/>
      </c>
      <c r="AB20" s="41">
        <f>J20/$R20</f>
        <v/>
      </c>
      <c r="AC20" s="41">
        <f>K20/$R20</f>
        <v/>
      </c>
      <c r="AD20" s="41">
        <f>L20/$R20</f>
        <v/>
      </c>
      <c r="AE20" s="41">
        <f>M20/$R20</f>
        <v/>
      </c>
      <c r="AF20" s="41">
        <f>N20/$R20</f>
        <v/>
      </c>
      <c r="AG20" s="41">
        <f>O20/$R20</f>
        <v/>
      </c>
      <c r="AH20" s="41">
        <f>P20/$R20</f>
        <v/>
      </c>
      <c r="AI20" s="41">
        <f>Q20/$R20</f>
        <v/>
      </c>
      <c r="AJ20" s="41">
        <f>SUM(T20:W20)</f>
        <v/>
      </c>
      <c r="AK20" s="45">
        <f>SUM(X20:Z20)+AD20</f>
        <v/>
      </c>
      <c r="AL20" s="45">
        <f>SUM(AF20:AI20)+AJ20</f>
        <v/>
      </c>
      <c r="AM20" s="45">
        <f>AK20+AL20</f>
        <v/>
      </c>
      <c r="AN20" s="45" t="n"/>
    </row>
    <row r="21" hidden="1" ht="15.75" customHeight="1" s="259">
      <c r="A21" s="8" t="n">
        <v>44851</v>
      </c>
      <c r="D21" t="n">
        <v>0.06</v>
      </c>
      <c r="G21" t="n">
        <v>3.94</v>
      </c>
      <c r="H21" t="n">
        <v>0.76</v>
      </c>
      <c r="I21" t="n">
        <v>12.14</v>
      </c>
      <c r="K21" t="n">
        <v>4.66</v>
      </c>
      <c r="L21" t="n">
        <v>0.2</v>
      </c>
      <c r="O21" t="n">
        <v>0.04</v>
      </c>
      <c r="Q21" t="n">
        <v>0.44</v>
      </c>
      <c r="R21">
        <f>SUM(B21:Q21)</f>
        <v/>
      </c>
      <c r="T21" s="41">
        <f>B21/$R21</f>
        <v/>
      </c>
      <c r="U21" s="41">
        <f>C21/$R21</f>
        <v/>
      </c>
      <c r="V21" s="41">
        <f>D21/$R21</f>
        <v/>
      </c>
      <c r="W21" s="41">
        <f>E21/$R21</f>
        <v/>
      </c>
      <c r="X21" s="41">
        <f>F21/$R21</f>
        <v/>
      </c>
      <c r="Y21" s="41">
        <f>G21/$R21</f>
        <v/>
      </c>
      <c r="Z21" s="41">
        <f>H21/$R21</f>
        <v/>
      </c>
      <c r="AA21" s="41">
        <f>I21/$R21</f>
        <v/>
      </c>
      <c r="AB21" s="41">
        <f>J21/$R21</f>
        <v/>
      </c>
      <c r="AC21" s="41">
        <f>K21/$R21</f>
        <v/>
      </c>
      <c r="AD21" s="41">
        <f>L21/$R21</f>
        <v/>
      </c>
      <c r="AE21" s="41">
        <f>M21/$R21</f>
        <v/>
      </c>
      <c r="AF21" s="41">
        <f>N21/$R21</f>
        <v/>
      </c>
      <c r="AG21" s="41">
        <f>O21/$R21</f>
        <v/>
      </c>
      <c r="AH21" s="41">
        <f>P21/$R21</f>
        <v/>
      </c>
      <c r="AI21" s="41">
        <f>Q21/$R21</f>
        <v/>
      </c>
      <c r="AJ21" s="41">
        <f>SUM(T21:W21)</f>
        <v/>
      </c>
      <c r="AK21" s="45">
        <f>SUM(X21:Z21)+AD21</f>
        <v/>
      </c>
      <c r="AL21" s="45">
        <f>SUM(AF21:AI21)+AJ21</f>
        <v/>
      </c>
      <c r="AM21" s="45">
        <f>AK21+AL21</f>
        <v/>
      </c>
      <c r="AN21" s="45" t="n"/>
    </row>
    <row r="22" hidden="1" ht="15.75" customHeight="1" s="259">
      <c r="A22" s="8" t="n">
        <v>44855</v>
      </c>
      <c r="D22" t="n">
        <v>0.04</v>
      </c>
      <c r="G22" t="n">
        <v>3.58</v>
      </c>
      <c r="H22" t="n">
        <v>1.12</v>
      </c>
      <c r="I22" t="n">
        <v>10.64</v>
      </c>
      <c r="K22" t="n">
        <v>3.66</v>
      </c>
      <c r="O22" t="n">
        <v>0.04</v>
      </c>
      <c r="Q22" t="n">
        <v>0.38</v>
      </c>
      <c r="R22">
        <f>SUM(B22:Q22)</f>
        <v/>
      </c>
      <c r="T22" s="41">
        <f>B22/$R22</f>
        <v/>
      </c>
      <c r="U22" s="41">
        <f>C22/$R22</f>
        <v/>
      </c>
      <c r="V22" s="41">
        <f>D22/$R22</f>
        <v/>
      </c>
      <c r="W22" s="41">
        <f>E22/$R22</f>
        <v/>
      </c>
      <c r="X22" s="41">
        <f>F22/$R22</f>
        <v/>
      </c>
      <c r="Y22" s="41">
        <f>G22/$R22</f>
        <v/>
      </c>
      <c r="Z22" s="41">
        <f>H22/$R22</f>
        <v/>
      </c>
      <c r="AA22" s="41">
        <f>I22/$R22</f>
        <v/>
      </c>
      <c r="AB22" s="41">
        <f>J22/$R22</f>
        <v/>
      </c>
      <c r="AC22" s="41">
        <f>K22/$R22</f>
        <v/>
      </c>
      <c r="AD22" s="41">
        <f>L22/$R22</f>
        <v/>
      </c>
      <c r="AE22" s="41">
        <f>M22/$R22</f>
        <v/>
      </c>
      <c r="AF22" s="41">
        <f>N22/$R22</f>
        <v/>
      </c>
      <c r="AG22" s="41">
        <f>O22/$R22</f>
        <v/>
      </c>
      <c r="AH22" s="41">
        <f>P22/$R22</f>
        <v/>
      </c>
      <c r="AI22" s="41">
        <f>Q22/$R22</f>
        <v/>
      </c>
      <c r="AJ22" s="41">
        <f>SUM(T22:W22)</f>
        <v/>
      </c>
      <c r="AK22" s="45">
        <f>SUM(X22:Z22)+AD22</f>
        <v/>
      </c>
      <c r="AL22" s="45">
        <f>SUM(AF22:AI22)+AJ22</f>
        <v/>
      </c>
      <c r="AM22" s="45">
        <f>AK22+AL22</f>
        <v/>
      </c>
      <c r="AN22" s="45" t="n"/>
    </row>
    <row r="23" hidden="1" ht="15.75" customHeight="1" s="259">
      <c r="A23" s="8" t="n">
        <v>44859</v>
      </c>
      <c r="G23" t="n">
        <v>3.96</v>
      </c>
      <c r="H23" t="n">
        <v>0.98</v>
      </c>
      <c r="I23" t="n">
        <v>11.3</v>
      </c>
      <c r="K23" t="n">
        <v>3.14</v>
      </c>
      <c r="L23" t="n">
        <v>0.02</v>
      </c>
      <c r="O23" t="n">
        <v>0.02</v>
      </c>
      <c r="Q23" t="n">
        <v>0.26</v>
      </c>
      <c r="R23">
        <f>SUM(B23:Q23)</f>
        <v/>
      </c>
      <c r="T23" s="41">
        <f>B23/$R23</f>
        <v/>
      </c>
      <c r="U23" s="41">
        <f>C23/$R23</f>
        <v/>
      </c>
      <c r="V23" s="41">
        <f>D23/$R23</f>
        <v/>
      </c>
      <c r="W23" s="41">
        <f>E23/$R23</f>
        <v/>
      </c>
      <c r="X23" s="41">
        <f>F23/$R23</f>
        <v/>
      </c>
      <c r="Y23" s="41">
        <f>G23/$R23</f>
        <v/>
      </c>
      <c r="Z23" s="41">
        <f>H23/$R23</f>
        <v/>
      </c>
      <c r="AA23" s="41">
        <f>I23/$R23</f>
        <v/>
      </c>
      <c r="AB23" s="41">
        <f>J23/$R23</f>
        <v/>
      </c>
      <c r="AC23" s="41">
        <f>K23/$R23</f>
        <v/>
      </c>
      <c r="AD23" s="41">
        <f>L23/$R23</f>
        <v/>
      </c>
      <c r="AE23" s="41">
        <f>M23/$R23</f>
        <v/>
      </c>
      <c r="AF23" s="41">
        <f>N23/$R23</f>
        <v/>
      </c>
      <c r="AG23" s="41">
        <f>O23/$R23</f>
        <v/>
      </c>
      <c r="AH23" s="41">
        <f>P23/$R23</f>
        <v/>
      </c>
      <c r="AI23" s="41">
        <f>Q23/$R23</f>
        <v/>
      </c>
      <c r="AJ23" s="41">
        <f>SUM(T23:W23)</f>
        <v/>
      </c>
      <c r="AK23" s="45">
        <f>SUM(X23:Z23)+AD23</f>
        <v/>
      </c>
      <c r="AL23" s="45">
        <f>SUM(AF23:AI23)+AJ23</f>
        <v/>
      </c>
      <c r="AM23" s="45">
        <f>AK23+AL23</f>
        <v/>
      </c>
      <c r="AN23" s="45" t="n"/>
    </row>
    <row r="24" hidden="1" ht="15.75" customHeight="1" s="259">
      <c r="A24" s="8" t="n">
        <v>44862</v>
      </c>
      <c r="D24" t="n">
        <v>0.04</v>
      </c>
      <c r="G24" t="n">
        <v>4.22</v>
      </c>
      <c r="H24" t="n">
        <v>0.48</v>
      </c>
      <c r="I24" t="n">
        <v>10.14</v>
      </c>
      <c r="K24" t="n">
        <v>2.34</v>
      </c>
      <c r="L24" t="n">
        <v>0.08</v>
      </c>
      <c r="Q24" t="n">
        <v>0.06</v>
      </c>
      <c r="R24">
        <f>SUM(B24:Q24)</f>
        <v/>
      </c>
      <c r="T24" s="41">
        <f>B24/$R24</f>
        <v/>
      </c>
      <c r="U24" s="41">
        <f>C24/$R24</f>
        <v/>
      </c>
      <c r="V24" s="41">
        <f>D24/$R24</f>
        <v/>
      </c>
      <c r="W24" s="41">
        <f>E24/$R24</f>
        <v/>
      </c>
      <c r="X24" s="41">
        <f>F24/$R24</f>
        <v/>
      </c>
      <c r="Y24" s="41">
        <f>G24/$R24</f>
        <v/>
      </c>
      <c r="Z24" s="41">
        <f>H24/$R24</f>
        <v/>
      </c>
      <c r="AA24" s="41">
        <f>I24/$R24</f>
        <v/>
      </c>
      <c r="AB24" s="41">
        <f>J24/$R24</f>
        <v/>
      </c>
      <c r="AC24" s="41">
        <f>K24/$R24</f>
        <v/>
      </c>
      <c r="AD24" s="41">
        <f>L24/$R24</f>
        <v/>
      </c>
      <c r="AE24" s="41">
        <f>M24/$R24</f>
        <v/>
      </c>
      <c r="AF24" s="41">
        <f>N24/$R24</f>
        <v/>
      </c>
      <c r="AG24" s="41">
        <f>O24/$R24</f>
        <v/>
      </c>
      <c r="AH24" s="41">
        <f>P24/$R24</f>
        <v/>
      </c>
      <c r="AI24" s="41">
        <f>Q24/$R24</f>
        <v/>
      </c>
      <c r="AJ24" s="41">
        <f>SUM(T24:W24)</f>
        <v/>
      </c>
      <c r="AK24" s="45">
        <f>SUM(X24:Z24)+AD24</f>
        <v/>
      </c>
      <c r="AL24" s="45">
        <f>SUM(AF24:AI24)+AJ24</f>
        <v/>
      </c>
      <c r="AM24" s="45">
        <f>AK24+AL24</f>
        <v/>
      </c>
      <c r="AN24" s="45" t="n"/>
    </row>
    <row r="25" hidden="1" ht="15.75" customHeight="1" s="259">
      <c r="A25" s="8" t="n">
        <v>44866</v>
      </c>
      <c r="D25" t="n">
        <v>0.08</v>
      </c>
      <c r="G25" t="n">
        <v>2.06</v>
      </c>
      <c r="H25" t="n">
        <v>0.5600000000000001</v>
      </c>
      <c r="I25" t="n">
        <v>10.96</v>
      </c>
      <c r="K25" t="n">
        <v>3.6</v>
      </c>
      <c r="L25" t="n">
        <v>0.44</v>
      </c>
      <c r="Q25" t="n">
        <v>0.5</v>
      </c>
      <c r="R25">
        <f>SUM(B25:Q25)</f>
        <v/>
      </c>
      <c r="T25" s="41">
        <f>B25/$R25</f>
        <v/>
      </c>
      <c r="U25" s="41">
        <f>C25/$R25</f>
        <v/>
      </c>
      <c r="V25" s="41">
        <f>D25/$R25</f>
        <v/>
      </c>
      <c r="W25" s="41">
        <f>E25/$R25</f>
        <v/>
      </c>
      <c r="X25" s="41">
        <f>F25/$R25</f>
        <v/>
      </c>
      <c r="Y25" s="41">
        <f>G25/$R25</f>
        <v/>
      </c>
      <c r="Z25" s="41">
        <f>H25/$R25</f>
        <v/>
      </c>
      <c r="AA25" s="41">
        <f>I25/$R25</f>
        <v/>
      </c>
      <c r="AB25" s="41">
        <f>J25/$R25</f>
        <v/>
      </c>
      <c r="AC25" s="41">
        <f>K25/$R25</f>
        <v/>
      </c>
      <c r="AD25" s="41">
        <f>L25/$R25</f>
        <v/>
      </c>
      <c r="AE25" s="41">
        <f>M25/$R25</f>
        <v/>
      </c>
      <c r="AF25" s="41">
        <f>N25/$R25</f>
        <v/>
      </c>
      <c r="AG25" s="41">
        <f>O25/$R25</f>
        <v/>
      </c>
      <c r="AH25" s="41">
        <f>P25/$R25</f>
        <v/>
      </c>
      <c r="AI25" s="41">
        <f>Q25/$R25</f>
        <v/>
      </c>
      <c r="AJ25" s="41">
        <f>SUM(T25:W25)</f>
        <v/>
      </c>
      <c r="AK25" s="45">
        <f>SUM(X25:Z25)+AD25</f>
        <v/>
      </c>
      <c r="AL25" s="45">
        <f>SUM(AF25:AI25)+AJ25</f>
        <v/>
      </c>
      <c r="AM25" s="45">
        <f>AK25+AL25</f>
        <v/>
      </c>
      <c r="AN25" s="45" t="n"/>
    </row>
    <row r="26" hidden="1" ht="15.75" customHeight="1" s="259">
      <c r="A26" s="8" t="n">
        <v>44867</v>
      </c>
      <c r="G26" t="n">
        <v>3.38</v>
      </c>
      <c r="H26" t="n">
        <v>0.86</v>
      </c>
      <c r="I26" t="n">
        <v>8.359999999999999</v>
      </c>
      <c r="K26" t="n">
        <v>1.98</v>
      </c>
      <c r="L26" t="n">
        <v>0.06</v>
      </c>
      <c r="O26" t="n">
        <v>0.02</v>
      </c>
      <c r="Q26" t="n">
        <v>0.26</v>
      </c>
      <c r="R26">
        <f>SUM(B26:Q26)</f>
        <v/>
      </c>
      <c r="T26" s="41">
        <f>B26/$R26</f>
        <v/>
      </c>
      <c r="U26" s="41">
        <f>C26/$R26</f>
        <v/>
      </c>
      <c r="V26" s="41">
        <f>D26/$R26</f>
        <v/>
      </c>
      <c r="W26" s="41">
        <f>E26/$R26</f>
        <v/>
      </c>
      <c r="X26" s="41">
        <f>F26/$R26</f>
        <v/>
      </c>
      <c r="Y26" s="41">
        <f>G26/$R26</f>
        <v/>
      </c>
      <c r="Z26" s="41">
        <f>H26/$R26</f>
        <v/>
      </c>
      <c r="AA26" s="41">
        <f>I26/$R26</f>
        <v/>
      </c>
      <c r="AB26" s="41">
        <f>J26/$R26</f>
        <v/>
      </c>
      <c r="AC26" s="41">
        <f>K26/$R26</f>
        <v/>
      </c>
      <c r="AD26" s="41">
        <f>L26/$R26</f>
        <v/>
      </c>
      <c r="AE26" s="41">
        <f>M26/$R26</f>
        <v/>
      </c>
      <c r="AF26" s="41">
        <f>N26/$R26</f>
        <v/>
      </c>
      <c r="AG26" s="41">
        <f>O26/$R26</f>
        <v/>
      </c>
      <c r="AH26" s="41">
        <f>P26/$R26</f>
        <v/>
      </c>
      <c r="AI26" s="41">
        <f>Q26/$R26</f>
        <v/>
      </c>
      <c r="AJ26" s="41">
        <f>SUM(T26:W26)</f>
        <v/>
      </c>
      <c r="AK26" s="45">
        <f>SUM(X26:Z26)+AD26</f>
        <v/>
      </c>
      <c r="AL26" s="45">
        <f>SUM(AF26:AI26)+AJ26</f>
        <v/>
      </c>
      <c r="AM26" s="45">
        <f>AK26+AL26</f>
        <v/>
      </c>
      <c r="AN26" s="45" t="n"/>
    </row>
    <row r="27" hidden="1" ht="15.75" customHeight="1" s="259">
      <c r="A27" s="8" t="n">
        <v>44873</v>
      </c>
      <c r="D27" t="n">
        <v>0.08</v>
      </c>
      <c r="G27" t="n">
        <v>2.1</v>
      </c>
      <c r="H27" t="n">
        <v>0.62</v>
      </c>
      <c r="I27" t="n">
        <v>11.26</v>
      </c>
      <c r="K27" t="n">
        <v>3.14</v>
      </c>
      <c r="L27" t="n">
        <v>0.16</v>
      </c>
      <c r="Q27" t="n">
        <v>0.24</v>
      </c>
      <c r="R27">
        <f>SUM(B27:Q27)</f>
        <v/>
      </c>
      <c r="T27" s="41">
        <f>B27/$R27</f>
        <v/>
      </c>
      <c r="U27" s="41">
        <f>C27/$R27</f>
        <v/>
      </c>
      <c r="V27" s="41">
        <f>D27/$R27</f>
        <v/>
      </c>
      <c r="W27" s="41">
        <f>E27/$R27</f>
        <v/>
      </c>
      <c r="X27" s="41">
        <f>F27/$R27</f>
        <v/>
      </c>
      <c r="Y27" s="41">
        <f>G27/$R27</f>
        <v/>
      </c>
      <c r="Z27" s="41">
        <f>H27/$R27</f>
        <v/>
      </c>
      <c r="AA27" s="41">
        <f>I27/$R27</f>
        <v/>
      </c>
      <c r="AB27" s="41">
        <f>J27/$R27</f>
        <v/>
      </c>
      <c r="AC27" s="41">
        <f>K27/$R27</f>
        <v/>
      </c>
      <c r="AD27" s="41">
        <f>L27/$R27</f>
        <v/>
      </c>
      <c r="AE27" s="41">
        <f>M27/$R27</f>
        <v/>
      </c>
      <c r="AF27" s="41">
        <f>N27/$R27</f>
        <v/>
      </c>
      <c r="AG27" s="41">
        <f>O27/$R27</f>
        <v/>
      </c>
      <c r="AH27" s="41">
        <f>P27/$R27</f>
        <v/>
      </c>
      <c r="AI27" s="41">
        <f>Q27/$R27</f>
        <v/>
      </c>
      <c r="AJ27" s="41">
        <f>SUM(T27:W27)</f>
        <v/>
      </c>
      <c r="AK27" s="45">
        <f>SUM(X27:Z27)+AD27</f>
        <v/>
      </c>
      <c r="AL27" s="45">
        <f>SUM(AF27:AI27)+AJ27</f>
        <v/>
      </c>
      <c r="AM27" s="45">
        <f>AK27+AL27</f>
        <v/>
      </c>
      <c r="AN27" s="45" t="n"/>
    </row>
    <row r="28" hidden="1" ht="15.75" customHeight="1" s="259">
      <c r="A28" s="8" t="n">
        <v>44875</v>
      </c>
      <c r="G28" t="n">
        <v>2.92</v>
      </c>
      <c r="H28" t="n">
        <v>0.84</v>
      </c>
      <c r="I28" t="n">
        <v>6.76</v>
      </c>
      <c r="K28" t="n">
        <v>2.98</v>
      </c>
      <c r="L28" t="n">
        <v>0.02</v>
      </c>
      <c r="Q28" t="n">
        <v>0.16</v>
      </c>
      <c r="R28">
        <f>SUM(B28:Q28)</f>
        <v/>
      </c>
      <c r="T28" s="41">
        <f>B28/$R28</f>
        <v/>
      </c>
      <c r="U28" s="41">
        <f>C28/$R28</f>
        <v/>
      </c>
      <c r="V28" s="41">
        <f>D28/$R28</f>
        <v/>
      </c>
      <c r="W28" s="41">
        <f>E28/$R28</f>
        <v/>
      </c>
      <c r="X28" s="41">
        <f>F28/$R28</f>
        <v/>
      </c>
      <c r="Y28" s="41">
        <f>G28/$R28</f>
        <v/>
      </c>
      <c r="Z28" s="41">
        <f>H28/$R28</f>
        <v/>
      </c>
      <c r="AA28" s="41">
        <f>I28/$R28</f>
        <v/>
      </c>
      <c r="AB28" s="41">
        <f>J28/$R28</f>
        <v/>
      </c>
      <c r="AC28" s="41">
        <f>K28/$R28</f>
        <v/>
      </c>
      <c r="AD28" s="41">
        <f>L28/$R28</f>
        <v/>
      </c>
      <c r="AE28" s="41">
        <f>M28/$R28</f>
        <v/>
      </c>
      <c r="AF28" s="41">
        <f>N28/$R28</f>
        <v/>
      </c>
      <c r="AG28" s="41">
        <f>O28/$R28</f>
        <v/>
      </c>
      <c r="AH28" s="41">
        <f>P28/$R28</f>
        <v/>
      </c>
      <c r="AI28" s="41">
        <f>Q28/$R28</f>
        <v/>
      </c>
      <c r="AJ28" s="41">
        <f>SUM(T28:W28)</f>
        <v/>
      </c>
      <c r="AK28" s="45">
        <f>SUM(X28:Z28)+AD28</f>
        <v/>
      </c>
      <c r="AL28" s="45">
        <f>SUM(AF28:AI28)+AJ28</f>
        <v/>
      </c>
      <c r="AM28" s="45">
        <f>AK28+AL28</f>
        <v/>
      </c>
      <c r="AN28" s="45" t="n"/>
    </row>
    <row r="29" hidden="1" ht="15.75" customHeight="1" s="259">
      <c r="A29" s="8" t="n">
        <v>44879</v>
      </c>
      <c r="F29" t="n">
        <v>0.04</v>
      </c>
      <c r="G29" t="n">
        <v>3.1</v>
      </c>
      <c r="H29" t="n">
        <v>1.06</v>
      </c>
      <c r="I29" t="n">
        <v>13.14</v>
      </c>
      <c r="K29" t="n">
        <v>4.5</v>
      </c>
      <c r="Q29" t="n">
        <v>0.4</v>
      </c>
      <c r="R29">
        <f>SUM(B29:Q29)</f>
        <v/>
      </c>
      <c r="T29" s="41">
        <f>B29/$R29</f>
        <v/>
      </c>
      <c r="U29" s="41">
        <f>C29/$R29</f>
        <v/>
      </c>
      <c r="V29" s="41">
        <f>D29/$R29</f>
        <v/>
      </c>
      <c r="W29" s="41">
        <f>E29/$R29</f>
        <v/>
      </c>
      <c r="X29" s="41">
        <f>F29/$R29</f>
        <v/>
      </c>
      <c r="Y29" s="41">
        <f>G29/$R29</f>
        <v/>
      </c>
      <c r="Z29" s="41">
        <f>H29/$R29</f>
        <v/>
      </c>
      <c r="AA29" s="41">
        <f>I29/$R29</f>
        <v/>
      </c>
      <c r="AB29" s="41">
        <f>J29/$R29</f>
        <v/>
      </c>
      <c r="AC29" s="41">
        <f>K29/$R29</f>
        <v/>
      </c>
      <c r="AD29" s="41">
        <f>L29/$R29</f>
        <v/>
      </c>
      <c r="AE29" s="41">
        <f>M29/$R29</f>
        <v/>
      </c>
      <c r="AF29" s="41">
        <f>N29/$R29</f>
        <v/>
      </c>
      <c r="AG29" s="41">
        <f>O29/$R29</f>
        <v/>
      </c>
      <c r="AH29" s="41">
        <f>P29/$R29</f>
        <v/>
      </c>
      <c r="AI29" s="41">
        <f>Q29/$R29</f>
        <v/>
      </c>
      <c r="AJ29" s="41">
        <f>SUM(T29:W29)</f>
        <v/>
      </c>
      <c r="AK29" s="45">
        <f>SUM(X29:Z29)+AD29</f>
        <v/>
      </c>
      <c r="AL29" s="45">
        <f>SUM(AF29:AI29)+AJ29</f>
        <v/>
      </c>
      <c r="AM29" s="45">
        <f>AK29+AL29</f>
        <v/>
      </c>
      <c r="AN29" s="45" t="n"/>
    </row>
    <row r="30" hidden="1" ht="15.75" customHeight="1" s="259">
      <c r="A30" s="8" t="n">
        <v>44883</v>
      </c>
      <c r="D30" t="n">
        <v>0.06</v>
      </c>
      <c r="G30" t="n">
        <v>4.86</v>
      </c>
      <c r="H30" t="n">
        <v>1.26</v>
      </c>
      <c r="I30" t="n">
        <v>13.88</v>
      </c>
      <c r="K30" t="n">
        <v>5.78</v>
      </c>
      <c r="L30" t="n">
        <v>0.24</v>
      </c>
      <c r="O30" t="n">
        <v>0.06</v>
      </c>
      <c r="Q30" t="n">
        <v>0.32</v>
      </c>
      <c r="R30">
        <f>SUM(B30:Q30)</f>
        <v/>
      </c>
      <c r="T30" s="41">
        <f>B30/$R30</f>
        <v/>
      </c>
      <c r="U30" s="41">
        <f>C30/$R30</f>
        <v/>
      </c>
      <c r="V30" s="41">
        <f>D30/$R30</f>
        <v/>
      </c>
      <c r="W30" s="41">
        <f>E30/$R30</f>
        <v/>
      </c>
      <c r="X30" s="41">
        <f>F30/$R30</f>
        <v/>
      </c>
      <c r="Y30" s="41">
        <f>G30/$R30</f>
        <v/>
      </c>
      <c r="Z30" s="41">
        <f>H30/$R30</f>
        <v/>
      </c>
      <c r="AA30" s="41">
        <f>I30/$R30</f>
        <v/>
      </c>
      <c r="AB30" s="41">
        <f>J30/$R30</f>
        <v/>
      </c>
      <c r="AC30" s="41">
        <f>K30/$R30</f>
        <v/>
      </c>
      <c r="AD30" s="41">
        <f>L30/$R30</f>
        <v/>
      </c>
      <c r="AE30" s="41">
        <f>M30/$R30</f>
        <v/>
      </c>
      <c r="AF30" s="41">
        <f>N30/$R30</f>
        <v/>
      </c>
      <c r="AG30" s="41">
        <f>O30/$R30</f>
        <v/>
      </c>
      <c r="AH30" s="41">
        <f>P30/$R30</f>
        <v/>
      </c>
      <c r="AI30" s="41">
        <f>Q30/$R30</f>
        <v/>
      </c>
      <c r="AJ30" s="41">
        <f>SUM(T30:W30)</f>
        <v/>
      </c>
      <c r="AK30" s="45">
        <f>SUM(X30:Z30)+AD30</f>
        <v/>
      </c>
      <c r="AL30" s="45">
        <f>SUM(AF30:AI30)+AJ30</f>
        <v/>
      </c>
      <c r="AM30" s="45">
        <f>AK30+AL30</f>
        <v/>
      </c>
      <c r="AN30" s="45" t="n"/>
    </row>
    <row r="31" hidden="1" ht="15.75" customHeight="1" s="259">
      <c r="A31" s="8" t="n">
        <v>44888</v>
      </c>
      <c r="G31" t="n">
        <v>4.12</v>
      </c>
      <c r="H31" t="n">
        <v>1.12</v>
      </c>
      <c r="I31" t="n">
        <v>15.08</v>
      </c>
      <c r="K31" t="n">
        <v>6.54</v>
      </c>
      <c r="O31" t="n">
        <v>0.02</v>
      </c>
      <c r="Q31" t="n">
        <v>0.54</v>
      </c>
      <c r="R31">
        <f>SUM(B31:Q31)</f>
        <v/>
      </c>
      <c r="T31" s="41">
        <f>B31/$R31</f>
        <v/>
      </c>
      <c r="U31" s="41">
        <f>C31/$R31</f>
        <v/>
      </c>
      <c r="V31" s="41">
        <f>D31/$R31</f>
        <v/>
      </c>
      <c r="W31" s="41">
        <f>E31/$R31</f>
        <v/>
      </c>
      <c r="X31" s="41">
        <f>F31/$R31</f>
        <v/>
      </c>
      <c r="Y31" s="41">
        <f>G31/$R31</f>
        <v/>
      </c>
      <c r="Z31" s="41">
        <f>H31/$R31</f>
        <v/>
      </c>
      <c r="AA31" s="41">
        <f>I31/$R31</f>
        <v/>
      </c>
      <c r="AB31" s="41">
        <f>J31/$R31</f>
        <v/>
      </c>
      <c r="AC31" s="41">
        <f>K31/$R31</f>
        <v/>
      </c>
      <c r="AD31" s="41">
        <f>L31/$R31</f>
        <v/>
      </c>
      <c r="AE31" s="41">
        <f>M31/$R31</f>
        <v/>
      </c>
      <c r="AF31" s="41">
        <f>N31/$R31</f>
        <v/>
      </c>
      <c r="AG31" s="41">
        <f>O31/$R31</f>
        <v/>
      </c>
      <c r="AH31" s="41">
        <f>P31/$R31</f>
        <v/>
      </c>
      <c r="AI31" s="41">
        <f>Q31/$R31</f>
        <v/>
      </c>
      <c r="AJ31" s="41">
        <f>SUM(T31:W31)</f>
        <v/>
      </c>
      <c r="AK31" s="45">
        <f>SUM(X31:Z31)+AD31</f>
        <v/>
      </c>
      <c r="AL31" s="45">
        <f>SUM(AF31:AI31)+AJ31</f>
        <v/>
      </c>
      <c r="AM31" s="45">
        <f>AK31+AL31</f>
        <v/>
      </c>
      <c r="AN31" s="45" t="n"/>
    </row>
    <row r="32" hidden="1" ht="15.75" customHeight="1" s="259">
      <c r="A32" s="8" t="n">
        <v>44890</v>
      </c>
      <c r="B32" t="n">
        <v>0.1</v>
      </c>
      <c r="G32" t="n">
        <v>3.26</v>
      </c>
      <c r="H32" t="n">
        <v>1.04</v>
      </c>
      <c r="I32" t="n">
        <v>10.94</v>
      </c>
      <c r="K32" t="n">
        <v>3.88</v>
      </c>
      <c r="L32" t="n">
        <v>0.04</v>
      </c>
      <c r="Q32" t="n">
        <v>0.34</v>
      </c>
      <c r="R32">
        <f>SUM(B32:Q32)</f>
        <v/>
      </c>
      <c r="T32" s="41">
        <f>B32/$R32</f>
        <v/>
      </c>
      <c r="U32" s="41">
        <f>C32/$R32</f>
        <v/>
      </c>
      <c r="V32" s="41">
        <f>D32/$R32</f>
        <v/>
      </c>
      <c r="W32" s="41">
        <f>E32/$R32</f>
        <v/>
      </c>
      <c r="X32" s="41">
        <f>F32/$R32</f>
        <v/>
      </c>
      <c r="Y32" s="41">
        <f>G32/$R32</f>
        <v/>
      </c>
      <c r="Z32" s="41">
        <f>H32/$R32</f>
        <v/>
      </c>
      <c r="AA32" s="41">
        <f>I32/$R32</f>
        <v/>
      </c>
      <c r="AB32" s="41">
        <f>J32/$R32</f>
        <v/>
      </c>
      <c r="AC32" s="41">
        <f>K32/$R32</f>
        <v/>
      </c>
      <c r="AD32" s="41">
        <f>L32/$R32</f>
        <v/>
      </c>
      <c r="AE32" s="41">
        <f>M32/$R32</f>
        <v/>
      </c>
      <c r="AF32" s="41">
        <f>N32/$R32</f>
        <v/>
      </c>
      <c r="AG32" s="41">
        <f>O32/$R32</f>
        <v/>
      </c>
      <c r="AH32" s="41">
        <f>P32/$R32</f>
        <v/>
      </c>
      <c r="AI32" s="41">
        <f>Q32/$R32</f>
        <v/>
      </c>
      <c r="AJ32" s="41">
        <f>SUM(T32:W32)</f>
        <v/>
      </c>
      <c r="AK32" s="45">
        <f>SUM(X32:Z32)+AD32</f>
        <v/>
      </c>
      <c r="AL32" s="45">
        <f>SUM(AF32:AI32)+AJ32</f>
        <v/>
      </c>
      <c r="AM32" s="45">
        <f>AK32+AL32</f>
        <v/>
      </c>
      <c r="AN32" s="45" t="n"/>
    </row>
    <row r="33" hidden="1" ht="15.75" customHeight="1" s="259">
      <c r="A33" s="8" t="n">
        <v>44902</v>
      </c>
      <c r="D33" t="n">
        <v>0.08</v>
      </c>
      <c r="G33" t="n">
        <v>3.1</v>
      </c>
      <c r="H33" t="n">
        <v>1.16</v>
      </c>
      <c r="I33" t="n">
        <v>10.84</v>
      </c>
      <c r="K33" t="n">
        <v>5.86</v>
      </c>
      <c r="L33" t="n">
        <v>0.42</v>
      </c>
      <c r="Q33" t="n">
        <v>0.28</v>
      </c>
      <c r="R33">
        <f>SUM(B33:Q33)</f>
        <v/>
      </c>
      <c r="T33" s="41">
        <f>B33/$R33</f>
        <v/>
      </c>
      <c r="U33" s="41">
        <f>C33/$R33</f>
        <v/>
      </c>
      <c r="V33" s="41">
        <f>D33/$R33</f>
        <v/>
      </c>
      <c r="W33" s="41">
        <f>E33/$R33</f>
        <v/>
      </c>
      <c r="X33" s="41">
        <f>F33/$R33</f>
        <v/>
      </c>
      <c r="Y33" s="41">
        <f>G33/$R33</f>
        <v/>
      </c>
      <c r="Z33" s="41">
        <f>H33/$R33</f>
        <v/>
      </c>
      <c r="AA33" s="41">
        <f>I33/$R33</f>
        <v/>
      </c>
      <c r="AB33" s="41">
        <f>J33/$R33</f>
        <v/>
      </c>
      <c r="AC33" s="41">
        <f>K33/$R33</f>
        <v/>
      </c>
      <c r="AD33" s="41">
        <f>L33/$R33</f>
        <v/>
      </c>
      <c r="AE33" s="41">
        <f>M33/$R33</f>
        <v/>
      </c>
      <c r="AF33" s="41">
        <f>N33/$R33</f>
        <v/>
      </c>
      <c r="AG33" s="41">
        <f>O33/$R33</f>
        <v/>
      </c>
      <c r="AH33" s="41">
        <f>P33/$R33</f>
        <v/>
      </c>
      <c r="AI33" s="41">
        <f>Q33/$R33</f>
        <v/>
      </c>
      <c r="AJ33" s="41">
        <f>SUM(T33:W33)</f>
        <v/>
      </c>
      <c r="AK33" s="45">
        <f>SUM(X33:Z33)+AD33</f>
        <v/>
      </c>
      <c r="AL33" s="45">
        <f>SUM(AF33:AI33)+AJ33</f>
        <v/>
      </c>
      <c r="AM33" s="45">
        <f>AK33+AL33</f>
        <v/>
      </c>
      <c r="AN33" s="45" t="n"/>
    </row>
    <row r="34" hidden="1" ht="15.75" customHeight="1" s="259">
      <c r="A34" s="8" t="n">
        <v>44909</v>
      </c>
      <c r="D34" t="n">
        <v>0.02</v>
      </c>
      <c r="G34" t="n">
        <v>4.16</v>
      </c>
      <c r="H34" t="n">
        <v>1.1</v>
      </c>
      <c r="I34" t="n">
        <v>11.32</v>
      </c>
      <c r="K34" t="n">
        <v>5.56</v>
      </c>
      <c r="L34" t="n">
        <v>0.04</v>
      </c>
      <c r="Q34" t="n">
        <v>0.64</v>
      </c>
      <c r="R34">
        <f>SUM(B34:Q34)</f>
        <v/>
      </c>
      <c r="T34" s="41">
        <f>B34/$R34</f>
        <v/>
      </c>
      <c r="U34" s="41">
        <f>C34/$R34</f>
        <v/>
      </c>
      <c r="V34" s="41">
        <f>D34/$R34</f>
        <v/>
      </c>
      <c r="W34" s="41">
        <f>E34/$R34</f>
        <v/>
      </c>
      <c r="X34" s="41">
        <f>F34/$R34</f>
        <v/>
      </c>
      <c r="Y34" s="41">
        <f>G34/$R34</f>
        <v/>
      </c>
      <c r="Z34" s="41">
        <f>H34/$R34</f>
        <v/>
      </c>
      <c r="AA34" s="41">
        <f>I34/$R34</f>
        <v/>
      </c>
      <c r="AB34" s="41">
        <f>J34/$R34</f>
        <v/>
      </c>
      <c r="AC34" s="41">
        <f>K34/$R34</f>
        <v/>
      </c>
      <c r="AD34" s="41">
        <f>L34/$R34</f>
        <v/>
      </c>
      <c r="AE34" s="41">
        <f>M34/$R34</f>
        <v/>
      </c>
      <c r="AF34" s="41">
        <f>N34/$R34</f>
        <v/>
      </c>
      <c r="AG34" s="41">
        <f>O34/$R34</f>
        <v/>
      </c>
      <c r="AH34" s="41">
        <f>P34/$R34</f>
        <v/>
      </c>
      <c r="AI34" s="41">
        <f>Q34/$R34</f>
        <v/>
      </c>
      <c r="AJ34" s="41">
        <f>SUM(T34:W34)</f>
        <v/>
      </c>
      <c r="AK34" s="45">
        <f>SUM(X34:Z34)+AD34</f>
        <v/>
      </c>
      <c r="AL34" s="45">
        <f>SUM(AF34:AI34)+AJ34</f>
        <v/>
      </c>
      <c r="AM34" s="45">
        <f>AK34+AL34</f>
        <v/>
      </c>
      <c r="AN34" s="45" t="n"/>
    </row>
    <row r="35" hidden="1" ht="15.75" customHeight="1" s="259">
      <c r="A35" s="8" t="n">
        <v>44911</v>
      </c>
      <c r="D35" t="n">
        <v>0.02</v>
      </c>
      <c r="G35" t="n">
        <v>3</v>
      </c>
      <c r="H35" t="n">
        <v>0.78</v>
      </c>
      <c r="I35" t="n">
        <v>11.92</v>
      </c>
      <c r="K35" t="n">
        <v>5.22</v>
      </c>
      <c r="L35" t="n">
        <v>0.22</v>
      </c>
      <c r="Q35" t="n">
        <v>0.86</v>
      </c>
      <c r="R35">
        <f>SUM(B35:Q35)</f>
        <v/>
      </c>
      <c r="T35" s="41">
        <f>B35/$R35</f>
        <v/>
      </c>
      <c r="U35" s="41">
        <f>C35/$R35</f>
        <v/>
      </c>
      <c r="V35" s="41">
        <f>D35/$R35</f>
        <v/>
      </c>
      <c r="W35" s="41">
        <f>E35/$R35</f>
        <v/>
      </c>
      <c r="X35" s="41">
        <f>F35/$R35</f>
        <v/>
      </c>
      <c r="Y35" s="41">
        <f>G35/$R35</f>
        <v/>
      </c>
      <c r="Z35" s="41">
        <f>H35/$R35</f>
        <v/>
      </c>
      <c r="AA35" s="41">
        <f>I35/$R35</f>
        <v/>
      </c>
      <c r="AB35" s="41">
        <f>J35/$R35</f>
        <v/>
      </c>
      <c r="AC35" s="41">
        <f>K35/$R35</f>
        <v/>
      </c>
      <c r="AD35" s="41">
        <f>L35/$R35</f>
        <v/>
      </c>
      <c r="AE35" s="41">
        <f>M35/$R35</f>
        <v/>
      </c>
      <c r="AF35" s="41">
        <f>N35/$R35</f>
        <v/>
      </c>
      <c r="AG35" s="41">
        <f>O35/$R35</f>
        <v/>
      </c>
      <c r="AH35" s="41">
        <f>P35/$R35</f>
        <v/>
      </c>
      <c r="AI35" s="41">
        <f>Q35/$R35</f>
        <v/>
      </c>
      <c r="AJ35" s="41">
        <f>SUM(T35:W35)</f>
        <v/>
      </c>
      <c r="AK35" s="45">
        <f>SUM(X35:Z35)+AD35</f>
        <v/>
      </c>
      <c r="AL35" s="45">
        <f>SUM(AF35:AI35)+AJ35</f>
        <v/>
      </c>
      <c r="AM35" s="45">
        <f>AK35+AL35</f>
        <v/>
      </c>
      <c r="AN35" s="45" t="n"/>
    </row>
    <row r="36" hidden="1" ht="15.75" customHeight="1" s="259">
      <c r="A36" s="8" t="n">
        <v>44915</v>
      </c>
      <c r="D36" t="n">
        <v>0.06</v>
      </c>
      <c r="G36" t="n">
        <v>3.26</v>
      </c>
      <c r="H36" t="n">
        <v>1.12</v>
      </c>
      <c r="I36" t="n">
        <v>11.62</v>
      </c>
      <c r="K36" t="n">
        <v>5.02</v>
      </c>
      <c r="L36" t="n">
        <v>0.24</v>
      </c>
      <c r="N36" t="n">
        <v>0.04</v>
      </c>
      <c r="O36" t="n">
        <v>0.02</v>
      </c>
      <c r="Q36" t="n">
        <v>0.4</v>
      </c>
      <c r="R36">
        <f>SUM(B36:Q36)</f>
        <v/>
      </c>
      <c r="T36" s="41">
        <f>B36/$R36</f>
        <v/>
      </c>
      <c r="U36" s="41">
        <f>C36/$R36</f>
        <v/>
      </c>
      <c r="V36" s="41">
        <f>D36/$R36</f>
        <v/>
      </c>
      <c r="W36" s="41">
        <f>E36/$R36</f>
        <v/>
      </c>
      <c r="X36" s="41">
        <f>F36/$R36</f>
        <v/>
      </c>
      <c r="Y36" s="41">
        <f>G36/$R36</f>
        <v/>
      </c>
      <c r="Z36" s="41">
        <f>H36/$R36</f>
        <v/>
      </c>
      <c r="AA36" s="41">
        <f>I36/$R36</f>
        <v/>
      </c>
      <c r="AB36" s="41">
        <f>J36/$R36</f>
        <v/>
      </c>
      <c r="AC36" s="41">
        <f>K36/$R36</f>
        <v/>
      </c>
      <c r="AD36" s="41">
        <f>L36/$R36</f>
        <v/>
      </c>
      <c r="AE36" s="41">
        <f>M36/$R36</f>
        <v/>
      </c>
      <c r="AF36" s="41">
        <f>N36/$R36</f>
        <v/>
      </c>
      <c r="AG36" s="41">
        <f>O36/$R36</f>
        <v/>
      </c>
      <c r="AH36" s="41">
        <f>P36/$R36</f>
        <v/>
      </c>
      <c r="AI36" s="41">
        <f>Q36/$R36</f>
        <v/>
      </c>
      <c r="AJ36" s="41">
        <f>SUM(T36:W36)</f>
        <v/>
      </c>
      <c r="AK36" s="45">
        <f>SUM(X36:Z36)+AD36</f>
        <v/>
      </c>
      <c r="AL36" s="45">
        <f>SUM(AF36:AI36)+AJ36</f>
        <v/>
      </c>
      <c r="AM36" s="45">
        <f>AK36+AL36</f>
        <v/>
      </c>
      <c r="AN36" s="45" t="n"/>
    </row>
    <row r="37" hidden="1" ht="15.75" customHeight="1" s="259">
      <c r="A37" s="8" t="n">
        <v>44928</v>
      </c>
      <c r="D37" t="n">
        <v>0.04</v>
      </c>
      <c r="G37" t="n">
        <v>1.24</v>
      </c>
      <c r="H37" t="n">
        <v>0.36</v>
      </c>
      <c r="I37" t="n">
        <v>14.06</v>
      </c>
      <c r="J37" t="n">
        <v>2.26</v>
      </c>
      <c r="K37" t="n">
        <v>2.82</v>
      </c>
      <c r="M37" t="n">
        <v>0.12</v>
      </c>
      <c r="P37" t="n">
        <v>0.02</v>
      </c>
      <c r="Q37" t="n">
        <v>0.28</v>
      </c>
      <c r="R37">
        <f>SUM(B37:Q37)</f>
        <v/>
      </c>
      <c r="T37" s="41">
        <f>B37/$R37</f>
        <v/>
      </c>
      <c r="U37" s="41">
        <f>C37/$R37</f>
        <v/>
      </c>
      <c r="V37" s="41">
        <f>D37/$R37</f>
        <v/>
      </c>
      <c r="W37" s="41">
        <f>E37/$R37</f>
        <v/>
      </c>
      <c r="X37" s="41">
        <f>F37/$R37</f>
        <v/>
      </c>
      <c r="Y37" s="41">
        <f>G37/$R37</f>
        <v/>
      </c>
      <c r="Z37" s="41">
        <f>H37/$R37</f>
        <v/>
      </c>
      <c r="AA37" s="41">
        <f>I37/$R37</f>
        <v/>
      </c>
      <c r="AB37" s="41">
        <f>J37/$R37</f>
        <v/>
      </c>
      <c r="AC37" s="41">
        <f>K37/$R37</f>
        <v/>
      </c>
      <c r="AD37" s="41">
        <f>L37/$R37</f>
        <v/>
      </c>
      <c r="AE37" s="41">
        <f>M37/$R37</f>
        <v/>
      </c>
      <c r="AF37" s="41">
        <f>N37/$R37</f>
        <v/>
      </c>
      <c r="AG37" s="41">
        <f>O37/$R37</f>
        <v/>
      </c>
      <c r="AH37" s="41">
        <f>P37/$R37</f>
        <v/>
      </c>
      <c r="AI37" s="41">
        <f>Q37/$R37</f>
        <v/>
      </c>
      <c r="AJ37" s="41">
        <f>SUM(T37:W37)</f>
        <v/>
      </c>
      <c r="AK37" s="45">
        <f>SUM(X37:Z37)+AD37</f>
        <v/>
      </c>
      <c r="AL37" s="45">
        <f>SUM(AF37:AI37)+AJ37</f>
        <v/>
      </c>
      <c r="AM37" s="45">
        <f>AK37+AL37</f>
        <v/>
      </c>
      <c r="AN37" s="45" t="n"/>
    </row>
    <row r="38" hidden="1" ht="15.75" customHeight="1" s="259">
      <c r="A38" s="8" t="n">
        <v>44953</v>
      </c>
      <c r="D38" t="n">
        <v>0.02</v>
      </c>
      <c r="G38" t="n">
        <v>1.86</v>
      </c>
      <c r="H38" t="n">
        <v>0.3</v>
      </c>
      <c r="I38" t="n">
        <v>16.04</v>
      </c>
      <c r="J38" t="n">
        <v>0.92</v>
      </c>
      <c r="K38" t="n">
        <v>4.5</v>
      </c>
      <c r="L38" t="n">
        <v>0.08</v>
      </c>
      <c r="M38" t="n">
        <v>0.12</v>
      </c>
      <c r="P38" t="n">
        <v>0.04</v>
      </c>
      <c r="Q38" t="n">
        <v>0.78</v>
      </c>
      <c r="R38">
        <f>SUM(B38:Q38)</f>
        <v/>
      </c>
      <c r="T38" s="41">
        <f>B38/$R38</f>
        <v/>
      </c>
      <c r="U38" s="41">
        <f>C38/$R38</f>
        <v/>
      </c>
      <c r="V38" s="41">
        <f>D38/$R38</f>
        <v/>
      </c>
      <c r="W38" s="41">
        <f>E38/$R38</f>
        <v/>
      </c>
      <c r="X38" s="41">
        <f>F38/$R38</f>
        <v/>
      </c>
      <c r="Y38" s="41">
        <f>G38/$R38</f>
        <v/>
      </c>
      <c r="Z38" s="41">
        <f>H38/$R38</f>
        <v/>
      </c>
      <c r="AA38" s="41">
        <f>I38/$R38</f>
        <v/>
      </c>
      <c r="AB38" s="41">
        <f>J38/$R38</f>
        <v/>
      </c>
      <c r="AC38" s="41">
        <f>K38/$R38</f>
        <v/>
      </c>
      <c r="AD38" s="41">
        <f>L38/$R38</f>
        <v/>
      </c>
      <c r="AE38" s="41">
        <f>M38/$R38</f>
        <v/>
      </c>
      <c r="AF38" s="41">
        <f>N38/$R38</f>
        <v/>
      </c>
      <c r="AG38" s="41">
        <f>O38/$R38</f>
        <v/>
      </c>
      <c r="AH38" s="41">
        <f>P38/$R38</f>
        <v/>
      </c>
      <c r="AI38" s="41">
        <f>Q38/$R38</f>
        <v/>
      </c>
      <c r="AJ38" s="41">
        <f>SUM(T38:W38)</f>
        <v/>
      </c>
      <c r="AK38" s="45">
        <f>SUM(X38:Z38)+AD38</f>
        <v/>
      </c>
      <c r="AL38" s="45">
        <f>SUM(AF38:AI38)+AJ38</f>
        <v/>
      </c>
      <c r="AM38" s="45">
        <f>AK38+AL38</f>
        <v/>
      </c>
      <c r="AN38" s="45" t="n"/>
    </row>
    <row r="39" hidden="1" ht="15.75" customHeight="1" s="259">
      <c r="A39" s="8" t="n">
        <v>44960</v>
      </c>
      <c r="B39" t="n">
        <v>0</v>
      </c>
      <c r="C39" t="n">
        <v>0</v>
      </c>
      <c r="D39" t="n">
        <v>0</v>
      </c>
      <c r="E39" t="n">
        <v>0</v>
      </c>
      <c r="F39" t="n">
        <v>0</v>
      </c>
      <c r="G39" t="n">
        <v>0.76</v>
      </c>
      <c r="H39" t="n">
        <v>0</v>
      </c>
      <c r="I39" t="n">
        <v>23.86</v>
      </c>
      <c r="J39" t="n">
        <v>0.72</v>
      </c>
      <c r="K39" t="n">
        <v>3.38</v>
      </c>
      <c r="L39" t="n">
        <v>0.1</v>
      </c>
      <c r="M39" t="n">
        <v>0</v>
      </c>
      <c r="N39" t="n">
        <v>0</v>
      </c>
      <c r="O39" t="n">
        <v>0</v>
      </c>
      <c r="P39" t="n">
        <v>0.02</v>
      </c>
      <c r="Q39" t="n">
        <v>0.18</v>
      </c>
      <c r="R39">
        <f>SUM(B39:Q39)</f>
        <v/>
      </c>
      <c r="T39" s="41">
        <f>B39/$R39</f>
        <v/>
      </c>
      <c r="U39" s="41">
        <f>C39/$R39</f>
        <v/>
      </c>
      <c r="V39" s="41">
        <f>D39/$R39</f>
        <v/>
      </c>
      <c r="W39" s="41">
        <f>E39/$R39</f>
        <v/>
      </c>
      <c r="X39" s="41">
        <f>F39/$R39</f>
        <v/>
      </c>
      <c r="Y39" s="41">
        <f>G39/$R39</f>
        <v/>
      </c>
      <c r="Z39" s="41">
        <f>H39/$R39</f>
        <v/>
      </c>
      <c r="AA39" s="41">
        <f>I39/$R39</f>
        <v/>
      </c>
      <c r="AB39" s="41">
        <f>J39/$R39</f>
        <v/>
      </c>
      <c r="AC39" s="41">
        <f>K39/$R39</f>
        <v/>
      </c>
      <c r="AD39" s="41">
        <f>L39/$R39</f>
        <v/>
      </c>
      <c r="AE39" s="41">
        <f>M39/$R39</f>
        <v/>
      </c>
      <c r="AF39" s="41">
        <f>N39/$R39</f>
        <v/>
      </c>
      <c r="AG39" s="41">
        <f>O39/$R39</f>
        <v/>
      </c>
      <c r="AH39" s="41">
        <f>P39/$R39</f>
        <v/>
      </c>
      <c r="AI39" s="41">
        <f>Q39/$R39</f>
        <v/>
      </c>
      <c r="AJ39" s="41">
        <f>SUM(T39:W39)</f>
        <v/>
      </c>
      <c r="AK39" s="45">
        <f>SUM(X39:Z39)+AD39</f>
        <v/>
      </c>
      <c r="AL39" s="45">
        <f>SUM(AF39:AI39)+AJ39</f>
        <v/>
      </c>
      <c r="AM39" s="45">
        <f>AK39+AL39</f>
        <v/>
      </c>
      <c r="AN39" s="45" t="n"/>
    </row>
    <row r="40" hidden="1" ht="15.75" customHeight="1" s="259">
      <c r="A40" s="8" t="n">
        <v>44971</v>
      </c>
      <c r="B40" t="n">
        <v>0</v>
      </c>
      <c r="C40" t="n">
        <v>0</v>
      </c>
      <c r="D40" t="n">
        <v>0</v>
      </c>
      <c r="E40" t="n">
        <v>0</v>
      </c>
      <c r="F40" t="n">
        <v>0</v>
      </c>
      <c r="G40" t="n">
        <v>0.6</v>
      </c>
      <c r="H40" t="n">
        <v>0</v>
      </c>
      <c r="I40" t="n">
        <v>18.08</v>
      </c>
      <c r="J40" t="n">
        <v>0.62</v>
      </c>
      <c r="K40" t="n">
        <v>4.42</v>
      </c>
      <c r="L40" t="n">
        <v>0.2</v>
      </c>
      <c r="M40" t="n">
        <v>0</v>
      </c>
      <c r="N40" t="n">
        <v>0</v>
      </c>
      <c r="O40" t="n">
        <v>0.08</v>
      </c>
      <c r="P40" t="n">
        <v>0</v>
      </c>
      <c r="Q40" t="n">
        <v>0.04</v>
      </c>
      <c r="R40">
        <f>SUM(B40:Q40)</f>
        <v/>
      </c>
      <c r="T40" s="41">
        <f>B40/$R40</f>
        <v/>
      </c>
      <c r="U40" s="41">
        <f>C40/$R40</f>
        <v/>
      </c>
      <c r="V40" s="41">
        <f>D40/$R40</f>
        <v/>
      </c>
      <c r="W40" s="41">
        <f>E40/$R40</f>
        <v/>
      </c>
      <c r="X40" s="41">
        <f>F40/$R40</f>
        <v/>
      </c>
      <c r="Y40" s="41">
        <f>G40/$R40</f>
        <v/>
      </c>
      <c r="Z40" s="41">
        <f>H40/$R40</f>
        <v/>
      </c>
      <c r="AA40" s="41">
        <f>I40/$R40</f>
        <v/>
      </c>
      <c r="AB40" s="41">
        <f>J40/$R40</f>
        <v/>
      </c>
      <c r="AC40" s="41">
        <f>K40/$R40</f>
        <v/>
      </c>
      <c r="AD40" s="41">
        <f>L40/$R40</f>
        <v/>
      </c>
      <c r="AE40" s="41">
        <f>M40/$R40</f>
        <v/>
      </c>
      <c r="AF40" s="41">
        <f>N40/$R40</f>
        <v/>
      </c>
      <c r="AG40" s="41">
        <f>O40/$R40</f>
        <v/>
      </c>
      <c r="AH40" s="41">
        <f>P40/$R40</f>
        <v/>
      </c>
      <c r="AI40" s="41">
        <f>Q40/$R40</f>
        <v/>
      </c>
      <c r="AJ40" s="41">
        <f>SUM(T40:W40)</f>
        <v/>
      </c>
      <c r="AK40" s="45">
        <f>SUM(X40:Z40)+AD40</f>
        <v/>
      </c>
      <c r="AL40" s="45">
        <f>SUM(AF40:AI40)+AJ40</f>
        <v/>
      </c>
      <c r="AM40" s="45">
        <f>AK40+AL40</f>
        <v/>
      </c>
      <c r="AN40" s="45" t="n"/>
    </row>
    <row r="41" hidden="1" ht="15.75" customHeight="1" s="259">
      <c r="A41" s="8" t="n">
        <v>44981</v>
      </c>
      <c r="B41" t="n">
        <v>0</v>
      </c>
      <c r="C41" t="n">
        <v>0</v>
      </c>
      <c r="D41" t="n">
        <v>0</v>
      </c>
      <c r="E41" t="n">
        <v>0</v>
      </c>
      <c r="F41" t="n">
        <v>0</v>
      </c>
      <c r="G41" t="n">
        <v>0.88</v>
      </c>
      <c r="H41" t="n">
        <v>0.2</v>
      </c>
      <c r="I41" t="n">
        <v>16.62</v>
      </c>
      <c r="J41" t="n">
        <v>0.5</v>
      </c>
      <c r="K41" t="n">
        <v>5.58</v>
      </c>
      <c r="L41" t="n">
        <v>0.28</v>
      </c>
      <c r="M41" t="n">
        <v>0</v>
      </c>
      <c r="N41" t="n">
        <v>0</v>
      </c>
      <c r="O41" t="n">
        <v>0.06</v>
      </c>
      <c r="P41" t="n">
        <v>0.02</v>
      </c>
      <c r="Q41" t="n">
        <v>0.32</v>
      </c>
      <c r="R41">
        <f>SUM(B41:Q41)</f>
        <v/>
      </c>
      <c r="T41" s="41">
        <f>B41/$R41</f>
        <v/>
      </c>
      <c r="U41" s="41">
        <f>C41/$R41</f>
        <v/>
      </c>
      <c r="V41" s="41">
        <f>D41/$R41</f>
        <v/>
      </c>
      <c r="W41" s="41">
        <f>E41/$R41</f>
        <v/>
      </c>
      <c r="X41" s="41">
        <f>F41/$R41</f>
        <v/>
      </c>
      <c r="Y41" s="41">
        <f>G41/$R41</f>
        <v/>
      </c>
      <c r="Z41" s="41">
        <f>H41/$R41</f>
        <v/>
      </c>
      <c r="AA41" s="41">
        <f>I41/$R41</f>
        <v/>
      </c>
      <c r="AB41" s="41">
        <f>J41/$R41</f>
        <v/>
      </c>
      <c r="AC41" s="41">
        <f>K41/$R41</f>
        <v/>
      </c>
      <c r="AD41" s="41">
        <f>L41/$R41</f>
        <v/>
      </c>
      <c r="AE41" s="41">
        <f>M41/$R41</f>
        <v/>
      </c>
      <c r="AF41" s="41">
        <f>N41/$R41</f>
        <v/>
      </c>
      <c r="AG41" s="41">
        <f>O41/$R41</f>
        <v/>
      </c>
      <c r="AH41" s="41">
        <f>P41/$R41</f>
        <v/>
      </c>
      <c r="AI41" s="41">
        <f>Q41/$R41</f>
        <v/>
      </c>
      <c r="AJ41" s="41">
        <f>SUM(T41:W41)</f>
        <v/>
      </c>
      <c r="AK41" s="45">
        <f>SUM(X41:Z41)+AD41</f>
        <v/>
      </c>
      <c r="AL41" s="45">
        <f>SUM(AF41:AI41)+AJ41</f>
        <v/>
      </c>
      <c r="AM41" s="45">
        <f>AK41+AL41</f>
        <v/>
      </c>
      <c r="AN41" s="45" t="n"/>
    </row>
    <row r="42" hidden="1" ht="15.75" customHeight="1" s="259">
      <c r="A42" s="8" t="n">
        <v>45015</v>
      </c>
      <c r="B42" t="n">
        <v>0</v>
      </c>
      <c r="C42" t="n">
        <v>0</v>
      </c>
      <c r="D42" t="n">
        <v>0.12</v>
      </c>
      <c r="E42" t="n">
        <v>0</v>
      </c>
      <c r="F42" t="n">
        <v>0</v>
      </c>
      <c r="G42" t="n">
        <v>3.44</v>
      </c>
      <c r="H42" t="n">
        <v>0.64</v>
      </c>
      <c r="I42" t="n">
        <v>16.14</v>
      </c>
      <c r="J42" t="n">
        <v>1</v>
      </c>
      <c r="K42" t="n">
        <v>6.5</v>
      </c>
      <c r="L42" t="n">
        <v>0.52</v>
      </c>
      <c r="M42" t="n">
        <v>0.06</v>
      </c>
      <c r="N42" t="n">
        <v>0</v>
      </c>
      <c r="O42" t="n">
        <v>0</v>
      </c>
      <c r="P42" t="n">
        <v>0</v>
      </c>
      <c r="Q42" t="n">
        <v>0.7</v>
      </c>
      <c r="R42">
        <f>SUM(B42:Q42)</f>
        <v/>
      </c>
      <c r="T42" s="41">
        <f>B42/$R42</f>
        <v/>
      </c>
      <c r="U42" s="41">
        <f>C42/$R42</f>
        <v/>
      </c>
      <c r="V42" s="41">
        <f>D42/$R42</f>
        <v/>
      </c>
      <c r="W42" s="41">
        <f>E42/$R42</f>
        <v/>
      </c>
      <c r="X42" s="41">
        <f>F42/$R42</f>
        <v/>
      </c>
      <c r="Y42" s="41">
        <f>G42/$R42</f>
        <v/>
      </c>
      <c r="Z42" s="41">
        <f>H42/$R42</f>
        <v/>
      </c>
      <c r="AA42" s="41">
        <f>I42/$R42</f>
        <v/>
      </c>
      <c r="AB42" s="41">
        <f>J42/$R42</f>
        <v/>
      </c>
      <c r="AC42" s="41">
        <f>K42/$R42</f>
        <v/>
      </c>
      <c r="AD42" s="41">
        <f>L42/$R42</f>
        <v/>
      </c>
      <c r="AE42" s="41">
        <f>M42/$R42</f>
        <v/>
      </c>
      <c r="AF42" s="41">
        <f>N42/$R42</f>
        <v/>
      </c>
      <c r="AG42" s="41">
        <f>O42/$R42</f>
        <v/>
      </c>
      <c r="AH42" s="41">
        <f>P42/$R42</f>
        <v/>
      </c>
      <c r="AI42" s="41">
        <f>Q42/$R42</f>
        <v/>
      </c>
      <c r="AJ42" s="41">
        <f>SUM(T42:W42)</f>
        <v/>
      </c>
      <c r="AK42" s="45">
        <f>SUM(X42:Z42)+AD42</f>
        <v/>
      </c>
      <c r="AL42" s="45">
        <f>SUM(AF42:AI42)+AJ42</f>
        <v/>
      </c>
      <c r="AM42" s="45">
        <f>AK42+AL42</f>
        <v/>
      </c>
      <c r="AN42" s="45" t="n"/>
    </row>
    <row r="43" hidden="1" ht="15.75" customHeight="1" s="259">
      <c r="A43" s="8" t="n">
        <v>45064</v>
      </c>
      <c r="B43" t="n">
        <v>0</v>
      </c>
      <c r="C43" t="n">
        <v>0</v>
      </c>
      <c r="D43" t="n">
        <v>0</v>
      </c>
      <c r="E43" t="n">
        <v>0</v>
      </c>
      <c r="F43" t="n">
        <v>0</v>
      </c>
      <c r="G43" t="n">
        <v>1.24</v>
      </c>
      <c r="H43" t="n">
        <v>0.44</v>
      </c>
      <c r="I43" t="n">
        <v>21.62</v>
      </c>
      <c r="J43" t="n">
        <v>0.9</v>
      </c>
      <c r="K43" t="n">
        <v>5.26</v>
      </c>
      <c r="L43" t="n">
        <v>0.5600000000000001</v>
      </c>
      <c r="M43" t="n">
        <v>0</v>
      </c>
      <c r="N43" t="n">
        <v>0</v>
      </c>
      <c r="O43" t="n">
        <v>0.04</v>
      </c>
      <c r="P43" t="n">
        <v>0</v>
      </c>
      <c r="Q43" t="n">
        <v>0.84</v>
      </c>
      <c r="R43">
        <f>SUM(B43:Q43)</f>
        <v/>
      </c>
      <c r="T43" s="41">
        <f>B43/$R43</f>
        <v/>
      </c>
      <c r="U43" s="41">
        <f>C43/$R43</f>
        <v/>
      </c>
      <c r="V43" s="41">
        <f>D43/$R43</f>
        <v/>
      </c>
      <c r="W43" s="41">
        <f>E43/$R43</f>
        <v/>
      </c>
      <c r="X43" s="41">
        <f>F43/$R43</f>
        <v/>
      </c>
      <c r="Y43" s="41">
        <f>G43/$R43</f>
        <v/>
      </c>
      <c r="Z43" s="41">
        <f>H43/$R43</f>
        <v/>
      </c>
      <c r="AA43" s="41">
        <f>I43/$R43</f>
        <v/>
      </c>
      <c r="AB43" s="41">
        <f>J43/$R43</f>
        <v/>
      </c>
      <c r="AC43" s="41">
        <f>K43/$R43</f>
        <v/>
      </c>
      <c r="AD43" s="41">
        <f>L43/$R43</f>
        <v/>
      </c>
      <c r="AE43" s="41">
        <f>M43/$R43</f>
        <v/>
      </c>
      <c r="AF43" s="41">
        <f>N43/$R43</f>
        <v/>
      </c>
      <c r="AG43" s="41">
        <f>O43/$R43</f>
        <v/>
      </c>
      <c r="AH43" s="41">
        <f>P43/$R43</f>
        <v/>
      </c>
      <c r="AI43" s="41">
        <f>Q43/$R43</f>
        <v/>
      </c>
      <c r="AJ43" s="41">
        <f>SUM(T43:W43)</f>
        <v/>
      </c>
      <c r="AK43" s="45">
        <f>SUM(X43:Z43)+AD43</f>
        <v/>
      </c>
      <c r="AL43" s="45">
        <f>SUM(AF43:AI43)+AJ43</f>
        <v/>
      </c>
      <c r="AM43" s="45">
        <f>AK43+AL43</f>
        <v/>
      </c>
      <c r="AN43" s="45" t="n"/>
    </row>
    <row r="44" hidden="1" ht="15.75" customHeight="1" s="259">
      <c r="A44" s="8" t="n">
        <v>45099</v>
      </c>
      <c r="B44" t="n">
        <v>0</v>
      </c>
      <c r="C44" t="n">
        <v>0</v>
      </c>
      <c r="D44" t="n">
        <v>0.24</v>
      </c>
      <c r="E44" t="n">
        <v>0</v>
      </c>
      <c r="F44" t="n">
        <v>0</v>
      </c>
      <c r="G44" t="n">
        <v>3.64</v>
      </c>
      <c r="H44" t="n">
        <v>0.5</v>
      </c>
      <c r="I44" t="n">
        <v>20.95</v>
      </c>
      <c r="J44" t="n">
        <v>0.83</v>
      </c>
      <c r="K44" t="n">
        <v>5.76</v>
      </c>
      <c r="L44" t="n">
        <v>0.38</v>
      </c>
      <c r="M44" t="n">
        <v>0.08</v>
      </c>
      <c r="N44" t="n">
        <v>0</v>
      </c>
      <c r="O44" t="n">
        <v>0.08</v>
      </c>
      <c r="P44" t="n">
        <v>0</v>
      </c>
      <c r="Q44" t="n">
        <v>0.62</v>
      </c>
      <c r="R44">
        <f>SUM(B44:Q44)</f>
        <v/>
      </c>
      <c r="T44" s="41">
        <f>B44/$R44</f>
        <v/>
      </c>
      <c r="U44" s="41">
        <f>C44/$R44</f>
        <v/>
      </c>
      <c r="V44" s="41">
        <f>D44/$R44</f>
        <v/>
      </c>
      <c r="W44" s="41">
        <f>E44/$R44</f>
        <v/>
      </c>
      <c r="X44" s="41">
        <f>F44/$R44</f>
        <v/>
      </c>
      <c r="Y44" s="41">
        <f>G44/$R44</f>
        <v/>
      </c>
      <c r="Z44" s="41">
        <f>H44/$R44</f>
        <v/>
      </c>
      <c r="AA44" s="41">
        <f>I44/$R44</f>
        <v/>
      </c>
      <c r="AB44" s="41">
        <f>J44/$R44</f>
        <v/>
      </c>
      <c r="AC44" s="41">
        <f>K44/$R44</f>
        <v/>
      </c>
      <c r="AD44" s="41">
        <f>L44/$R44</f>
        <v/>
      </c>
      <c r="AE44" s="41">
        <f>M44/$R44</f>
        <v/>
      </c>
      <c r="AF44" s="41">
        <f>N44/$R44</f>
        <v/>
      </c>
      <c r="AG44" s="41">
        <f>O44/$R44</f>
        <v/>
      </c>
      <c r="AH44" s="41">
        <f>P44/$R44</f>
        <v/>
      </c>
      <c r="AI44" s="41">
        <f>Q44/$R44</f>
        <v/>
      </c>
      <c r="AJ44" s="41">
        <f>SUM(T44:W44)</f>
        <v/>
      </c>
      <c r="AK44" s="45">
        <f>SUM(X44:Z44)+AD44</f>
        <v/>
      </c>
      <c r="AL44" s="45">
        <f>SUM(AF44:AI44)+AJ44</f>
        <v/>
      </c>
      <c r="AM44" s="45">
        <f>AK44+AL44</f>
        <v/>
      </c>
      <c r="AN44" s="45" t="n"/>
    </row>
    <row r="45" hidden="1" ht="15.75" customHeight="1" s="259">
      <c r="A45" s="8" t="n">
        <v>45160</v>
      </c>
      <c r="B45" t="n">
        <v>0</v>
      </c>
      <c r="C45" t="n">
        <v>0.06</v>
      </c>
      <c r="D45" t="n">
        <v>0.04</v>
      </c>
      <c r="E45" t="n">
        <v>0</v>
      </c>
      <c r="F45" t="n">
        <v>0</v>
      </c>
      <c r="G45" t="n">
        <v>2.98</v>
      </c>
      <c r="H45" t="n">
        <v>0.68</v>
      </c>
      <c r="I45" t="n">
        <v>15.58</v>
      </c>
      <c r="J45" t="n">
        <v>0.92</v>
      </c>
      <c r="K45" t="n">
        <v>5.52</v>
      </c>
      <c r="L45" t="n">
        <v>0.24</v>
      </c>
      <c r="M45" t="n">
        <v>0</v>
      </c>
      <c r="N45" t="n">
        <v>0.04</v>
      </c>
      <c r="O45" t="n">
        <v>0.12</v>
      </c>
      <c r="P45" t="n">
        <v>0.1</v>
      </c>
      <c r="Q45" t="n">
        <v>1</v>
      </c>
      <c r="R45">
        <f>SUM(B45:Q45)</f>
        <v/>
      </c>
      <c r="T45" s="41">
        <f>B45/$R45</f>
        <v/>
      </c>
      <c r="U45" s="41">
        <f>C45/$R45</f>
        <v/>
      </c>
      <c r="V45" s="41">
        <f>D45/$R45</f>
        <v/>
      </c>
      <c r="W45" s="41">
        <f>E45/$R45</f>
        <v/>
      </c>
      <c r="X45" s="41">
        <f>F45/$R45</f>
        <v/>
      </c>
      <c r="Y45" s="41">
        <f>G45/$R45</f>
        <v/>
      </c>
      <c r="Z45" s="41">
        <f>H45/$R45</f>
        <v/>
      </c>
      <c r="AA45" s="41">
        <f>I45/$R45</f>
        <v/>
      </c>
      <c r="AB45" s="41">
        <f>J45/$R45</f>
        <v/>
      </c>
      <c r="AC45" s="41">
        <f>K45/$R45</f>
        <v/>
      </c>
      <c r="AD45" s="41">
        <f>L45/$R45</f>
        <v/>
      </c>
      <c r="AE45" s="41">
        <f>M45/$R45</f>
        <v/>
      </c>
      <c r="AF45" s="41">
        <f>N45/$R45</f>
        <v/>
      </c>
      <c r="AG45" s="41">
        <f>O45/$R45</f>
        <v/>
      </c>
      <c r="AH45" s="41">
        <f>P45/$R45</f>
        <v/>
      </c>
      <c r="AI45" s="41">
        <f>Q45/$R45</f>
        <v/>
      </c>
      <c r="AJ45" s="41">
        <f>SUM(T45:W45)</f>
        <v/>
      </c>
      <c r="AK45" s="45">
        <f>SUM(X45:Z45)+AD45</f>
        <v/>
      </c>
      <c r="AL45" s="45">
        <f>SUM(AF45:AI45)+AJ45</f>
        <v/>
      </c>
      <c r="AM45" s="45">
        <f>AK45+AL45</f>
        <v/>
      </c>
      <c r="AN45" s="45" t="n"/>
    </row>
    <row r="46" hidden="1" ht="15.75" customHeight="1" s="259">
      <c r="A46" s="8" t="n">
        <v>45167</v>
      </c>
      <c r="B46" t="n">
        <v>0</v>
      </c>
      <c r="C46" t="n">
        <v>0</v>
      </c>
      <c r="D46" t="n">
        <v>0</v>
      </c>
      <c r="E46" t="n">
        <v>0</v>
      </c>
      <c r="F46" t="n">
        <v>0</v>
      </c>
      <c r="G46" t="n">
        <v>3.58</v>
      </c>
      <c r="H46" t="n">
        <v>0.7</v>
      </c>
      <c r="I46" t="n">
        <v>19.72</v>
      </c>
      <c r="J46" t="n">
        <v>0.48</v>
      </c>
      <c r="K46" t="n">
        <v>4.54</v>
      </c>
      <c r="L46" t="n">
        <v>0.18</v>
      </c>
      <c r="M46" t="n">
        <v>0</v>
      </c>
      <c r="N46" t="n">
        <v>0</v>
      </c>
      <c r="O46" t="n">
        <v>0.24</v>
      </c>
      <c r="P46" t="n">
        <v>0.02</v>
      </c>
      <c r="Q46" t="n">
        <v>0.78</v>
      </c>
      <c r="R46">
        <f>SUM(B46:Q46)</f>
        <v/>
      </c>
      <c r="T46" s="41">
        <f>B46/$R46</f>
        <v/>
      </c>
      <c r="U46" s="41">
        <f>C46/$R46</f>
        <v/>
      </c>
      <c r="V46" s="41">
        <f>D46/$R46</f>
        <v/>
      </c>
      <c r="W46" s="41">
        <f>E46/$R46</f>
        <v/>
      </c>
      <c r="X46" s="41">
        <f>F46/$R46</f>
        <v/>
      </c>
      <c r="Y46" s="41">
        <f>G46/$R46</f>
        <v/>
      </c>
      <c r="Z46" s="41">
        <f>H46/$R46</f>
        <v/>
      </c>
      <c r="AA46" s="41">
        <f>I46/$R46</f>
        <v/>
      </c>
      <c r="AB46" s="41">
        <f>J46/$R46</f>
        <v/>
      </c>
      <c r="AC46" s="41">
        <f>K46/$R46</f>
        <v/>
      </c>
      <c r="AD46" s="41">
        <f>L46/$R46</f>
        <v/>
      </c>
      <c r="AE46" s="41">
        <f>M46/$R46</f>
        <v/>
      </c>
      <c r="AF46" s="41">
        <f>N46/$R46</f>
        <v/>
      </c>
      <c r="AG46" s="41">
        <f>O46/$R46</f>
        <v/>
      </c>
      <c r="AH46" s="41">
        <f>P46/$R46</f>
        <v/>
      </c>
      <c r="AI46" s="41">
        <f>Q46/$R46</f>
        <v/>
      </c>
      <c r="AJ46" s="41">
        <f>SUM(T46:W46)</f>
        <v/>
      </c>
      <c r="AK46" s="45">
        <f>SUM(X46:Z46)+AD46</f>
        <v/>
      </c>
      <c r="AL46" s="45">
        <f>SUM(AF46:AI46)+AJ46</f>
        <v/>
      </c>
      <c r="AM46" s="45">
        <f>AK46+AL46</f>
        <v/>
      </c>
      <c r="AN46" s="45" t="n"/>
    </row>
    <row r="47" hidden="1" ht="15.75" customHeight="1" s="259">
      <c r="A47" s="8" t="n">
        <v>45171</v>
      </c>
      <c r="B47" t="n">
        <v>0</v>
      </c>
      <c r="C47" t="n">
        <v>0</v>
      </c>
      <c r="D47" t="n">
        <v>0</v>
      </c>
      <c r="E47" t="n">
        <v>0</v>
      </c>
      <c r="F47" t="n">
        <v>0</v>
      </c>
      <c r="G47" t="n">
        <v>2.7</v>
      </c>
      <c r="H47" t="n">
        <v>0.14</v>
      </c>
      <c r="I47" t="n">
        <v>19.94</v>
      </c>
      <c r="J47" t="n">
        <v>0.98</v>
      </c>
      <c r="K47" t="n">
        <v>5.8</v>
      </c>
      <c r="L47" t="n">
        <v>0.22</v>
      </c>
      <c r="M47" t="n">
        <v>0</v>
      </c>
      <c r="N47" t="n">
        <v>0</v>
      </c>
      <c r="O47" t="n">
        <v>0.02</v>
      </c>
      <c r="P47" t="n">
        <v>0.1</v>
      </c>
      <c r="Q47" t="n">
        <v>0.26</v>
      </c>
      <c r="R47">
        <f>SUM(B47:Q47)</f>
        <v/>
      </c>
      <c r="T47" s="41">
        <f>B47/$R47</f>
        <v/>
      </c>
      <c r="U47" s="41">
        <f>C47/$R47</f>
        <v/>
      </c>
      <c r="V47" s="41">
        <f>D47/$R47</f>
        <v/>
      </c>
      <c r="W47" s="41">
        <f>E47/$R47</f>
        <v/>
      </c>
      <c r="X47" s="41">
        <f>F47/$R47</f>
        <v/>
      </c>
      <c r="Y47" s="41">
        <f>G47/$R47</f>
        <v/>
      </c>
      <c r="Z47" s="41">
        <f>H47/$R47</f>
        <v/>
      </c>
      <c r="AA47" s="41">
        <f>I47/$R47</f>
        <v/>
      </c>
      <c r="AB47" s="41">
        <f>J47/$R47</f>
        <v/>
      </c>
      <c r="AC47" s="41">
        <f>K47/$R47</f>
        <v/>
      </c>
      <c r="AD47" s="41">
        <f>L47/$R47</f>
        <v/>
      </c>
      <c r="AE47" s="41">
        <f>M47/$R47</f>
        <v/>
      </c>
      <c r="AF47" s="41">
        <f>N47/$R47</f>
        <v/>
      </c>
      <c r="AG47" s="41">
        <f>O47/$R47</f>
        <v/>
      </c>
      <c r="AH47" s="41">
        <f>P47/$R47</f>
        <v/>
      </c>
      <c r="AI47" s="41">
        <f>Q47/$R47</f>
        <v/>
      </c>
      <c r="AJ47" s="41">
        <f>SUM(T47:W47)</f>
        <v/>
      </c>
      <c r="AK47" s="45">
        <f>SUM(X47:Z47)+AD47</f>
        <v/>
      </c>
      <c r="AL47" s="45">
        <f>SUM(AF47:AI47)+AJ47</f>
        <v/>
      </c>
      <c r="AM47" s="45">
        <f>AK47+AL47</f>
        <v/>
      </c>
      <c r="AN47" s="45" t="n"/>
    </row>
    <row r="48" hidden="1" ht="15.75" customHeight="1" s="259">
      <c r="A48" s="8" t="n">
        <v>45196</v>
      </c>
      <c r="B48" t="n">
        <v>0.1</v>
      </c>
      <c r="C48" t="n">
        <v>0</v>
      </c>
      <c r="D48" t="n">
        <v>0</v>
      </c>
      <c r="E48" t="n">
        <v>0</v>
      </c>
      <c r="F48" t="n">
        <v>0.02</v>
      </c>
      <c r="G48" t="n">
        <v>2.08</v>
      </c>
      <c r="H48" t="n">
        <v>0.28</v>
      </c>
      <c r="I48" t="n">
        <v>18.01</v>
      </c>
      <c r="J48" t="n">
        <v>0.72</v>
      </c>
      <c r="K48" t="n">
        <v>4.42</v>
      </c>
      <c r="L48" t="n">
        <v>0.02</v>
      </c>
      <c r="M48" t="n">
        <v>0</v>
      </c>
      <c r="N48" t="n">
        <v>0</v>
      </c>
      <c r="O48" t="n">
        <v>0</v>
      </c>
      <c r="P48" t="n">
        <v>0.02</v>
      </c>
      <c r="Q48" t="n">
        <v>1.04</v>
      </c>
      <c r="R48">
        <f>SUM(B48:Q48)</f>
        <v/>
      </c>
      <c r="T48" s="41">
        <f>B48/$R48</f>
        <v/>
      </c>
      <c r="U48" s="41">
        <f>C48/$R48</f>
        <v/>
      </c>
      <c r="V48" s="41">
        <f>D48/$R48</f>
        <v/>
      </c>
      <c r="W48" s="41">
        <f>E48/$R48</f>
        <v/>
      </c>
      <c r="X48" s="41">
        <f>F48/$R48</f>
        <v/>
      </c>
      <c r="Y48" s="41">
        <f>G48/$R48</f>
        <v/>
      </c>
      <c r="Z48" s="41">
        <f>H48/$R48</f>
        <v/>
      </c>
      <c r="AA48" s="41">
        <f>I48/$R48</f>
        <v/>
      </c>
      <c r="AB48" s="41">
        <f>J48/$R48</f>
        <v/>
      </c>
      <c r="AC48" s="41">
        <f>K48/$R48</f>
        <v/>
      </c>
      <c r="AD48" s="41">
        <f>L48/$R48</f>
        <v/>
      </c>
      <c r="AE48" s="41">
        <f>M48/$R48</f>
        <v/>
      </c>
      <c r="AF48" s="41">
        <f>N48/$R48</f>
        <v/>
      </c>
      <c r="AG48" s="41">
        <f>O48/$R48</f>
        <v/>
      </c>
      <c r="AH48" s="41">
        <f>P48/$R48</f>
        <v/>
      </c>
      <c r="AI48" s="41">
        <f>Q48/$R48</f>
        <v/>
      </c>
      <c r="AJ48" s="41">
        <f>SUM(T48:W48)</f>
        <v/>
      </c>
      <c r="AK48" s="45">
        <f>SUM(X48:Z48)+AD48</f>
        <v/>
      </c>
      <c r="AL48" s="45">
        <f>SUM(AF48:AI48)+AJ48</f>
        <v/>
      </c>
      <c r="AM48" s="45">
        <f>AK48+AL48</f>
        <v/>
      </c>
      <c r="AN48" s="45" t="n"/>
    </row>
    <row r="49" hidden="1" ht="15.75" customHeight="1" s="259">
      <c r="A49" s="8" t="n">
        <v>45224</v>
      </c>
      <c r="B49" t="n">
        <v>0</v>
      </c>
      <c r="C49" t="n">
        <v>0</v>
      </c>
      <c r="D49" t="n">
        <v>0</v>
      </c>
      <c r="E49" t="n">
        <v>0</v>
      </c>
      <c r="F49" t="n">
        <v>0</v>
      </c>
      <c r="G49" t="n">
        <v>2.38</v>
      </c>
      <c r="H49" t="n">
        <v>0.48</v>
      </c>
      <c r="I49" t="n">
        <v>22.64</v>
      </c>
      <c r="J49" t="n">
        <v>1.14</v>
      </c>
      <c r="K49" t="n">
        <v>5.28</v>
      </c>
      <c r="L49" t="n">
        <v>0.26</v>
      </c>
      <c r="M49" t="n">
        <v>0</v>
      </c>
      <c r="N49" t="n">
        <v>0</v>
      </c>
      <c r="O49" t="n">
        <v>0.1</v>
      </c>
      <c r="P49" t="n">
        <v>0</v>
      </c>
      <c r="Q49" t="n">
        <v>1.18</v>
      </c>
      <c r="R49">
        <f>SUM(B49:Q49)</f>
        <v/>
      </c>
      <c r="T49" s="41">
        <f>B49/$R49</f>
        <v/>
      </c>
      <c r="U49" s="41">
        <f>C49/$R49</f>
        <v/>
      </c>
      <c r="V49" s="41">
        <f>D49/$R49</f>
        <v/>
      </c>
      <c r="W49" s="41">
        <f>E49/$R49</f>
        <v/>
      </c>
      <c r="X49" s="41">
        <f>F49/$R49</f>
        <v/>
      </c>
      <c r="Y49" s="41">
        <f>G49/$R49</f>
        <v/>
      </c>
      <c r="Z49" s="41">
        <f>H49/$R49</f>
        <v/>
      </c>
      <c r="AA49" s="41">
        <f>I49/$R49</f>
        <v/>
      </c>
      <c r="AB49" s="41">
        <f>J49/$R49</f>
        <v/>
      </c>
      <c r="AC49" s="41">
        <f>K49/$R49</f>
        <v/>
      </c>
      <c r="AD49" s="41">
        <f>L49/$R49</f>
        <v/>
      </c>
      <c r="AE49" s="41">
        <f>M49/$R49</f>
        <v/>
      </c>
      <c r="AF49" s="41">
        <f>N49/$R49</f>
        <v/>
      </c>
      <c r="AG49" s="41">
        <f>O49/$R49</f>
        <v/>
      </c>
      <c r="AH49" s="41">
        <f>P49/$R49</f>
        <v/>
      </c>
      <c r="AI49" s="41">
        <f>Q49/$R49</f>
        <v/>
      </c>
      <c r="AJ49" s="41">
        <f>SUM(T49:W49)</f>
        <v/>
      </c>
      <c r="AK49" s="45">
        <f>SUM(X49:Z49)+AD49</f>
        <v/>
      </c>
      <c r="AL49" s="45">
        <f>SUM(AF49:AI49)+AJ49</f>
        <v/>
      </c>
      <c r="AM49" s="45">
        <f>AK49+AL49</f>
        <v/>
      </c>
      <c r="AN49" s="45" t="n"/>
    </row>
    <row r="50" hidden="1" ht="15.75" customHeight="1" s="259">
      <c r="A50" s="8" t="n">
        <v>45232</v>
      </c>
      <c r="B50" t="n">
        <v>0</v>
      </c>
      <c r="C50" t="n">
        <v>0.04</v>
      </c>
      <c r="D50" t="n">
        <v>0</v>
      </c>
      <c r="E50" t="n">
        <v>0.02</v>
      </c>
      <c r="F50" t="n">
        <v>0.1</v>
      </c>
      <c r="G50" t="n">
        <v>2.3</v>
      </c>
      <c r="H50" t="n">
        <v>0.14</v>
      </c>
      <c r="I50" t="n">
        <v>23.84</v>
      </c>
      <c r="J50" t="n">
        <v>1.58</v>
      </c>
      <c r="K50" t="n">
        <v>6.56</v>
      </c>
      <c r="L50" t="n">
        <v>0.09</v>
      </c>
      <c r="M50" t="n">
        <v>0</v>
      </c>
      <c r="N50" t="n">
        <v>0</v>
      </c>
      <c r="O50" t="n">
        <v>0</v>
      </c>
      <c r="P50" t="n">
        <v>0.04</v>
      </c>
      <c r="Q50" t="n">
        <v>1.04</v>
      </c>
      <c r="R50">
        <f>SUM(B50:Q50)</f>
        <v/>
      </c>
      <c r="T50" s="41">
        <f>B50/$R50</f>
        <v/>
      </c>
      <c r="U50" s="41">
        <f>C50/$R50</f>
        <v/>
      </c>
      <c r="V50" s="41">
        <f>D50/$R50</f>
        <v/>
      </c>
      <c r="W50" s="41">
        <f>E50/$R50</f>
        <v/>
      </c>
      <c r="X50" s="41">
        <f>F50/$R50</f>
        <v/>
      </c>
      <c r="Y50" s="41">
        <f>G50/$R50</f>
        <v/>
      </c>
      <c r="Z50" s="41">
        <f>H50/$R50</f>
        <v/>
      </c>
      <c r="AA50" s="41">
        <f>I50/$R50</f>
        <v/>
      </c>
      <c r="AB50" s="41">
        <f>J50/$R50</f>
        <v/>
      </c>
      <c r="AC50" s="41">
        <f>K50/$R50</f>
        <v/>
      </c>
      <c r="AD50" s="41">
        <f>L50/$R50</f>
        <v/>
      </c>
      <c r="AE50" s="41">
        <f>M50/$R50</f>
        <v/>
      </c>
      <c r="AF50" s="41">
        <f>N50/$R50</f>
        <v/>
      </c>
      <c r="AG50" s="41">
        <f>O50/$R50</f>
        <v/>
      </c>
      <c r="AH50" s="41">
        <f>P50/$R50</f>
        <v/>
      </c>
      <c r="AI50" s="41">
        <f>Q50/$R50</f>
        <v/>
      </c>
      <c r="AJ50" s="41">
        <f>SUM(T50:W50)</f>
        <v/>
      </c>
      <c r="AK50" s="45">
        <f>SUM(X50:Z50)+AD50</f>
        <v/>
      </c>
      <c r="AL50" s="45">
        <f>SUM(AF50:AI50)+AJ50</f>
        <v/>
      </c>
      <c r="AM50" s="45">
        <f>AK50+AL50</f>
        <v/>
      </c>
      <c r="AN50" s="45" t="n"/>
    </row>
    <row r="51" hidden="1" ht="15.75" customHeight="1" s="259">
      <c r="A51" s="8" t="n">
        <v>45244</v>
      </c>
      <c r="B51" t="n">
        <v>0</v>
      </c>
      <c r="C51" t="n">
        <v>0</v>
      </c>
      <c r="D51" t="n">
        <v>0</v>
      </c>
      <c r="E51" t="n">
        <v>0</v>
      </c>
      <c r="F51" t="n">
        <v>0</v>
      </c>
      <c r="G51" t="n">
        <v>2.8</v>
      </c>
      <c r="H51" t="n">
        <v>0.18</v>
      </c>
      <c r="I51" t="n">
        <v>23.14</v>
      </c>
      <c r="J51" t="n">
        <v>0.78</v>
      </c>
      <c r="K51" t="n">
        <v>6.04</v>
      </c>
      <c r="L51" t="n">
        <v>0.08</v>
      </c>
      <c r="M51" t="n">
        <v>0</v>
      </c>
      <c r="N51" t="n">
        <v>0</v>
      </c>
      <c r="O51" t="n">
        <v>0.1</v>
      </c>
      <c r="P51" t="n">
        <v>0</v>
      </c>
      <c r="Q51" t="n">
        <v>0.54</v>
      </c>
      <c r="R51">
        <f>SUM(B51:Q51)</f>
        <v/>
      </c>
      <c r="T51" s="41">
        <f>B51/$R51</f>
        <v/>
      </c>
      <c r="U51" s="41">
        <f>C51/$R51</f>
        <v/>
      </c>
      <c r="V51" s="41">
        <f>D51/$R51</f>
        <v/>
      </c>
      <c r="W51" s="41">
        <f>E51/$R51</f>
        <v/>
      </c>
      <c r="X51" s="41">
        <f>F51/$R51</f>
        <v/>
      </c>
      <c r="Y51" s="41">
        <f>G51/$R51</f>
        <v/>
      </c>
      <c r="Z51" s="41">
        <f>H51/$R51</f>
        <v/>
      </c>
      <c r="AA51" s="41">
        <f>I51/$R51</f>
        <v/>
      </c>
      <c r="AB51" s="41">
        <f>J51/$R51</f>
        <v/>
      </c>
      <c r="AC51" s="41">
        <f>K51/$R51</f>
        <v/>
      </c>
      <c r="AD51" s="41">
        <f>L51/$R51</f>
        <v/>
      </c>
      <c r="AE51" s="41">
        <f>M51/$R51</f>
        <v/>
      </c>
      <c r="AF51" s="41">
        <f>N51/$R51</f>
        <v/>
      </c>
      <c r="AG51" s="41">
        <f>O51/$R51</f>
        <v/>
      </c>
      <c r="AH51" s="41">
        <f>P51/$R51</f>
        <v/>
      </c>
      <c r="AI51" s="41">
        <f>Q51/$R51</f>
        <v/>
      </c>
      <c r="AJ51" s="41">
        <f>SUM(T51:W51)</f>
        <v/>
      </c>
      <c r="AK51" s="45">
        <f>SUM(X51:Z51)+AD51</f>
        <v/>
      </c>
      <c r="AL51" s="45">
        <f>SUM(AF51:AI51)+AJ51</f>
        <v/>
      </c>
      <c r="AM51" s="45">
        <f>AK51+AL51</f>
        <v/>
      </c>
      <c r="AN51" s="45" t="n"/>
    </row>
    <row r="52" hidden="1" ht="15.75" customHeight="1" s="259">
      <c r="A52" s="8" t="n">
        <v>45251</v>
      </c>
      <c r="B52" t="n">
        <v>0</v>
      </c>
      <c r="C52" t="n">
        <v>0</v>
      </c>
      <c r="D52" t="n">
        <v>0.12</v>
      </c>
      <c r="E52" t="n">
        <v>0</v>
      </c>
      <c r="F52" t="n">
        <v>0.04</v>
      </c>
      <c r="G52" t="n">
        <v>3.86</v>
      </c>
      <c r="H52" t="n">
        <v>0.78</v>
      </c>
      <c r="I52" t="n">
        <v>21.44</v>
      </c>
      <c r="J52" t="n">
        <v>0.98</v>
      </c>
      <c r="K52" t="n">
        <v>6.32</v>
      </c>
      <c r="L52" t="n">
        <v>0.18</v>
      </c>
      <c r="M52" t="n">
        <v>0</v>
      </c>
      <c r="N52" t="n">
        <v>0</v>
      </c>
      <c r="O52" t="n">
        <v>0.12</v>
      </c>
      <c r="P52" t="n">
        <v>0.06</v>
      </c>
      <c r="Q52" t="n">
        <v>1.6</v>
      </c>
      <c r="R52">
        <f>SUM(B52:Q52)</f>
        <v/>
      </c>
      <c r="T52" s="41">
        <f>B52/$R52</f>
        <v/>
      </c>
      <c r="U52" s="41">
        <f>C52/$R52</f>
        <v/>
      </c>
      <c r="V52" s="41">
        <f>D52/$R52</f>
        <v/>
      </c>
      <c r="W52" s="41">
        <f>E52/$R52</f>
        <v/>
      </c>
      <c r="X52" s="41">
        <f>F52/$R52</f>
        <v/>
      </c>
      <c r="Y52" s="41">
        <f>G52/$R52</f>
        <v/>
      </c>
      <c r="Z52" s="41">
        <f>H52/$R52</f>
        <v/>
      </c>
      <c r="AA52" s="41">
        <f>I52/$R52</f>
        <v/>
      </c>
      <c r="AB52" s="41">
        <f>J52/$R52</f>
        <v/>
      </c>
      <c r="AC52" s="41">
        <f>K52/$R52</f>
        <v/>
      </c>
      <c r="AD52" s="41">
        <f>L52/$R52</f>
        <v/>
      </c>
      <c r="AE52" s="41">
        <f>M52/$R52</f>
        <v/>
      </c>
      <c r="AF52" s="41">
        <f>N52/$R52</f>
        <v/>
      </c>
      <c r="AG52" s="41">
        <f>O52/$R52</f>
        <v/>
      </c>
      <c r="AH52" s="41">
        <f>P52/$R52</f>
        <v/>
      </c>
      <c r="AI52" s="41">
        <f>Q52/$R52</f>
        <v/>
      </c>
      <c r="AJ52" s="41">
        <f>SUM(T52:W52)</f>
        <v/>
      </c>
      <c r="AK52" s="45">
        <f>SUM(X52:Z52)+AD52</f>
        <v/>
      </c>
      <c r="AL52" s="45">
        <f>SUM(AF52:AI52)+AJ52</f>
        <v/>
      </c>
      <c r="AM52" s="45">
        <f>AK52+AL52</f>
        <v/>
      </c>
      <c r="AN52" s="45" t="n"/>
    </row>
    <row r="53" hidden="1" ht="15.75" customHeight="1" s="259">
      <c r="A53" s="8" t="n">
        <v>45288</v>
      </c>
      <c r="B53" t="n">
        <v>0</v>
      </c>
      <c r="C53" t="n">
        <v>0</v>
      </c>
      <c r="D53" t="n">
        <v>0.24</v>
      </c>
      <c r="E53" t="n">
        <v>0</v>
      </c>
      <c r="F53" t="n">
        <v>0.1</v>
      </c>
      <c r="G53" t="n">
        <v>2.96</v>
      </c>
      <c r="H53" t="n">
        <v>0.44</v>
      </c>
      <c r="I53" t="n">
        <v>17.92</v>
      </c>
      <c r="J53" t="n">
        <v>0.9</v>
      </c>
      <c r="K53" t="n">
        <v>5.46</v>
      </c>
      <c r="L53" t="n">
        <v>0.3</v>
      </c>
      <c r="M53" t="n">
        <v>0</v>
      </c>
      <c r="N53" t="n">
        <v>0</v>
      </c>
      <c r="O53" t="n">
        <v>0.04</v>
      </c>
      <c r="P53" t="n">
        <v>0</v>
      </c>
      <c r="Q53" t="n">
        <v>0.82</v>
      </c>
      <c r="R53">
        <f>SUM(B53:Q53)</f>
        <v/>
      </c>
      <c r="T53" s="41">
        <f>B53/$R53</f>
        <v/>
      </c>
      <c r="U53" s="41">
        <f>C53/$R53</f>
        <v/>
      </c>
      <c r="V53" s="41">
        <f>D53/$R53</f>
        <v/>
      </c>
      <c r="W53" s="41">
        <f>E53/$R53</f>
        <v/>
      </c>
      <c r="X53" s="41">
        <f>F53/$R53</f>
        <v/>
      </c>
      <c r="Y53" s="41">
        <f>G53/$R53</f>
        <v/>
      </c>
      <c r="Z53" s="41">
        <f>H53/$R53</f>
        <v/>
      </c>
      <c r="AA53" s="41">
        <f>I53/$R53</f>
        <v/>
      </c>
      <c r="AB53" s="41">
        <f>J53/$R53</f>
        <v/>
      </c>
      <c r="AC53" s="41">
        <f>K53/$R53</f>
        <v/>
      </c>
      <c r="AD53" s="41">
        <f>L53/$R53</f>
        <v/>
      </c>
      <c r="AE53" s="41">
        <f>M53/$R53</f>
        <v/>
      </c>
      <c r="AF53" s="41">
        <f>N53/$R53</f>
        <v/>
      </c>
      <c r="AG53" s="41">
        <f>O53/$R53</f>
        <v/>
      </c>
      <c r="AH53" s="41">
        <f>P53/$R53</f>
        <v/>
      </c>
      <c r="AI53" s="41">
        <f>Q53/$R53</f>
        <v/>
      </c>
      <c r="AJ53" s="41">
        <f>SUM(T53:W53)</f>
        <v/>
      </c>
      <c r="AK53" s="45">
        <f>SUM(X53:Z53)+AD53</f>
        <v/>
      </c>
      <c r="AL53" s="45">
        <f>SUM(AF53:AI53)+AJ53</f>
        <v/>
      </c>
      <c r="AM53" s="45">
        <f>AK53+AL53</f>
        <v/>
      </c>
      <c r="AN53" s="45" t="n"/>
    </row>
    <row r="54" hidden="1" ht="15.75" customHeight="1" s="259">
      <c r="A54" s="8" t="n">
        <v>45300</v>
      </c>
      <c r="B54" t="n">
        <v>0</v>
      </c>
      <c r="C54" t="n">
        <v>0</v>
      </c>
      <c r="D54" t="n">
        <v>0.22</v>
      </c>
      <c r="E54" t="n">
        <v>0</v>
      </c>
      <c r="F54" t="n">
        <v>0</v>
      </c>
      <c r="G54" t="n">
        <v>1.82</v>
      </c>
      <c r="H54" t="n">
        <v>0.18</v>
      </c>
      <c r="I54" t="n">
        <v>19.6</v>
      </c>
      <c r="J54" t="n">
        <v>3.45</v>
      </c>
      <c r="K54" t="n">
        <v>4.38</v>
      </c>
      <c r="L54" t="n">
        <v>0</v>
      </c>
      <c r="M54" t="n">
        <v>0</v>
      </c>
      <c r="N54" t="n">
        <v>0</v>
      </c>
      <c r="O54" t="n">
        <v>0</v>
      </c>
      <c r="P54" t="n">
        <v>0</v>
      </c>
      <c r="Q54" t="n">
        <v>0.96</v>
      </c>
      <c r="R54">
        <f>SUM(B54:Q54)</f>
        <v/>
      </c>
      <c r="T54" s="41">
        <f>B54/$R54</f>
        <v/>
      </c>
      <c r="U54" s="41">
        <f>C54/$R54</f>
        <v/>
      </c>
      <c r="V54" s="41">
        <f>D54/$R54</f>
        <v/>
      </c>
      <c r="W54" s="41">
        <f>E54/$R54</f>
        <v/>
      </c>
      <c r="X54" s="41">
        <f>F54/$R54</f>
        <v/>
      </c>
      <c r="Y54" s="41">
        <f>G54/$R54</f>
        <v/>
      </c>
      <c r="Z54" s="41">
        <f>H54/$R54</f>
        <v/>
      </c>
      <c r="AA54" s="41">
        <f>I54/$R54</f>
        <v/>
      </c>
      <c r="AB54" s="41">
        <f>J54/$R54</f>
        <v/>
      </c>
      <c r="AC54" s="41">
        <f>K54/$R54</f>
        <v/>
      </c>
      <c r="AD54" s="41">
        <f>L54/$R54</f>
        <v/>
      </c>
      <c r="AE54" s="41">
        <f>M54/$R54</f>
        <v/>
      </c>
      <c r="AF54" s="41">
        <f>N54/$R54</f>
        <v/>
      </c>
      <c r="AG54" s="41">
        <f>O54/$R54</f>
        <v/>
      </c>
      <c r="AH54" s="41">
        <f>P54/$R54</f>
        <v/>
      </c>
      <c r="AI54" s="41">
        <f>Q54/$R54</f>
        <v/>
      </c>
      <c r="AJ54" s="41">
        <f>SUM(T54:W54)</f>
        <v/>
      </c>
      <c r="AK54" s="45">
        <f>SUM(X54:Z54)+AD54</f>
        <v/>
      </c>
      <c r="AL54" s="45">
        <f>SUM(AF54:AI54)+AJ54</f>
        <v/>
      </c>
      <c r="AM54" s="45">
        <f>AK54+AL54</f>
        <v/>
      </c>
      <c r="AN54" s="45">
        <f>SUM(AA54:AC54)</f>
        <v/>
      </c>
      <c r="AO54">
        <f>YEAR(A54)</f>
        <v/>
      </c>
      <c r="AP54">
        <f>MONTH(A54)</f>
        <v/>
      </c>
      <c r="AQ54" t="n">
        <v>1</v>
      </c>
    </row>
    <row r="55" hidden="1" ht="15.75" customHeight="1" s="259">
      <c r="A55" s="8" t="n">
        <v>45324</v>
      </c>
      <c r="B55" t="n">
        <v>0</v>
      </c>
      <c r="C55" t="n">
        <v>0</v>
      </c>
      <c r="D55" t="n">
        <v>0.12</v>
      </c>
      <c r="E55" t="n">
        <v>0</v>
      </c>
      <c r="F55" t="n">
        <v>0</v>
      </c>
      <c r="G55" t="n">
        <v>1.82</v>
      </c>
      <c r="H55" t="n">
        <v>0.18</v>
      </c>
      <c r="I55" t="n">
        <v>19.3</v>
      </c>
      <c r="J55" t="n">
        <v>1.44</v>
      </c>
      <c r="K55" t="n">
        <v>8.1</v>
      </c>
      <c r="L55" t="n">
        <v>0.14</v>
      </c>
      <c r="M55" t="n">
        <v>0</v>
      </c>
      <c r="N55" t="n">
        <v>0</v>
      </c>
      <c r="O55" t="n">
        <v>0.08</v>
      </c>
      <c r="P55" t="n">
        <v>0.04</v>
      </c>
      <c r="Q55" t="n">
        <v>1.14</v>
      </c>
      <c r="R55">
        <f>SUM(B55:Q55)</f>
        <v/>
      </c>
      <c r="T55" s="41">
        <f>B55/$R55</f>
        <v/>
      </c>
      <c r="U55" s="41">
        <f>C55/$R55</f>
        <v/>
      </c>
      <c r="V55" s="41">
        <f>D55/$R55</f>
        <v/>
      </c>
      <c r="W55" s="41">
        <f>E55/$R55</f>
        <v/>
      </c>
      <c r="X55" s="41">
        <f>F55/$R55</f>
        <v/>
      </c>
      <c r="Y55" s="41">
        <f>G55/$R55</f>
        <v/>
      </c>
      <c r="Z55" s="41">
        <f>H55/$R55</f>
        <v/>
      </c>
      <c r="AA55" s="41">
        <f>I55/$R55</f>
        <v/>
      </c>
      <c r="AB55" s="41">
        <f>J55/$R55</f>
        <v/>
      </c>
      <c r="AC55" s="41">
        <f>K55/$R55</f>
        <v/>
      </c>
      <c r="AD55" s="41">
        <f>L55/$R55</f>
        <v/>
      </c>
      <c r="AE55" s="41">
        <f>M55/$R55</f>
        <v/>
      </c>
      <c r="AF55" s="41">
        <f>N55/$R55</f>
        <v/>
      </c>
      <c r="AG55" s="41">
        <f>O55/$R55</f>
        <v/>
      </c>
      <c r="AH55" s="41">
        <f>P55/$R55</f>
        <v/>
      </c>
      <c r="AI55" s="41">
        <f>Q55/$R55</f>
        <v/>
      </c>
      <c r="AJ55" s="41">
        <f>SUM(T55:W55)</f>
        <v/>
      </c>
      <c r="AK55" s="45">
        <f>SUM(X55:Z55)+AD55</f>
        <v/>
      </c>
      <c r="AL55" s="45">
        <f>SUM(AF55:AI55)+AJ55</f>
        <v/>
      </c>
      <c r="AM55" s="45">
        <f>AK55+AL55</f>
        <v/>
      </c>
      <c r="AN55" s="45">
        <f>SUM(AA55:AC55)</f>
        <v/>
      </c>
      <c r="AO55">
        <f>YEAR(A55)</f>
        <v/>
      </c>
      <c r="AP55">
        <f>MONTH(A55)</f>
        <v/>
      </c>
      <c r="AQ55">
        <f>AQ54+1</f>
        <v/>
      </c>
    </row>
    <row r="56" hidden="1" ht="15.75" customHeight="1" s="259">
      <c r="A56" s="64" t="n">
        <v>45393</v>
      </c>
      <c r="B56" t="n">
        <v>0</v>
      </c>
      <c r="C56" t="n">
        <v>0</v>
      </c>
      <c r="D56" t="n">
        <v>0</v>
      </c>
      <c r="E56" t="n">
        <v>0</v>
      </c>
      <c r="F56" t="n">
        <v>0</v>
      </c>
      <c r="G56" t="n">
        <v>1.2</v>
      </c>
      <c r="H56" t="n">
        <v>0.4</v>
      </c>
      <c r="I56" t="n">
        <v>4.88</v>
      </c>
      <c r="K56" t="n">
        <v>2.22</v>
      </c>
      <c r="L56" t="n">
        <v>0.04</v>
      </c>
      <c r="M56" t="n">
        <v>0</v>
      </c>
      <c r="N56" t="n">
        <v>0</v>
      </c>
      <c r="O56" t="n">
        <v>0</v>
      </c>
      <c r="P56" t="n">
        <v>0</v>
      </c>
      <c r="Q56" t="n">
        <v>0.44</v>
      </c>
      <c r="R56">
        <f>SUM(B56:Q56)</f>
        <v/>
      </c>
      <c r="T56" s="41">
        <f>B56/$R56</f>
        <v/>
      </c>
      <c r="U56" s="41">
        <f>C56/$R56</f>
        <v/>
      </c>
      <c r="V56" s="41">
        <f>D56/$R56</f>
        <v/>
      </c>
      <c r="W56" s="41">
        <f>E56/$R56</f>
        <v/>
      </c>
      <c r="X56" s="41">
        <f>F56/$R56</f>
        <v/>
      </c>
      <c r="Y56" s="41">
        <f>G56/$R56</f>
        <v/>
      </c>
      <c r="Z56" s="41">
        <f>H56/$R56</f>
        <v/>
      </c>
      <c r="AA56" s="41">
        <f>I56/$R56</f>
        <v/>
      </c>
      <c r="AB56" s="41">
        <f>J56/$R56</f>
        <v/>
      </c>
      <c r="AC56" s="41">
        <f>K56/$R56</f>
        <v/>
      </c>
      <c r="AD56" s="41">
        <f>L56/$R56</f>
        <v/>
      </c>
      <c r="AE56" s="41">
        <f>M56/$R56</f>
        <v/>
      </c>
      <c r="AF56" s="41">
        <f>N56/$R56</f>
        <v/>
      </c>
      <c r="AG56" s="41">
        <f>O56/$R56</f>
        <v/>
      </c>
      <c r="AH56" s="41">
        <f>P56/$R56</f>
        <v/>
      </c>
      <c r="AI56" s="41">
        <f>Q56/$R56</f>
        <v/>
      </c>
      <c r="AJ56" s="41">
        <f>SUM(T56:W56)</f>
        <v/>
      </c>
      <c r="AK56" s="45">
        <f>SUM(X56:Z56)+AD56</f>
        <v/>
      </c>
      <c r="AL56" s="45">
        <f>SUM(AF56:AI56)+AJ56</f>
        <v/>
      </c>
      <c r="AM56" s="45">
        <f>AK56+AL56</f>
        <v/>
      </c>
      <c r="AN56" s="45">
        <f>SUM(AA56:AC56)</f>
        <v/>
      </c>
      <c r="AO56">
        <f>YEAR(A56)</f>
        <v/>
      </c>
      <c r="AP56">
        <f>MONTH(A56)</f>
        <v/>
      </c>
      <c r="AQ56">
        <f>AQ55+1</f>
        <v/>
      </c>
    </row>
    <row r="57" hidden="1" ht="15.75" customHeight="1" s="259">
      <c r="A57" s="9" t="n">
        <v>45397</v>
      </c>
      <c r="B57" t="n">
        <v>0</v>
      </c>
      <c r="C57" t="n">
        <v>0</v>
      </c>
      <c r="D57" t="n">
        <v>0</v>
      </c>
      <c r="E57" t="n">
        <v>0</v>
      </c>
      <c r="F57" t="n">
        <v>0</v>
      </c>
      <c r="G57" t="n">
        <v>1.44</v>
      </c>
      <c r="H57" t="n">
        <v>0.38</v>
      </c>
      <c r="I57" t="n">
        <v>6.34</v>
      </c>
      <c r="J57" t="n">
        <v>0</v>
      </c>
      <c r="K57" t="n">
        <v>2.62</v>
      </c>
      <c r="L57" t="n">
        <v>0</v>
      </c>
      <c r="M57" t="n">
        <v>0</v>
      </c>
      <c r="N57" t="n">
        <v>0</v>
      </c>
      <c r="O57" t="n">
        <v>0</v>
      </c>
      <c r="P57" t="n">
        <v>0</v>
      </c>
      <c r="Q57" t="n">
        <v>0.78</v>
      </c>
      <c r="R57">
        <f>SUM(B57:Q57)</f>
        <v/>
      </c>
      <c r="T57" s="41">
        <f>B57/$R57</f>
        <v/>
      </c>
      <c r="U57" s="41">
        <f>C57/$R57</f>
        <v/>
      </c>
      <c r="V57" s="41">
        <f>D57/$R57</f>
        <v/>
      </c>
      <c r="W57" s="41">
        <f>E57/$R57</f>
        <v/>
      </c>
      <c r="X57" s="41">
        <f>F57/$R57</f>
        <v/>
      </c>
      <c r="Y57" s="41">
        <f>G57/$R57</f>
        <v/>
      </c>
      <c r="Z57" s="41">
        <f>H57/$R57</f>
        <v/>
      </c>
      <c r="AA57" s="41">
        <f>I57/$R57</f>
        <v/>
      </c>
      <c r="AB57" s="41">
        <f>J57/$R57</f>
        <v/>
      </c>
      <c r="AC57" s="41">
        <f>K57/$R57</f>
        <v/>
      </c>
      <c r="AD57" s="41">
        <f>L57/$R57</f>
        <v/>
      </c>
      <c r="AE57" s="41">
        <f>M57/$R57</f>
        <v/>
      </c>
      <c r="AF57" s="41">
        <f>N57/$R57</f>
        <v/>
      </c>
      <c r="AG57" s="41">
        <f>O57/$R57</f>
        <v/>
      </c>
      <c r="AH57" s="41">
        <f>P57/$R57</f>
        <v/>
      </c>
      <c r="AI57" s="41">
        <f>Q57/$R57</f>
        <v/>
      </c>
      <c r="AJ57" s="41">
        <f>SUM(T57:W57)</f>
        <v/>
      </c>
      <c r="AK57" s="45">
        <f>SUM(X57:Z57)+AD57</f>
        <v/>
      </c>
      <c r="AL57" s="45">
        <f>SUM(AF57:AI57)+AJ57</f>
        <v/>
      </c>
      <c r="AM57" s="45">
        <f>AK57+AL57</f>
        <v/>
      </c>
      <c r="AN57" s="45">
        <f>SUM(AA57:AC57)</f>
        <v/>
      </c>
      <c r="AO57">
        <f>YEAR(A57)</f>
        <v/>
      </c>
      <c r="AP57">
        <f>MONTH(A57)</f>
        <v/>
      </c>
      <c r="AQ57">
        <f>AQ56+1</f>
        <v/>
      </c>
    </row>
    <row r="58" hidden="1" ht="15.75" customHeight="1" s="259">
      <c r="A58" s="8" t="n">
        <v>45400</v>
      </c>
      <c r="B58" t="n">
        <v>0</v>
      </c>
      <c r="C58" t="n">
        <v>0</v>
      </c>
      <c r="D58" t="n">
        <v>0</v>
      </c>
      <c r="E58" t="n">
        <v>0</v>
      </c>
      <c r="F58" t="n">
        <v>0</v>
      </c>
      <c r="G58" t="n">
        <v>0.7</v>
      </c>
      <c r="H58" t="n">
        <v>0.46</v>
      </c>
      <c r="I58" t="n">
        <v>3</v>
      </c>
      <c r="J58" t="n">
        <v>0</v>
      </c>
      <c r="K58" t="n">
        <v>1.5</v>
      </c>
      <c r="L58" t="n">
        <v>0.02</v>
      </c>
      <c r="M58" t="n">
        <v>0</v>
      </c>
      <c r="N58" t="n">
        <v>0</v>
      </c>
      <c r="O58" t="n">
        <v>0</v>
      </c>
      <c r="P58" t="n">
        <v>0</v>
      </c>
      <c r="Q58" t="n">
        <v>0.22</v>
      </c>
      <c r="R58">
        <f>SUM(B58:Q58)</f>
        <v/>
      </c>
      <c r="T58" s="41">
        <f>B58/$R58</f>
        <v/>
      </c>
      <c r="U58" s="41">
        <f>C58/$R58</f>
        <v/>
      </c>
      <c r="V58" s="41">
        <f>D58/$R58</f>
        <v/>
      </c>
      <c r="W58" s="41">
        <f>E58/$R58</f>
        <v/>
      </c>
      <c r="X58" s="41">
        <f>F58/$R58</f>
        <v/>
      </c>
      <c r="Y58" s="41">
        <f>G58/$R58</f>
        <v/>
      </c>
      <c r="Z58" s="41">
        <f>H58/$R58</f>
        <v/>
      </c>
      <c r="AA58" s="41">
        <f>I58/$R58</f>
        <v/>
      </c>
      <c r="AB58" s="41">
        <f>J58/$R58</f>
        <v/>
      </c>
      <c r="AC58" s="41">
        <f>K58/$R58</f>
        <v/>
      </c>
      <c r="AD58" s="41">
        <f>L58/$R58</f>
        <v/>
      </c>
      <c r="AE58" s="41">
        <f>M58/$R58</f>
        <v/>
      </c>
      <c r="AF58" s="41">
        <f>N58/$R58</f>
        <v/>
      </c>
      <c r="AG58" s="41">
        <f>O58/$R58</f>
        <v/>
      </c>
      <c r="AH58" s="41">
        <f>P58/$R58</f>
        <v/>
      </c>
      <c r="AI58" s="41">
        <f>Q58/$R58</f>
        <v/>
      </c>
      <c r="AJ58" s="41">
        <f>SUM(T58:W58)</f>
        <v/>
      </c>
      <c r="AK58" s="45">
        <f>SUM(X58:Z58)+AD58</f>
        <v/>
      </c>
      <c r="AL58" s="45">
        <f>SUM(AF58:AI58)+AJ58</f>
        <v/>
      </c>
      <c r="AM58" s="45">
        <f>AK58+AL58</f>
        <v/>
      </c>
      <c r="AN58" s="45">
        <f>SUM(AA58:AC58)</f>
        <v/>
      </c>
      <c r="AO58">
        <f>YEAR(A58)</f>
        <v/>
      </c>
      <c r="AP58">
        <f>MONTH(A58)</f>
        <v/>
      </c>
      <c r="AQ58">
        <f>AQ57+1</f>
        <v/>
      </c>
    </row>
    <row r="59" hidden="1" ht="15.75" customHeight="1" s="259">
      <c r="A59" s="8" t="n">
        <v>45405</v>
      </c>
      <c r="B59" t="n">
        <v>0</v>
      </c>
      <c r="C59" t="n">
        <v>0</v>
      </c>
      <c r="D59" t="n">
        <v>0</v>
      </c>
      <c r="E59" t="n">
        <v>0</v>
      </c>
      <c r="F59" t="n">
        <v>0</v>
      </c>
      <c r="G59" t="n">
        <v>1</v>
      </c>
      <c r="H59" t="n">
        <v>0.92</v>
      </c>
      <c r="I59" t="n">
        <v>4.3</v>
      </c>
      <c r="J59" t="n">
        <v>0</v>
      </c>
      <c r="K59" t="n">
        <v>2.64</v>
      </c>
      <c r="L59" t="n">
        <v>0.18</v>
      </c>
      <c r="M59" t="n">
        <v>0</v>
      </c>
      <c r="N59" t="n">
        <v>0</v>
      </c>
      <c r="O59" t="n">
        <v>0.02</v>
      </c>
      <c r="P59" t="n">
        <v>0</v>
      </c>
      <c r="Q59" t="n">
        <v>0.52</v>
      </c>
      <c r="R59">
        <f>SUM(B59:Q59)</f>
        <v/>
      </c>
      <c r="T59" s="41">
        <f>B59/$R59</f>
        <v/>
      </c>
      <c r="U59" s="41">
        <f>C59/$R59</f>
        <v/>
      </c>
      <c r="V59" s="41">
        <f>D59/$R59</f>
        <v/>
      </c>
      <c r="W59" s="41">
        <f>E59/$R59</f>
        <v/>
      </c>
      <c r="X59" s="41">
        <f>F59/$R59</f>
        <v/>
      </c>
      <c r="Y59" s="41">
        <f>G59/$R59</f>
        <v/>
      </c>
      <c r="Z59" s="41">
        <f>H59/$R59</f>
        <v/>
      </c>
      <c r="AA59" s="41">
        <f>I59/$R59</f>
        <v/>
      </c>
      <c r="AB59" s="41">
        <f>J59/$R59</f>
        <v/>
      </c>
      <c r="AC59" s="41">
        <f>K59/$R59</f>
        <v/>
      </c>
      <c r="AD59" s="41">
        <f>L59/$R59</f>
        <v/>
      </c>
      <c r="AE59" s="41">
        <f>M59/$R59</f>
        <v/>
      </c>
      <c r="AF59" s="41">
        <f>N59/$R59</f>
        <v/>
      </c>
      <c r="AG59" s="41">
        <f>O59/$R59</f>
        <v/>
      </c>
      <c r="AH59" s="41">
        <f>P59/$R59</f>
        <v/>
      </c>
      <c r="AI59" s="41">
        <f>Q59/$R59</f>
        <v/>
      </c>
      <c r="AJ59" s="41">
        <f>SUM(T59:W59)</f>
        <v/>
      </c>
      <c r="AK59" s="45">
        <f>SUM(X59:Z59)+AD59</f>
        <v/>
      </c>
      <c r="AL59" s="45">
        <f>SUM(AF59:AI59)+AJ59</f>
        <v/>
      </c>
      <c r="AM59" s="45">
        <f>AK59+AL59</f>
        <v/>
      </c>
      <c r="AN59" s="45">
        <f>SUM(AA59:AC59)</f>
        <v/>
      </c>
      <c r="AO59">
        <f>YEAR(A59)</f>
        <v/>
      </c>
      <c r="AP59">
        <f>MONTH(A59)</f>
        <v/>
      </c>
      <c r="AQ59">
        <f>AQ58+1</f>
        <v/>
      </c>
    </row>
    <row r="60" hidden="1" ht="15.75" customHeight="1" s="259">
      <c r="A60" s="8" t="n">
        <v>45411</v>
      </c>
      <c r="B60" t="n">
        <v>0.02</v>
      </c>
      <c r="C60" t="n">
        <v>0</v>
      </c>
      <c r="D60" t="n">
        <v>0</v>
      </c>
      <c r="E60" t="n">
        <v>0</v>
      </c>
      <c r="F60" t="n">
        <v>0.02</v>
      </c>
      <c r="G60" t="n">
        <v>2.76</v>
      </c>
      <c r="H60" t="n">
        <v>0.5</v>
      </c>
      <c r="I60" t="n">
        <v>9.42</v>
      </c>
      <c r="J60" t="n">
        <v>0.44</v>
      </c>
      <c r="K60" t="n">
        <v>3.78</v>
      </c>
      <c r="L60" t="n">
        <v>0.12</v>
      </c>
      <c r="M60" t="n">
        <v>0</v>
      </c>
      <c r="N60" t="n">
        <v>0.02</v>
      </c>
      <c r="O60" t="n">
        <v>0.02</v>
      </c>
      <c r="P60" t="n">
        <v>0</v>
      </c>
      <c r="Q60" t="n">
        <v>0.92</v>
      </c>
      <c r="R60">
        <f>SUM(B60:Q60)</f>
        <v/>
      </c>
      <c r="T60" s="41">
        <f>B60/$R60</f>
        <v/>
      </c>
      <c r="U60" s="41">
        <f>C60/$R60</f>
        <v/>
      </c>
      <c r="V60" s="41">
        <f>D60/$R60</f>
        <v/>
      </c>
      <c r="W60" s="41">
        <f>E60/$R60</f>
        <v/>
      </c>
      <c r="X60" s="41">
        <f>F60/$R60</f>
        <v/>
      </c>
      <c r="Y60" s="41">
        <f>G60/$R60</f>
        <v/>
      </c>
      <c r="Z60" s="41">
        <f>H60/$R60</f>
        <v/>
      </c>
      <c r="AA60" s="41">
        <f>I60/$R60</f>
        <v/>
      </c>
      <c r="AB60" s="41">
        <f>J60/$R60</f>
        <v/>
      </c>
      <c r="AC60" s="41">
        <f>K60/$R60</f>
        <v/>
      </c>
      <c r="AD60" s="41">
        <f>L60/$R60</f>
        <v/>
      </c>
      <c r="AE60" s="41">
        <f>M60/$R60</f>
        <v/>
      </c>
      <c r="AF60" s="41">
        <f>N60/$R60</f>
        <v/>
      </c>
      <c r="AG60" s="41">
        <f>O60/$R60</f>
        <v/>
      </c>
      <c r="AH60" s="41">
        <f>P60/$R60</f>
        <v/>
      </c>
      <c r="AI60" s="41">
        <f>Q60/$R60</f>
        <v/>
      </c>
      <c r="AJ60" s="41">
        <f>SUM(T60:W60)</f>
        <v/>
      </c>
      <c r="AK60" s="45">
        <f>SUM(X60:Z60)+AD60</f>
        <v/>
      </c>
      <c r="AL60" s="45">
        <f>SUM(AF60:AI60)+AJ60</f>
        <v/>
      </c>
      <c r="AM60" s="45">
        <f>AK60+AL60</f>
        <v/>
      </c>
      <c r="AN60" s="45">
        <f>SUM(AA60:AC60)</f>
        <v/>
      </c>
      <c r="AO60">
        <f>YEAR(A60)</f>
        <v/>
      </c>
      <c r="AP60">
        <f>MONTH(A60)</f>
        <v/>
      </c>
      <c r="AQ60">
        <f>AQ59+1</f>
        <v/>
      </c>
    </row>
    <row r="61" hidden="1" ht="15.75" customHeight="1" s="259">
      <c r="A61" s="8" t="n">
        <v>45465</v>
      </c>
      <c r="B61" t="n">
        <v>0</v>
      </c>
      <c r="C61" t="n">
        <v>0</v>
      </c>
      <c r="D61" t="n">
        <v>0</v>
      </c>
      <c r="E61" t="n">
        <v>0</v>
      </c>
      <c r="F61" t="n">
        <v>0</v>
      </c>
      <c r="G61" t="n">
        <v>1.64</v>
      </c>
      <c r="H61" t="n">
        <v>0.2</v>
      </c>
      <c r="I61" t="n">
        <v>19.04</v>
      </c>
      <c r="J61" t="n">
        <v>1.3</v>
      </c>
      <c r="K61" t="n">
        <v>2.68</v>
      </c>
      <c r="L61" t="n">
        <v>0.16</v>
      </c>
      <c r="M61" t="n">
        <v>0</v>
      </c>
      <c r="N61" t="n">
        <v>0</v>
      </c>
      <c r="O61" t="n">
        <v>0.02</v>
      </c>
      <c r="P61" t="n">
        <v>0</v>
      </c>
      <c r="Q61" t="n">
        <v>0.38</v>
      </c>
      <c r="R61">
        <f>SUM(B61:Q61)</f>
        <v/>
      </c>
      <c r="T61" s="41">
        <f>B61/$R61</f>
        <v/>
      </c>
      <c r="U61" s="41">
        <f>C61/$R61</f>
        <v/>
      </c>
      <c r="V61" s="41">
        <f>D61/$R61</f>
        <v/>
      </c>
      <c r="W61" s="41">
        <f>E61/$R61</f>
        <v/>
      </c>
      <c r="X61" s="41">
        <f>F61/$R61</f>
        <v/>
      </c>
      <c r="Y61" s="41">
        <f>G61/$R61</f>
        <v/>
      </c>
      <c r="Z61" s="41">
        <f>H61/$R61</f>
        <v/>
      </c>
      <c r="AA61" s="41">
        <f>I61/$R61</f>
        <v/>
      </c>
      <c r="AB61" s="41">
        <f>J61/$R61</f>
        <v/>
      </c>
      <c r="AC61" s="41">
        <f>K61/$R61</f>
        <v/>
      </c>
      <c r="AD61" s="41">
        <f>L61/$R61</f>
        <v/>
      </c>
      <c r="AE61" s="41">
        <f>M61/$R61</f>
        <v/>
      </c>
      <c r="AF61" s="41">
        <f>N61/$R61</f>
        <v/>
      </c>
      <c r="AG61" s="41">
        <f>O61/$R61</f>
        <v/>
      </c>
      <c r="AH61" s="41">
        <f>P61/$R61</f>
        <v/>
      </c>
      <c r="AI61" s="41">
        <f>Q61/$R61</f>
        <v/>
      </c>
      <c r="AJ61" s="41">
        <f>SUM(T61:W61)</f>
        <v/>
      </c>
      <c r="AK61" s="45">
        <f>SUM(X61:Z61)+AD61</f>
        <v/>
      </c>
      <c r="AL61" s="45">
        <f>SUM(AF61:AI61)+AJ61</f>
        <v/>
      </c>
      <c r="AM61" s="45">
        <f>AK61+AL61</f>
        <v/>
      </c>
      <c r="AN61" s="45">
        <f>SUM(AA61:AC61)</f>
        <v/>
      </c>
      <c r="AO61">
        <f>YEAR(A61)</f>
        <v/>
      </c>
      <c r="AP61">
        <f>MONTH(A61)</f>
        <v/>
      </c>
      <c r="AQ61">
        <f>AQ60+1</f>
        <v/>
      </c>
    </row>
    <row r="62" hidden="1" ht="15.75" customHeight="1" s="259">
      <c r="A62" s="8" t="n">
        <v>45474</v>
      </c>
      <c r="B62" t="n">
        <v>0</v>
      </c>
      <c r="C62" t="n">
        <v>0</v>
      </c>
      <c r="D62" t="n">
        <v>0</v>
      </c>
      <c r="E62" t="n">
        <v>0</v>
      </c>
      <c r="F62" t="n">
        <v>0.04</v>
      </c>
      <c r="G62" t="n">
        <v>2.02</v>
      </c>
      <c r="H62" t="n">
        <v>0.1</v>
      </c>
      <c r="I62" t="n">
        <v>21</v>
      </c>
      <c r="J62" t="n">
        <v>0.98</v>
      </c>
      <c r="K62" t="n">
        <v>5.58</v>
      </c>
      <c r="L62" t="n">
        <v>1.14</v>
      </c>
      <c r="M62" t="n">
        <v>0</v>
      </c>
      <c r="N62" t="n">
        <v>0</v>
      </c>
      <c r="O62" t="n">
        <v>0.06</v>
      </c>
      <c r="P62" t="n">
        <v>0</v>
      </c>
      <c r="Q62" t="n">
        <v>1.88</v>
      </c>
      <c r="R62">
        <f>SUM(B62:Q62)</f>
        <v/>
      </c>
      <c r="T62" s="41">
        <f>B62/$R62</f>
        <v/>
      </c>
      <c r="U62" s="41">
        <f>C62/$R62</f>
        <v/>
      </c>
      <c r="V62" s="41">
        <f>D62/$R62</f>
        <v/>
      </c>
      <c r="W62" s="41">
        <f>E62/$R62</f>
        <v/>
      </c>
      <c r="X62" s="41">
        <f>F62/$R62</f>
        <v/>
      </c>
      <c r="Y62" s="41">
        <f>G62/$R62</f>
        <v/>
      </c>
      <c r="Z62" s="41">
        <f>H62/$R62</f>
        <v/>
      </c>
      <c r="AA62" s="41">
        <f>I62/$R62</f>
        <v/>
      </c>
      <c r="AB62" s="41">
        <f>J62/$R62</f>
        <v/>
      </c>
      <c r="AC62" s="41">
        <f>K62/$R62</f>
        <v/>
      </c>
      <c r="AD62" s="41">
        <f>L62/$R62</f>
        <v/>
      </c>
      <c r="AE62" s="41">
        <f>M62/$R62</f>
        <v/>
      </c>
      <c r="AF62" s="41">
        <f>N62/$R62</f>
        <v/>
      </c>
      <c r="AG62" s="41">
        <f>O62/$R62</f>
        <v/>
      </c>
      <c r="AH62" s="41">
        <f>P62/$R62</f>
        <v/>
      </c>
      <c r="AI62" s="41">
        <f>Q62/$R62</f>
        <v/>
      </c>
      <c r="AJ62" s="41">
        <f>SUM(T62:W62)</f>
        <v/>
      </c>
      <c r="AK62" s="45">
        <f>SUM(X62:Z62)+AD62</f>
        <v/>
      </c>
      <c r="AL62" s="45">
        <f>SUM(AF62:AI62)+AJ62</f>
        <v/>
      </c>
      <c r="AM62" s="45">
        <f>AK62+AL62</f>
        <v/>
      </c>
      <c r="AN62" s="45">
        <f>SUM(AA62:AC62)</f>
        <v/>
      </c>
      <c r="AO62">
        <f>YEAR(A62)</f>
        <v/>
      </c>
      <c r="AP62">
        <f>MONTH(A62)</f>
        <v/>
      </c>
      <c r="AQ62">
        <f>AQ61+1</f>
        <v/>
      </c>
    </row>
    <row r="63" hidden="1" ht="15.75" customHeight="1" s="259">
      <c r="A63" s="8" t="n">
        <v>45503</v>
      </c>
      <c r="B63" t="n">
        <v>0</v>
      </c>
      <c r="C63" t="n">
        <v>0</v>
      </c>
      <c r="D63" t="n">
        <v>0.12</v>
      </c>
      <c r="E63" t="n">
        <v>0</v>
      </c>
      <c r="F63" t="n">
        <v>0.02</v>
      </c>
      <c r="G63" t="n">
        <v>4.24</v>
      </c>
      <c r="H63" t="n">
        <v>0.52</v>
      </c>
      <c r="I63" t="n">
        <v>18.98</v>
      </c>
      <c r="J63" t="n">
        <v>1.92</v>
      </c>
      <c r="K63" t="n">
        <v>5.7</v>
      </c>
      <c r="L63" t="n">
        <v>0.36</v>
      </c>
      <c r="M63" t="n">
        <v>0</v>
      </c>
      <c r="N63" t="n">
        <v>0</v>
      </c>
      <c r="O63" t="n">
        <v>0</v>
      </c>
      <c r="P63" t="n">
        <v>0</v>
      </c>
      <c r="Q63" t="n">
        <v>1.46</v>
      </c>
      <c r="R63">
        <f>SUM(B63:Q63)</f>
        <v/>
      </c>
      <c r="T63" s="41">
        <f>B63/$R63</f>
        <v/>
      </c>
      <c r="U63" s="41">
        <f>C63/$R63</f>
        <v/>
      </c>
      <c r="V63" s="41">
        <f>D63/$R63</f>
        <v/>
      </c>
      <c r="W63" s="41">
        <f>E63/$R63</f>
        <v/>
      </c>
      <c r="X63" s="41">
        <f>F63/$R63</f>
        <v/>
      </c>
      <c r="Y63" s="41">
        <f>G63/$R63</f>
        <v/>
      </c>
      <c r="Z63" s="41">
        <f>H63/$R63</f>
        <v/>
      </c>
      <c r="AA63" s="41">
        <f>I63/$R63</f>
        <v/>
      </c>
      <c r="AB63" s="41">
        <f>J63/$R63</f>
        <v/>
      </c>
      <c r="AC63" s="41">
        <f>K63/$R63</f>
        <v/>
      </c>
      <c r="AD63" s="41">
        <f>L63/$R63</f>
        <v/>
      </c>
      <c r="AE63" s="41">
        <f>M63/$R63</f>
        <v/>
      </c>
      <c r="AF63" s="41">
        <f>N63/$R63</f>
        <v/>
      </c>
      <c r="AG63" s="41">
        <f>O63/$R63</f>
        <v/>
      </c>
      <c r="AH63" s="41">
        <f>P63/$R63</f>
        <v/>
      </c>
      <c r="AI63" s="41">
        <f>Q63/$R63</f>
        <v/>
      </c>
      <c r="AJ63" s="41">
        <f>SUM(T63:W63)</f>
        <v/>
      </c>
      <c r="AK63" s="45">
        <f>SUM(X63:Z63)+AD63</f>
        <v/>
      </c>
      <c r="AL63" s="45">
        <f>SUM(AF63:AI63)+AJ63</f>
        <v/>
      </c>
      <c r="AM63" s="45">
        <f>AK63+AL63</f>
        <v/>
      </c>
      <c r="AN63" s="45">
        <f>SUM(AA63:AC63)</f>
        <v/>
      </c>
      <c r="AO63">
        <f>YEAR(A63)</f>
        <v/>
      </c>
      <c r="AP63">
        <f>MONTH(A63)</f>
        <v/>
      </c>
      <c r="AQ63">
        <f>AQ62+1</f>
        <v/>
      </c>
    </row>
    <row r="64" hidden="1" ht="15.75" customHeight="1" s="259">
      <c r="A64" s="8" t="n">
        <v>45506</v>
      </c>
      <c r="B64" t="n">
        <v>0.02</v>
      </c>
      <c r="C64" t="n">
        <v>0</v>
      </c>
      <c r="D64" t="n">
        <v>0.08</v>
      </c>
      <c r="E64" t="n">
        <v>0</v>
      </c>
      <c r="F64" t="n">
        <v>0</v>
      </c>
      <c r="G64" t="n">
        <v>3.64</v>
      </c>
      <c r="H64" t="n">
        <v>0.44</v>
      </c>
      <c r="I64" t="n">
        <v>22.45</v>
      </c>
      <c r="J64" t="n">
        <v>2.44</v>
      </c>
      <c r="K64" t="n">
        <v>3.08</v>
      </c>
      <c r="L64" t="n">
        <v>0</v>
      </c>
      <c r="M64" t="n">
        <v>0</v>
      </c>
      <c r="N64" t="n">
        <v>0</v>
      </c>
      <c r="O64" t="n">
        <v>0</v>
      </c>
      <c r="P64" t="n">
        <v>0</v>
      </c>
      <c r="Q64" t="n">
        <v>1.68</v>
      </c>
      <c r="R64">
        <f>SUM(B64:Q64)</f>
        <v/>
      </c>
      <c r="T64" s="41">
        <f>B64/$R64</f>
        <v/>
      </c>
      <c r="U64" s="41">
        <f>C64/$R64</f>
        <v/>
      </c>
      <c r="V64" s="41">
        <f>D64/$R64</f>
        <v/>
      </c>
      <c r="W64" s="41">
        <f>E64/$R64</f>
        <v/>
      </c>
      <c r="X64" s="41">
        <f>F64/$R64</f>
        <v/>
      </c>
      <c r="Y64" s="41">
        <f>G64/$R64</f>
        <v/>
      </c>
      <c r="Z64" s="41">
        <f>H64/$R64</f>
        <v/>
      </c>
      <c r="AA64" s="41">
        <f>I64/$R64</f>
        <v/>
      </c>
      <c r="AB64" s="41">
        <f>J64/$R64</f>
        <v/>
      </c>
      <c r="AC64" s="41">
        <f>K64/$R64</f>
        <v/>
      </c>
      <c r="AD64" s="41">
        <f>L64/$R64</f>
        <v/>
      </c>
      <c r="AE64" s="41">
        <f>M64/$R64</f>
        <v/>
      </c>
      <c r="AF64" s="41">
        <f>N64/$R64</f>
        <v/>
      </c>
      <c r="AG64" s="41">
        <f>O64/$R64</f>
        <v/>
      </c>
      <c r="AH64" s="41">
        <f>P64/$R64</f>
        <v/>
      </c>
      <c r="AI64" s="41">
        <f>Q64/$R64</f>
        <v/>
      </c>
      <c r="AJ64" s="41">
        <f>SUM(T64:W64)</f>
        <v/>
      </c>
      <c r="AK64" s="45">
        <f>SUM(X64:Z64)+AD64</f>
        <v/>
      </c>
      <c r="AL64" s="45">
        <f>SUM(AF64:AI64)+AJ64</f>
        <v/>
      </c>
      <c r="AM64" s="45">
        <f>AK64+AL64</f>
        <v/>
      </c>
      <c r="AN64" s="45">
        <f>SUM(AA64:AC64)</f>
        <v/>
      </c>
      <c r="AO64">
        <f>YEAR(A64)</f>
        <v/>
      </c>
      <c r="AP64">
        <f>MONTH(A64)</f>
        <v/>
      </c>
      <c r="AQ64">
        <f>AQ63+1</f>
        <v/>
      </c>
    </row>
    <row r="65" hidden="1" ht="15.75" customHeight="1" s="259">
      <c r="A65" s="8" t="n">
        <v>45514</v>
      </c>
      <c r="B65" t="n">
        <v>0</v>
      </c>
      <c r="C65" t="n">
        <v>0</v>
      </c>
      <c r="D65" t="n">
        <v>0</v>
      </c>
      <c r="E65" t="n">
        <v>0</v>
      </c>
      <c r="F65" t="n">
        <v>0</v>
      </c>
      <c r="G65" t="n">
        <v>0.44</v>
      </c>
      <c r="H65" t="n">
        <v>0.08</v>
      </c>
      <c r="I65" t="n">
        <v>21.16</v>
      </c>
      <c r="J65" t="n">
        <v>1</v>
      </c>
      <c r="K65" t="n">
        <v>5.5</v>
      </c>
      <c r="L65" t="n">
        <v>0.18</v>
      </c>
      <c r="M65" t="n">
        <v>0</v>
      </c>
      <c r="N65" t="n">
        <v>0</v>
      </c>
      <c r="O65" t="n">
        <v>0</v>
      </c>
      <c r="P65" t="n">
        <v>0.02</v>
      </c>
      <c r="Q65" t="n">
        <v>0.72</v>
      </c>
      <c r="R65">
        <f>SUM(B65:Q65)</f>
        <v/>
      </c>
      <c r="T65" s="41">
        <f>B65/$R65</f>
        <v/>
      </c>
      <c r="U65" s="41">
        <f>C65/$R65</f>
        <v/>
      </c>
      <c r="V65" s="41">
        <f>D65/$R65</f>
        <v/>
      </c>
      <c r="W65" s="41">
        <f>E65/$R65</f>
        <v/>
      </c>
      <c r="X65" s="41">
        <f>F65/$R65</f>
        <v/>
      </c>
      <c r="Y65" s="41">
        <f>G65/$R65</f>
        <v/>
      </c>
      <c r="Z65" s="41">
        <f>H65/$R65</f>
        <v/>
      </c>
      <c r="AA65" s="41">
        <f>I65/$R65</f>
        <v/>
      </c>
      <c r="AB65" s="41">
        <f>J65/$R65</f>
        <v/>
      </c>
      <c r="AC65" s="41">
        <f>K65/$R65</f>
        <v/>
      </c>
      <c r="AD65" s="41">
        <f>L65/$R65</f>
        <v/>
      </c>
      <c r="AE65" s="41">
        <f>M65/$R65</f>
        <v/>
      </c>
      <c r="AF65" s="41">
        <f>N65/$R65</f>
        <v/>
      </c>
      <c r="AG65" s="41">
        <f>O65/$R65</f>
        <v/>
      </c>
      <c r="AH65" s="41">
        <f>P65/$R65</f>
        <v/>
      </c>
      <c r="AI65" s="41">
        <f>Q65/$R65</f>
        <v/>
      </c>
      <c r="AJ65" s="41">
        <f>SUM(T65:W65)</f>
        <v/>
      </c>
      <c r="AK65" s="45">
        <f>SUM(X65:Z65)+AD65</f>
        <v/>
      </c>
      <c r="AL65" s="45">
        <f>SUM(AF65:AI65)+AJ65</f>
        <v/>
      </c>
      <c r="AM65" s="45">
        <f>AK65+AL65</f>
        <v/>
      </c>
      <c r="AN65" s="45">
        <f>SUM(AA65:AC65)</f>
        <v/>
      </c>
      <c r="AO65">
        <f>YEAR(A65)</f>
        <v/>
      </c>
      <c r="AP65">
        <f>MONTH(A65)</f>
        <v/>
      </c>
      <c r="AQ65">
        <f>AQ64+1</f>
        <v/>
      </c>
    </row>
    <row r="66" hidden="1" ht="15.75" customHeight="1" s="259">
      <c r="A66" s="8" t="n">
        <v>45520</v>
      </c>
      <c r="B66" t="n">
        <v>0</v>
      </c>
      <c r="C66" t="n">
        <v>0</v>
      </c>
      <c r="D66" t="n">
        <v>0</v>
      </c>
      <c r="E66" t="n">
        <v>0</v>
      </c>
      <c r="F66" t="n">
        <v>0</v>
      </c>
      <c r="G66" t="n">
        <v>0.76</v>
      </c>
      <c r="H66" t="n">
        <v>0.12</v>
      </c>
      <c r="I66" t="n">
        <v>24.42</v>
      </c>
      <c r="J66" t="n">
        <v>1.38</v>
      </c>
      <c r="K66" t="n">
        <v>4.22</v>
      </c>
      <c r="L66" t="n">
        <v>0.44</v>
      </c>
      <c r="M66" t="n">
        <v>0</v>
      </c>
      <c r="N66" t="n">
        <v>0</v>
      </c>
      <c r="O66" t="n">
        <v>0.06</v>
      </c>
      <c r="P66" t="n">
        <v>0.02</v>
      </c>
      <c r="Q66" t="n">
        <v>0.76</v>
      </c>
      <c r="R66">
        <f>SUM(B66:Q66)</f>
        <v/>
      </c>
      <c r="T66" s="41">
        <f>B66/$R66</f>
        <v/>
      </c>
      <c r="U66" s="41">
        <f>C66/$R66</f>
        <v/>
      </c>
      <c r="V66" s="41">
        <f>D66/$R66</f>
        <v/>
      </c>
      <c r="W66" s="41">
        <f>E66/$R66</f>
        <v/>
      </c>
      <c r="X66" s="41">
        <f>F66/$R66</f>
        <v/>
      </c>
      <c r="Y66" s="41">
        <f>G66/$R66</f>
        <v/>
      </c>
      <c r="Z66" s="41">
        <f>H66/$R66</f>
        <v/>
      </c>
      <c r="AA66" s="41">
        <f>I66/$R66</f>
        <v/>
      </c>
      <c r="AB66" s="41">
        <f>J66/$R66</f>
        <v/>
      </c>
      <c r="AC66" s="41">
        <f>K66/$R66</f>
        <v/>
      </c>
      <c r="AD66" s="41">
        <f>L66/$R66</f>
        <v/>
      </c>
      <c r="AE66" s="41">
        <f>M66/$R66</f>
        <v/>
      </c>
      <c r="AF66" s="41">
        <f>N66/$R66</f>
        <v/>
      </c>
      <c r="AG66" s="41">
        <f>O66/$R66</f>
        <v/>
      </c>
      <c r="AH66" s="41">
        <f>P66/$R66</f>
        <v/>
      </c>
      <c r="AI66" s="41">
        <f>Q66/$R66</f>
        <v/>
      </c>
      <c r="AJ66" s="41">
        <f>SUM(T66:W66)</f>
        <v/>
      </c>
      <c r="AK66" s="45">
        <f>SUM(X66:Z66)+AD66</f>
        <v/>
      </c>
      <c r="AL66" s="45">
        <f>SUM(AF66:AI66)+AJ66</f>
        <v/>
      </c>
      <c r="AM66" s="45">
        <f>AK66+AL66</f>
        <v/>
      </c>
      <c r="AN66" s="45">
        <f>SUM(AA66:AC66)</f>
        <v/>
      </c>
      <c r="AO66">
        <f>YEAR(A66)</f>
        <v/>
      </c>
      <c r="AP66">
        <f>MONTH(A66)</f>
        <v/>
      </c>
      <c r="AQ66">
        <f>AQ65+1</f>
        <v/>
      </c>
    </row>
    <row r="67" hidden="1" ht="15.75" customHeight="1" s="259">
      <c r="A67" s="8" t="n">
        <v>45602</v>
      </c>
      <c r="B67" t="n">
        <v>0</v>
      </c>
      <c r="C67" t="n">
        <v>0</v>
      </c>
      <c r="D67" t="n">
        <v>0</v>
      </c>
      <c r="E67" t="n">
        <v>0</v>
      </c>
      <c r="F67" t="n">
        <v>0</v>
      </c>
      <c r="G67" t="n">
        <v>0.72</v>
      </c>
      <c r="H67" t="n">
        <v>0</v>
      </c>
      <c r="I67" t="n">
        <v>22.24</v>
      </c>
      <c r="J67" t="n">
        <v>0.82</v>
      </c>
      <c r="K67" t="n">
        <v>4.98</v>
      </c>
      <c r="L67" t="n">
        <v>0</v>
      </c>
      <c r="M67" t="n">
        <v>0</v>
      </c>
      <c r="N67" t="n">
        <v>0</v>
      </c>
      <c r="O67" t="n">
        <v>0</v>
      </c>
      <c r="P67" t="n">
        <v>0</v>
      </c>
      <c r="Q67" t="n">
        <v>0.32</v>
      </c>
      <c r="R67">
        <f>SUM(B67:Q67)</f>
        <v/>
      </c>
      <c r="T67" s="41">
        <f>B67/$R67</f>
        <v/>
      </c>
      <c r="U67" s="41">
        <f>C67/$R67</f>
        <v/>
      </c>
      <c r="V67" s="41">
        <f>D67/$R67</f>
        <v/>
      </c>
      <c r="W67" s="41">
        <f>E67/$R67</f>
        <v/>
      </c>
      <c r="X67" s="41">
        <f>F67/$R67</f>
        <v/>
      </c>
      <c r="Y67" s="41">
        <f>G67/$R67</f>
        <v/>
      </c>
      <c r="Z67" s="41">
        <f>H67/$R67</f>
        <v/>
      </c>
      <c r="AA67" s="41">
        <f>I67/$R67</f>
        <v/>
      </c>
      <c r="AB67" s="41">
        <f>J67/$R67</f>
        <v/>
      </c>
      <c r="AC67" s="41">
        <f>K67/$R67</f>
        <v/>
      </c>
      <c r="AD67" s="41">
        <f>L67/$R67</f>
        <v/>
      </c>
      <c r="AE67" s="41">
        <f>M67/$R67</f>
        <v/>
      </c>
      <c r="AF67" s="41">
        <f>N67/$R67</f>
        <v/>
      </c>
      <c r="AG67" s="41">
        <f>O67/$R67</f>
        <v/>
      </c>
      <c r="AH67" s="41">
        <f>P67/$R67</f>
        <v/>
      </c>
      <c r="AI67" s="41">
        <f>Q67/$R67</f>
        <v/>
      </c>
      <c r="AJ67" s="41">
        <f>SUM(T67:W67)</f>
        <v/>
      </c>
      <c r="AK67" s="45">
        <f>SUM(X67:Z67)+AD67</f>
        <v/>
      </c>
      <c r="AL67" s="45">
        <f>SUM(AF67:AI67)+AJ67</f>
        <v/>
      </c>
      <c r="AM67" s="45">
        <f>AK67+AL67</f>
        <v/>
      </c>
      <c r="AN67" s="45">
        <f>SUM(AA67:AC67)</f>
        <v/>
      </c>
      <c r="AO67">
        <f>YEAR(A67)</f>
        <v/>
      </c>
      <c r="AP67">
        <f>MONTH(A67)</f>
        <v/>
      </c>
      <c r="AQ67">
        <f>AQ66+1</f>
        <v/>
      </c>
    </row>
    <row r="68" ht="15.75" customHeight="1" s="259">
      <c r="A68" s="8" t="n">
        <v>45664</v>
      </c>
      <c r="B68" t="n">
        <v>0</v>
      </c>
      <c r="C68" t="n">
        <v>0</v>
      </c>
      <c r="D68" t="n">
        <v>0.14</v>
      </c>
      <c r="E68" t="n">
        <v>0.06</v>
      </c>
      <c r="F68" t="n">
        <v>0</v>
      </c>
      <c r="G68" t="n">
        <v>1.34</v>
      </c>
      <c r="H68" t="n">
        <v>0.26</v>
      </c>
      <c r="I68" t="n">
        <v>21.62</v>
      </c>
      <c r="J68" t="n">
        <v>1.94</v>
      </c>
      <c r="K68" t="n">
        <v>5.34</v>
      </c>
      <c r="L68" t="n">
        <v>0</v>
      </c>
      <c r="M68" t="n">
        <v>0</v>
      </c>
      <c r="N68" t="n">
        <v>0</v>
      </c>
      <c r="O68" t="n">
        <v>0.02</v>
      </c>
      <c r="P68" t="n">
        <v>0</v>
      </c>
      <c r="Q68" t="n">
        <v>0.64</v>
      </c>
      <c r="R68">
        <f>SUM(B68:Q68)</f>
        <v/>
      </c>
      <c r="T68" s="41">
        <f>B68/$R68</f>
        <v/>
      </c>
      <c r="U68" s="41">
        <f>C68/$R68</f>
        <v/>
      </c>
      <c r="V68" s="41">
        <f>D68/$R68</f>
        <v/>
      </c>
      <c r="W68" s="41">
        <f>E68/$R68</f>
        <v/>
      </c>
      <c r="X68" s="41">
        <f>F68/$R68</f>
        <v/>
      </c>
      <c r="Y68" s="41">
        <f>G68/$R68</f>
        <v/>
      </c>
      <c r="Z68" s="41">
        <f>H68/$R68</f>
        <v/>
      </c>
      <c r="AA68" s="41">
        <f>I68/$R68</f>
        <v/>
      </c>
      <c r="AB68" s="41">
        <f>J68/$R68</f>
        <v/>
      </c>
      <c r="AC68" s="41">
        <f>K68/$R68</f>
        <v/>
      </c>
      <c r="AD68" s="41">
        <f>L68/$R68</f>
        <v/>
      </c>
      <c r="AE68" s="41">
        <f>M68/$R68</f>
        <v/>
      </c>
      <c r="AF68" s="41">
        <f>N68/$R68</f>
        <v/>
      </c>
      <c r="AG68" s="41">
        <f>O68/$R68</f>
        <v/>
      </c>
      <c r="AH68" s="41">
        <f>P68/$R68</f>
        <v/>
      </c>
      <c r="AI68" s="41">
        <f>Q68/$R68</f>
        <v/>
      </c>
      <c r="AJ68" s="41">
        <f>SUM(T68:W68)</f>
        <v/>
      </c>
      <c r="AK68" s="45">
        <f>SUM(X68:Z68)+AD68</f>
        <v/>
      </c>
      <c r="AL68" s="45">
        <f>SUM(AF68:AI68)+AJ68</f>
        <v/>
      </c>
      <c r="AM68" s="45">
        <f>AK68+AL68</f>
        <v/>
      </c>
      <c r="AN68" s="45">
        <f>SUM(AA68:AC68)</f>
        <v/>
      </c>
      <c r="AO68">
        <f>YEAR(A68)</f>
        <v/>
      </c>
      <c r="AP68">
        <f>MONTH(A68)</f>
        <v/>
      </c>
      <c r="AQ68">
        <f>AQ67+1</f>
        <v/>
      </c>
    </row>
    <row r="69" ht="15.75" customHeight="1" s="259">
      <c r="A69" s="8" t="n"/>
      <c r="T69" s="41">
        <f>B69/$R69</f>
        <v/>
      </c>
      <c r="U69" s="41">
        <f>C69/$R69</f>
        <v/>
      </c>
      <c r="V69" s="41">
        <f>D69/$R69</f>
        <v/>
      </c>
      <c r="W69" s="41">
        <f>E69/$R69</f>
        <v/>
      </c>
      <c r="X69" s="41">
        <f>F69/$R69</f>
        <v/>
      </c>
      <c r="Y69" s="41">
        <f>G69/$R69</f>
        <v/>
      </c>
      <c r="Z69" s="41">
        <f>H69/$R69</f>
        <v/>
      </c>
      <c r="AA69" s="41">
        <f>I69/$R69</f>
        <v/>
      </c>
      <c r="AB69" s="41">
        <f>J69/$R69</f>
        <v/>
      </c>
      <c r="AC69" s="41">
        <f>K69/$R69</f>
        <v/>
      </c>
      <c r="AD69" s="41">
        <f>L69/$R69</f>
        <v/>
      </c>
      <c r="AE69" s="41">
        <f>M69/$R69</f>
        <v/>
      </c>
      <c r="AF69" s="41">
        <f>N69/$R69</f>
        <v/>
      </c>
      <c r="AG69" s="41">
        <f>O69/$R69</f>
        <v/>
      </c>
      <c r="AH69" s="41">
        <f>P69/$R69</f>
        <v/>
      </c>
      <c r="AI69" s="41">
        <f>Q69/$R69</f>
        <v/>
      </c>
      <c r="AJ69" s="41">
        <f>SUM(T69:W69)</f>
        <v/>
      </c>
      <c r="AK69" s="45">
        <f>SUM(X69:Z69)+AD69</f>
        <v/>
      </c>
      <c r="AL69" s="45">
        <f>SUM(AF69:AI69)+AJ69</f>
        <v/>
      </c>
      <c r="AM69" s="45">
        <f>AK69+AL69</f>
        <v/>
      </c>
      <c r="AN69" s="45">
        <f>SUM(AA69:AC69)</f>
        <v/>
      </c>
      <c r="AO69">
        <f>YEAR(A69)</f>
        <v/>
      </c>
      <c r="AP69">
        <f>MONTH(A69)</f>
        <v/>
      </c>
      <c r="AQ69">
        <f>AQ68+1</f>
        <v/>
      </c>
    </row>
    <row r="70" ht="15.75" customHeight="1" s="259">
      <c r="A70" s="8" t="n"/>
      <c r="T70" s="41">
        <f>B70/$R70</f>
        <v/>
      </c>
      <c r="U70" s="41">
        <f>C70/$R70</f>
        <v/>
      </c>
      <c r="V70" s="41">
        <f>D70/$R70</f>
        <v/>
      </c>
      <c r="W70" s="41">
        <f>E70/$R70</f>
        <v/>
      </c>
      <c r="X70" s="41">
        <f>F70/$R70</f>
        <v/>
      </c>
      <c r="Y70" s="41">
        <f>G70/$R70</f>
        <v/>
      </c>
      <c r="Z70" s="41">
        <f>H70/$R70</f>
        <v/>
      </c>
      <c r="AA70" s="41">
        <f>I70/$R70</f>
        <v/>
      </c>
      <c r="AB70" s="41">
        <f>J70/$R70</f>
        <v/>
      </c>
      <c r="AC70" s="41">
        <f>K70/$R70</f>
        <v/>
      </c>
      <c r="AD70" s="41">
        <f>L70/$R70</f>
        <v/>
      </c>
      <c r="AE70" s="41">
        <f>M70/$R70</f>
        <v/>
      </c>
      <c r="AF70" s="41">
        <f>N70/$R70</f>
        <v/>
      </c>
      <c r="AG70" s="41">
        <f>O70/$R70</f>
        <v/>
      </c>
      <c r="AH70" s="41">
        <f>P70/$R70</f>
        <v/>
      </c>
      <c r="AI70" s="41">
        <f>Q70/$R70</f>
        <v/>
      </c>
      <c r="AJ70" s="41">
        <f>SUM(T70:W70)</f>
        <v/>
      </c>
      <c r="AK70" s="45">
        <f>SUM(X70:Z70)+AD70</f>
        <v/>
      </c>
      <c r="AL70" s="45">
        <f>SUM(AF70:AI70)+AJ70</f>
        <v/>
      </c>
      <c r="AM70" s="45">
        <f>AK70+AL70</f>
        <v/>
      </c>
      <c r="AN70" s="45">
        <f>SUM(AA70:AC70)</f>
        <v/>
      </c>
      <c r="AO70">
        <f>YEAR(A70)</f>
        <v/>
      </c>
      <c r="AP70">
        <f>MONTH(A70)</f>
        <v/>
      </c>
      <c r="AQ70">
        <f>AQ69+1</f>
        <v/>
      </c>
    </row>
    <row r="71" ht="15.75" customHeight="1" s="259">
      <c r="A71" s="8" t="n"/>
      <c r="T71" s="41">
        <f>B71/$R71</f>
        <v/>
      </c>
      <c r="U71" s="41">
        <f>C71/$R71</f>
        <v/>
      </c>
      <c r="V71" s="41">
        <f>D71/$R71</f>
        <v/>
      </c>
      <c r="W71" s="41">
        <f>E71/$R71</f>
        <v/>
      </c>
      <c r="X71" s="41">
        <f>F71/$R71</f>
        <v/>
      </c>
      <c r="Y71" s="41">
        <f>G71/$R71</f>
        <v/>
      </c>
      <c r="Z71" s="41">
        <f>H71/$R71</f>
        <v/>
      </c>
      <c r="AA71" s="41">
        <f>I71/$R71</f>
        <v/>
      </c>
      <c r="AB71" s="41">
        <f>J71/$R71</f>
        <v/>
      </c>
      <c r="AC71" s="41">
        <f>K71/$R71</f>
        <v/>
      </c>
      <c r="AD71" s="41">
        <f>L71/$R71</f>
        <v/>
      </c>
      <c r="AE71" s="41">
        <f>M71/$R71</f>
        <v/>
      </c>
      <c r="AF71" s="41">
        <f>N71/$R71</f>
        <v/>
      </c>
      <c r="AG71" s="41">
        <f>O71/$R71</f>
        <v/>
      </c>
      <c r="AH71" s="41">
        <f>P71/$R71</f>
        <v/>
      </c>
      <c r="AI71" s="41">
        <f>Q71/$R71</f>
        <v/>
      </c>
      <c r="AJ71" s="41">
        <f>SUM(T71:W71)</f>
        <v/>
      </c>
      <c r="AK71" s="45">
        <f>SUM(X71:Z71)+AD71</f>
        <v/>
      </c>
      <c r="AL71" s="45">
        <f>SUM(AF71:AI71)+AJ71</f>
        <v/>
      </c>
      <c r="AM71" s="45">
        <f>AK71+AL71</f>
        <v/>
      </c>
      <c r="AN71" s="45">
        <f>SUM(AA71:AC71)</f>
        <v/>
      </c>
      <c r="AO71">
        <f>YEAR(A71)</f>
        <v/>
      </c>
      <c r="AP71">
        <f>MONTH(A71)</f>
        <v/>
      </c>
      <c r="AQ71">
        <f>AQ70+1</f>
        <v/>
      </c>
    </row>
    <row r="72" ht="15.75" customHeight="1" s="259">
      <c r="A72" s="8" t="n"/>
      <c r="T72" s="41">
        <f>B72/$R72</f>
        <v/>
      </c>
      <c r="U72" s="41">
        <f>C72/$R72</f>
        <v/>
      </c>
      <c r="V72" s="41">
        <f>D72/$R72</f>
        <v/>
      </c>
      <c r="W72" s="41">
        <f>E72/$R72</f>
        <v/>
      </c>
      <c r="X72" s="41">
        <f>F72/$R72</f>
        <v/>
      </c>
      <c r="Y72" s="41">
        <f>G72/$R72</f>
        <v/>
      </c>
      <c r="Z72" s="41">
        <f>H72/$R72</f>
        <v/>
      </c>
      <c r="AA72" s="41">
        <f>I72/$R72</f>
        <v/>
      </c>
      <c r="AB72" s="41">
        <f>J72/$R72</f>
        <v/>
      </c>
      <c r="AC72" s="41">
        <f>K72/$R72</f>
        <v/>
      </c>
      <c r="AD72" s="41">
        <f>L72/$R72</f>
        <v/>
      </c>
      <c r="AE72" s="41">
        <f>M72/$R72</f>
        <v/>
      </c>
      <c r="AF72" s="41">
        <f>N72/$R72</f>
        <v/>
      </c>
      <c r="AG72" s="41">
        <f>O72/$R72</f>
        <v/>
      </c>
      <c r="AH72" s="41">
        <f>P72/$R72</f>
        <v/>
      </c>
      <c r="AI72" s="41">
        <f>Q72/$R72</f>
        <v/>
      </c>
      <c r="AJ72" s="41">
        <f>SUM(T72:W72)</f>
        <v/>
      </c>
      <c r="AK72" s="45">
        <f>SUM(X72:Z72)+AD72</f>
        <v/>
      </c>
      <c r="AL72" s="45">
        <f>SUM(AF72:AI72)+AJ72</f>
        <v/>
      </c>
      <c r="AM72" s="45">
        <f>AK72+AL72</f>
        <v/>
      </c>
      <c r="AN72" s="45">
        <f>SUM(AA72:AC72)</f>
        <v/>
      </c>
      <c r="AO72">
        <f>YEAR(A72)</f>
        <v/>
      </c>
      <c r="AP72">
        <f>MONTH(A72)</f>
        <v/>
      </c>
      <c r="AQ72">
        <f>AQ71+1</f>
        <v/>
      </c>
    </row>
    <row r="73" ht="15.75" customHeight="1" s="259">
      <c r="A73" s="8" t="n"/>
      <c r="T73" s="59" t="n"/>
      <c r="U73" s="59" t="n"/>
      <c r="V73" s="59" t="n"/>
      <c r="W73" s="59" t="n"/>
      <c r="X73" s="59" t="n"/>
      <c r="Y73" s="59" t="n"/>
      <c r="Z73" s="59" t="n"/>
      <c r="AA73" s="59" t="n"/>
      <c r="AB73" s="59" t="n"/>
      <c r="AC73" s="59" t="n"/>
      <c r="AD73" s="59" t="n"/>
      <c r="AE73" s="59" t="n"/>
      <c r="AF73" s="11" t="n"/>
      <c r="AG73" s="2" t="n"/>
      <c r="AH73" s="2" t="n"/>
      <c r="AI73" s="2" t="n"/>
      <c r="AJ73" s="2" t="n"/>
      <c r="AK73" s="45" t="n"/>
      <c r="AL73" s="45" t="n"/>
      <c r="AM73" s="45" t="n"/>
      <c r="AN73" s="45" t="n"/>
    </row>
    <row r="74" ht="15.75" customHeight="1" s="259">
      <c r="A74" s="8" t="n"/>
      <c r="T74" s="59" t="n"/>
      <c r="U74" s="59" t="n"/>
      <c r="V74" s="59" t="n"/>
      <c r="W74" s="59" t="n"/>
      <c r="X74" s="59" t="n"/>
      <c r="Y74" s="59" t="n"/>
      <c r="Z74" s="59" t="n"/>
      <c r="AA74" s="59" t="n"/>
      <c r="AB74" s="59" t="n"/>
      <c r="AC74" s="59" t="n"/>
      <c r="AD74" s="59" t="n"/>
      <c r="AE74" s="59" t="n"/>
      <c r="AF74" s="11" t="n"/>
      <c r="AG74" s="2" t="n"/>
      <c r="AH74" s="2" t="n"/>
      <c r="AI74" s="2" t="n"/>
      <c r="AJ74" s="2" t="n"/>
      <c r="AK74" s="45" t="n"/>
      <c r="AL74" s="45" t="n"/>
      <c r="AM74" s="45" t="n"/>
      <c r="AN74" s="45" t="n"/>
    </row>
    <row r="75" ht="15.75" customHeight="1" s="259">
      <c r="S75" s="38" t="inlineStr">
        <is>
          <t>Q8</t>
        </is>
      </c>
      <c r="T75" s="46">
        <f>AVERAGE(T2:T66)</f>
        <v/>
      </c>
      <c r="U75" s="46">
        <f>AVERAGE(U2:U66)</f>
        <v/>
      </c>
      <c r="V75" s="46">
        <f>AVERAGE(V2:V66)</f>
        <v/>
      </c>
      <c r="W75" s="46">
        <f>AVERAGE(W2:W66)</f>
        <v/>
      </c>
      <c r="X75" s="46">
        <f>AVERAGE(X2:X66)</f>
        <v/>
      </c>
      <c r="Y75" s="47">
        <f>AVERAGE(Y2:Y66)</f>
        <v/>
      </c>
      <c r="Z75" s="47">
        <f>AVERAGE(Z2:Z66)</f>
        <v/>
      </c>
      <c r="AA75" s="48">
        <f>AVERAGE(AA2:AA66)</f>
        <v/>
      </c>
      <c r="AB75" s="48">
        <f>AVERAGE(AB2:AB66)</f>
        <v/>
      </c>
      <c r="AC75" s="48">
        <f>AVERAGE(AC2:AC66)</f>
        <v/>
      </c>
      <c r="AD75" s="46">
        <f>AVERAGE(AD2:AD66)</f>
        <v/>
      </c>
      <c r="AE75" s="46">
        <f>AVERAGE(AE2:AE66)</f>
        <v/>
      </c>
      <c r="AF75" s="46">
        <f>AVERAGE(AF2:AF66)</f>
        <v/>
      </c>
      <c r="AG75" s="46">
        <f>AVERAGE(AG2:AG66)</f>
        <v/>
      </c>
      <c r="AH75" s="46">
        <f>AVERAGE(AH2:AH66)</f>
        <v/>
      </c>
      <c r="AI75" s="49">
        <f>AVERAGE(AI2:AI66)</f>
        <v/>
      </c>
      <c r="AJ75" s="55">
        <f>AVERAGE(AJ2:AJ66)</f>
        <v/>
      </c>
      <c r="AK75" s="50">
        <f>AVERAGE(AK2:AK66)</f>
        <v/>
      </c>
      <c r="AL75" s="49">
        <f>AVERAGE(AL2:AL66)</f>
        <v/>
      </c>
      <c r="AM75" s="50">
        <f>AVERAGE(AM2:AM66)</f>
        <v/>
      </c>
      <c r="AN75" s="50" t="n"/>
    </row>
    <row r="76" ht="15.75" customHeight="1" s="259"/>
    <row r="77" ht="15.75" customHeight="1" s="259">
      <c r="S77" s="38" t="n">
        <v>2024</v>
      </c>
      <c r="T77" s="91">
        <f>AVERAGE(T54:T67)</f>
        <v/>
      </c>
      <c r="U77" s="91">
        <f>AVERAGE(U54:U67)</f>
        <v/>
      </c>
      <c r="V77" s="91">
        <f>AVERAGE(V54:V67)</f>
        <v/>
      </c>
      <c r="W77" s="91">
        <f>AVERAGE(W54:W67)</f>
        <v/>
      </c>
      <c r="X77" s="91">
        <f>AVERAGE(X54:X67)</f>
        <v/>
      </c>
      <c r="Y77" s="91">
        <f>AVERAGE(Y54:Y67)</f>
        <v/>
      </c>
      <c r="Z77" s="91">
        <f>AVERAGE(Z54:Z67)</f>
        <v/>
      </c>
      <c r="AA77" s="91">
        <f>AVERAGE(AA54:AA67)</f>
        <v/>
      </c>
      <c r="AB77" s="91">
        <f>AVERAGE(AB54:AB67)</f>
        <v/>
      </c>
      <c r="AC77" s="91">
        <f>AVERAGE(AC54:AC67)</f>
        <v/>
      </c>
      <c r="AD77" s="91">
        <f>AVERAGE(AD54:AD67)</f>
        <v/>
      </c>
      <c r="AE77" s="91">
        <f>AVERAGE(AE54:AE67)</f>
        <v/>
      </c>
      <c r="AF77" s="91">
        <f>AVERAGE(AF54:AF67)</f>
        <v/>
      </c>
      <c r="AG77" s="91">
        <f>AVERAGE(AG54:AG67)</f>
        <v/>
      </c>
      <c r="AH77" s="91">
        <f>AVERAGE(AH54:AH67)</f>
        <v/>
      </c>
      <c r="AI77" s="91">
        <f>AVERAGE(AI54:AI67)</f>
        <v/>
      </c>
      <c r="AJ77" s="91">
        <f>AVERAGE(AJ54:AJ67)</f>
        <v/>
      </c>
      <c r="AK77" s="91">
        <f>AVERAGE(AK54:AK67)</f>
        <v/>
      </c>
      <c r="AL77" s="91">
        <f>AVERAGE(AL54:AL67)</f>
        <v/>
      </c>
      <c r="AM77" s="91">
        <f>AVERAGE(AM54:AM67)</f>
        <v/>
      </c>
      <c r="AN77" s="91" t="n"/>
    </row>
    <row r="78" ht="15.75" customHeight="1" s="259">
      <c r="S78" s="92" t="inlineStr">
        <is>
          <t>Janvier</t>
        </is>
      </c>
      <c r="T78" s="89">
        <f>AVERAGE(T54)</f>
        <v/>
      </c>
      <c r="U78" s="89">
        <f>AVERAGE(U54)</f>
        <v/>
      </c>
      <c r="V78" s="89">
        <f>AVERAGE(V54)</f>
        <v/>
      </c>
      <c r="W78" s="89">
        <f>AVERAGE(W54)</f>
        <v/>
      </c>
      <c r="X78" s="89">
        <f>AVERAGE(X54)</f>
        <v/>
      </c>
      <c r="Y78" s="89">
        <f>AVERAGE(Y54)</f>
        <v/>
      </c>
      <c r="Z78" s="89">
        <f>AVERAGE(Z54)</f>
        <v/>
      </c>
      <c r="AA78" s="89">
        <f>AVERAGE(AA54)</f>
        <v/>
      </c>
      <c r="AB78" s="89">
        <f>AVERAGE(AB54)</f>
        <v/>
      </c>
      <c r="AC78" s="89">
        <f>AVERAGE(AC54)</f>
        <v/>
      </c>
      <c r="AD78" s="89">
        <f>AVERAGE(AD54)</f>
        <v/>
      </c>
      <c r="AE78" s="89">
        <f>AVERAGE(AE54)</f>
        <v/>
      </c>
      <c r="AF78" s="89">
        <f>AVERAGE(AF54)</f>
        <v/>
      </c>
      <c r="AG78" s="89">
        <f>AVERAGE(AG54)</f>
        <v/>
      </c>
      <c r="AH78" s="89">
        <f>AVERAGE(AH54)</f>
        <v/>
      </c>
      <c r="AI78" s="89">
        <f>AVERAGE(AI54)</f>
        <v/>
      </c>
      <c r="AJ78" s="89">
        <f>AVERAGE(AJ54)</f>
        <v/>
      </c>
      <c r="AK78" s="89">
        <f>AVERAGE(AK54)</f>
        <v/>
      </c>
      <c r="AL78" s="89">
        <f>AVERAGE(AL54)</f>
        <v/>
      </c>
      <c r="AM78" s="89">
        <f>AVERAGE(AM54)</f>
        <v/>
      </c>
      <c r="AN78" s="89" t="n"/>
    </row>
    <row r="79" ht="15.75" customHeight="1" s="259">
      <c r="S79" s="92" t="inlineStr">
        <is>
          <t>Février</t>
        </is>
      </c>
      <c r="T79" s="89">
        <f>AVERAGE(T55)</f>
        <v/>
      </c>
      <c r="U79" s="89">
        <f>AVERAGE(U55)</f>
        <v/>
      </c>
      <c r="V79" s="89">
        <f>AVERAGE(V55)</f>
        <v/>
      </c>
      <c r="W79" s="89">
        <f>AVERAGE(W55)</f>
        <v/>
      </c>
      <c r="X79" s="89">
        <f>AVERAGE(X55)</f>
        <v/>
      </c>
      <c r="Y79" s="89">
        <f>AVERAGE(Y55)</f>
        <v/>
      </c>
      <c r="Z79" s="89">
        <f>AVERAGE(Z55)</f>
        <v/>
      </c>
      <c r="AA79" s="89">
        <f>AVERAGE(AA55)</f>
        <v/>
      </c>
      <c r="AB79" s="89">
        <f>AVERAGE(AB55)</f>
        <v/>
      </c>
      <c r="AC79" s="89">
        <f>AVERAGE(AC55)</f>
        <v/>
      </c>
      <c r="AD79" s="89">
        <f>AVERAGE(AD55)</f>
        <v/>
      </c>
      <c r="AE79" s="89">
        <f>AVERAGE(AE55)</f>
        <v/>
      </c>
      <c r="AF79" s="89">
        <f>AVERAGE(AF55)</f>
        <v/>
      </c>
      <c r="AG79" s="89">
        <f>AVERAGE(AG55)</f>
        <v/>
      </c>
      <c r="AH79" s="89">
        <f>AVERAGE(AH55)</f>
        <v/>
      </c>
      <c r="AI79" s="89">
        <f>AVERAGE(AI55)</f>
        <v/>
      </c>
      <c r="AJ79" s="89">
        <f>AVERAGE(AJ55)</f>
        <v/>
      </c>
      <c r="AK79" s="89">
        <f>AVERAGE(AK55)</f>
        <v/>
      </c>
      <c r="AL79" s="89">
        <f>AVERAGE(AL55)</f>
        <v/>
      </c>
      <c r="AM79" s="89">
        <f>AVERAGE(AM55)</f>
        <v/>
      </c>
      <c r="AN79" s="89" t="n"/>
    </row>
    <row r="80" ht="15.75" customHeight="1" s="259">
      <c r="S80" s="92" t="inlineStr">
        <is>
          <t>Mars</t>
        </is>
      </c>
      <c r="T80" s="109" t="inlineStr">
        <is>
          <t>/</t>
        </is>
      </c>
      <c r="U80" s="109" t="inlineStr">
        <is>
          <t>/</t>
        </is>
      </c>
      <c r="V80" s="109" t="inlineStr">
        <is>
          <t>/</t>
        </is>
      </c>
      <c r="W80" s="109" t="inlineStr">
        <is>
          <t>/</t>
        </is>
      </c>
      <c r="X80" s="109" t="inlineStr">
        <is>
          <t>/</t>
        </is>
      </c>
      <c r="Y80" s="109" t="inlineStr">
        <is>
          <t>/</t>
        </is>
      </c>
      <c r="Z80" s="109" t="inlineStr">
        <is>
          <t>/</t>
        </is>
      </c>
      <c r="AA80" s="109" t="inlineStr">
        <is>
          <t>/</t>
        </is>
      </c>
      <c r="AB80" s="109" t="inlineStr">
        <is>
          <t>/</t>
        </is>
      </c>
      <c r="AC80" s="109" t="inlineStr">
        <is>
          <t>/</t>
        </is>
      </c>
      <c r="AD80" s="109" t="inlineStr">
        <is>
          <t>/</t>
        </is>
      </c>
      <c r="AE80" s="109" t="inlineStr">
        <is>
          <t>/</t>
        </is>
      </c>
      <c r="AF80" s="109" t="inlineStr">
        <is>
          <t>/</t>
        </is>
      </c>
      <c r="AG80" s="109" t="inlineStr">
        <is>
          <t>/</t>
        </is>
      </c>
      <c r="AH80" s="109" t="inlineStr">
        <is>
          <t>/</t>
        </is>
      </c>
      <c r="AI80" s="109" t="inlineStr">
        <is>
          <t>/</t>
        </is>
      </c>
      <c r="AJ80" s="109" t="inlineStr">
        <is>
          <t>/</t>
        </is>
      </c>
      <c r="AK80" s="109" t="inlineStr">
        <is>
          <t>/</t>
        </is>
      </c>
      <c r="AL80" s="109" t="inlineStr">
        <is>
          <t>/</t>
        </is>
      </c>
      <c r="AM80" s="109" t="inlineStr">
        <is>
          <t>/</t>
        </is>
      </c>
      <c r="AN80" s="109" t="n"/>
    </row>
    <row r="81" ht="15.75" customHeight="1" s="259">
      <c r="S81" s="92" t="inlineStr">
        <is>
          <t>Avril</t>
        </is>
      </c>
      <c r="T81" s="89">
        <f>AVERAGE(T56:T60)</f>
        <v/>
      </c>
      <c r="U81" s="89">
        <f>AVERAGE(U56:U60)</f>
        <v/>
      </c>
      <c r="V81" s="89">
        <f>AVERAGE(V56:V60)</f>
        <v/>
      </c>
      <c r="W81" s="89">
        <f>AVERAGE(W56:W60)</f>
        <v/>
      </c>
      <c r="X81" s="89">
        <f>AVERAGE(X56:X60)</f>
        <v/>
      </c>
      <c r="Y81" s="89">
        <f>AVERAGE(Y56:Y60)</f>
        <v/>
      </c>
      <c r="Z81" s="89">
        <f>AVERAGE(Z56:Z60)</f>
        <v/>
      </c>
      <c r="AA81" s="89">
        <f>AVERAGE(AA56:AA60)</f>
        <v/>
      </c>
      <c r="AB81" s="89">
        <f>AVERAGE(AB56:AB60)</f>
        <v/>
      </c>
      <c r="AC81" s="89">
        <f>AVERAGE(AC56:AC60)</f>
        <v/>
      </c>
      <c r="AD81" s="89">
        <f>AVERAGE(AD56:AD60)</f>
        <v/>
      </c>
      <c r="AE81" s="89">
        <f>AVERAGE(AE56:AE60)</f>
        <v/>
      </c>
      <c r="AF81" s="89">
        <f>AVERAGE(AF56:AF60)</f>
        <v/>
      </c>
      <c r="AG81" s="89">
        <f>AVERAGE(AG56:AG60)</f>
        <v/>
      </c>
      <c r="AH81" s="89">
        <f>AVERAGE(AH56:AH60)</f>
        <v/>
      </c>
      <c r="AI81" s="89">
        <f>AVERAGE(AI56:AI60)</f>
        <v/>
      </c>
      <c r="AJ81" s="89">
        <f>AVERAGE(AJ56:AJ60)</f>
        <v/>
      </c>
      <c r="AK81" s="89">
        <f>AVERAGE(AK56:AK60)</f>
        <v/>
      </c>
      <c r="AL81" s="89">
        <f>AVERAGE(AL56:AL60)</f>
        <v/>
      </c>
      <c r="AM81" s="89">
        <f>AVERAGE(AM56:AM60)</f>
        <v/>
      </c>
    </row>
    <row r="82" ht="15.75" customHeight="1" s="259">
      <c r="S82" s="92" t="inlineStr">
        <is>
          <t>Juin</t>
        </is>
      </c>
      <c r="T82" s="89">
        <f>AVERAGE(T61)</f>
        <v/>
      </c>
      <c r="U82" s="89">
        <f>AVERAGE(U61)</f>
        <v/>
      </c>
      <c r="V82" s="89">
        <f>AVERAGE(V61)</f>
        <v/>
      </c>
      <c r="W82" s="89">
        <f>AVERAGE(W61)</f>
        <v/>
      </c>
      <c r="X82" s="89">
        <f>AVERAGE(X61)</f>
        <v/>
      </c>
      <c r="Y82" s="89">
        <f>AVERAGE(Y61)</f>
        <v/>
      </c>
      <c r="Z82" s="89">
        <f>AVERAGE(Z61)</f>
        <v/>
      </c>
      <c r="AA82" s="89">
        <f>AVERAGE(AA61)</f>
        <v/>
      </c>
      <c r="AB82" s="89">
        <f>AVERAGE(AB61)</f>
        <v/>
      </c>
      <c r="AC82" s="89">
        <f>AVERAGE(AC61)</f>
        <v/>
      </c>
      <c r="AD82" s="89">
        <f>AVERAGE(AD61)</f>
        <v/>
      </c>
      <c r="AE82" s="89">
        <f>AVERAGE(AE61)</f>
        <v/>
      </c>
      <c r="AF82" s="89">
        <f>AVERAGE(AF61)</f>
        <v/>
      </c>
      <c r="AG82" s="89">
        <f>AVERAGE(AG61)</f>
        <v/>
      </c>
      <c r="AH82" s="89">
        <f>AVERAGE(AH61)</f>
        <v/>
      </c>
      <c r="AI82" s="89">
        <f>AVERAGE(AI61)</f>
        <v/>
      </c>
      <c r="AJ82" s="89">
        <f>AVERAGE(AJ61)</f>
        <v/>
      </c>
      <c r="AK82" s="89">
        <f>AVERAGE(AK61)</f>
        <v/>
      </c>
      <c r="AL82" s="89">
        <f>AVERAGE(AL61)</f>
        <v/>
      </c>
      <c r="AM82" s="89">
        <f>AVERAGE(AM61)</f>
        <v/>
      </c>
    </row>
    <row r="83" ht="15" customHeight="1" s="259">
      <c r="S83" s="92" t="inlineStr">
        <is>
          <t>Juillet</t>
        </is>
      </c>
      <c r="T83" s="89">
        <f>AVERAGE(T62:T63)</f>
        <v/>
      </c>
      <c r="U83" s="89">
        <f>AVERAGE(U62:U63)</f>
        <v/>
      </c>
      <c r="V83" s="89">
        <f>AVERAGE(V62:V63)</f>
        <v/>
      </c>
      <c r="W83" s="89">
        <f>AVERAGE(W62:W63)</f>
        <v/>
      </c>
      <c r="X83" s="89">
        <f>AVERAGE(X62:X63)</f>
        <v/>
      </c>
      <c r="Y83" s="89">
        <f>AVERAGE(Y62:Y63)</f>
        <v/>
      </c>
      <c r="Z83" s="89">
        <f>AVERAGE(Z62:Z63)</f>
        <v/>
      </c>
      <c r="AA83" s="89">
        <f>AVERAGE(AA62:AA63)</f>
        <v/>
      </c>
      <c r="AB83" s="89">
        <f>AVERAGE(AB62:AB63)</f>
        <v/>
      </c>
      <c r="AC83" s="89">
        <f>AVERAGE(AC62:AC63)</f>
        <v/>
      </c>
      <c r="AD83" s="89">
        <f>AVERAGE(AD62:AD63)</f>
        <v/>
      </c>
      <c r="AE83" s="89">
        <f>AVERAGE(AE62:AE63)</f>
        <v/>
      </c>
      <c r="AF83" s="89">
        <f>AVERAGE(AF62:AF63)</f>
        <v/>
      </c>
      <c r="AG83" s="89">
        <f>AVERAGE(AG62:AG63)</f>
        <v/>
      </c>
      <c r="AH83" s="89">
        <f>AVERAGE(AH62:AH63)</f>
        <v/>
      </c>
      <c r="AI83" s="89">
        <f>AVERAGE(AI62:AI63)</f>
        <v/>
      </c>
      <c r="AJ83" s="89">
        <f>AVERAGE(AJ62:AJ63)</f>
        <v/>
      </c>
      <c r="AK83" s="89">
        <f>AVERAGE(AK62:AK63)</f>
        <v/>
      </c>
      <c r="AL83" s="89">
        <f>AVERAGE(AL62:AL63)</f>
        <v/>
      </c>
      <c r="AM83" s="89">
        <f>AVERAGE(AM62:AM63)</f>
        <v/>
      </c>
    </row>
    <row r="84" ht="15" customHeight="1" s="259">
      <c r="S84" s="92" t="inlineStr">
        <is>
          <t>Aout</t>
        </is>
      </c>
      <c r="T84" s="89">
        <f>AVERAGE(T64:T66)</f>
        <v/>
      </c>
      <c r="U84" s="89">
        <f>AVERAGE(U64:U66)</f>
        <v/>
      </c>
      <c r="V84" s="89">
        <f>AVERAGE(V64:V66)</f>
        <v/>
      </c>
      <c r="W84" s="89">
        <f>AVERAGE(W64:W66)</f>
        <v/>
      </c>
      <c r="X84" s="89">
        <f>AVERAGE(X64:X66)</f>
        <v/>
      </c>
      <c r="Y84" s="89">
        <f>AVERAGE(Y64:Y66)</f>
        <v/>
      </c>
      <c r="Z84" s="89">
        <f>AVERAGE(Z64:Z66)</f>
        <v/>
      </c>
      <c r="AA84" s="89">
        <f>AVERAGE(AA64:AA66)</f>
        <v/>
      </c>
      <c r="AB84" s="89">
        <f>AVERAGE(AB64:AB66)</f>
        <v/>
      </c>
      <c r="AC84" s="89">
        <f>AVERAGE(AC64:AC66)</f>
        <v/>
      </c>
      <c r="AD84" s="89">
        <f>AVERAGE(AD64:AD66)</f>
        <v/>
      </c>
      <c r="AE84" s="89">
        <f>AVERAGE(AE64:AE66)</f>
        <v/>
      </c>
      <c r="AF84" s="89">
        <f>AVERAGE(AF64:AF66)</f>
        <v/>
      </c>
      <c r="AG84" s="89">
        <f>AVERAGE(AG64:AG66)</f>
        <v/>
      </c>
      <c r="AH84" s="89">
        <f>AVERAGE(AH64:AH66)</f>
        <v/>
      </c>
      <c r="AI84" s="89">
        <f>AVERAGE(AI64:AI66)</f>
        <v/>
      </c>
      <c r="AJ84" s="89">
        <f>AVERAGE(AJ64:AJ66)</f>
        <v/>
      </c>
      <c r="AK84" s="89">
        <f>AVERAGE(AK64:AK66)</f>
        <v/>
      </c>
      <c r="AL84" s="89">
        <f>AVERAGE(AL64:AL66)</f>
        <v/>
      </c>
      <c r="AM84" s="89">
        <f>AVERAGE(AM64:AM66)</f>
        <v/>
      </c>
    </row>
    <row r="85" ht="30" customHeight="1" s="259">
      <c r="S85" s="92" t="inlineStr">
        <is>
          <t>Septembre</t>
        </is>
      </c>
      <c r="T85" s="109" t="inlineStr">
        <is>
          <t>/</t>
        </is>
      </c>
      <c r="U85" s="109" t="inlineStr">
        <is>
          <t>/</t>
        </is>
      </c>
      <c r="V85" s="109" t="inlineStr">
        <is>
          <t>/</t>
        </is>
      </c>
      <c r="W85" s="109" t="inlineStr">
        <is>
          <t>/</t>
        </is>
      </c>
      <c r="X85" s="109" t="inlineStr">
        <is>
          <t>/</t>
        </is>
      </c>
      <c r="Y85" s="109" t="inlineStr">
        <is>
          <t>/</t>
        </is>
      </c>
      <c r="Z85" s="109" t="inlineStr">
        <is>
          <t>/</t>
        </is>
      </c>
      <c r="AA85" s="109" t="inlineStr">
        <is>
          <t>/</t>
        </is>
      </c>
      <c r="AB85" s="109" t="inlineStr">
        <is>
          <t>/</t>
        </is>
      </c>
      <c r="AC85" s="109" t="inlineStr">
        <is>
          <t>/</t>
        </is>
      </c>
      <c r="AD85" s="109" t="inlineStr">
        <is>
          <t>/</t>
        </is>
      </c>
      <c r="AE85" s="109" t="inlineStr">
        <is>
          <t>/</t>
        </is>
      </c>
      <c r="AF85" s="109" t="inlineStr">
        <is>
          <t>/</t>
        </is>
      </c>
      <c r="AG85" s="109" t="inlineStr">
        <is>
          <t>/</t>
        </is>
      </c>
      <c r="AH85" s="109" t="inlineStr">
        <is>
          <t>/</t>
        </is>
      </c>
      <c r="AI85" s="109" t="inlineStr">
        <is>
          <t>/</t>
        </is>
      </c>
      <c r="AJ85" s="109" t="inlineStr">
        <is>
          <t>/</t>
        </is>
      </c>
      <c r="AK85" s="109" t="inlineStr">
        <is>
          <t>/</t>
        </is>
      </c>
      <c r="AL85" s="109" t="inlineStr">
        <is>
          <t>/</t>
        </is>
      </c>
      <c r="AM85" s="109" t="inlineStr">
        <is>
          <t>/</t>
        </is>
      </c>
    </row>
    <row r="86" ht="15" customHeight="1" s="259">
      <c r="S86" s="92" t="inlineStr">
        <is>
          <t>Octobre</t>
        </is>
      </c>
      <c r="T86" s="89" t="n"/>
      <c r="U86" s="89" t="n"/>
      <c r="V86" s="89" t="n"/>
      <c r="W86" s="89" t="n"/>
      <c r="X86" s="89" t="n"/>
      <c r="Y86" s="89" t="n"/>
      <c r="Z86" s="89" t="n"/>
      <c r="AA86" s="89" t="n"/>
      <c r="AB86" s="89" t="n"/>
      <c r="AC86" s="89" t="n"/>
      <c r="AD86" s="89" t="n"/>
      <c r="AE86" s="89" t="n"/>
      <c r="AF86" s="89" t="n"/>
      <c r="AG86" s="89" t="n"/>
      <c r="AH86" s="89" t="n"/>
      <c r="AI86" s="89" t="n"/>
      <c r="AJ86" s="89" t="n"/>
      <c r="AK86" s="89" t="n"/>
      <c r="AL86" s="89" t="n"/>
      <c r="AM86" s="89" t="n"/>
    </row>
    <row r="87" ht="15" customHeight="1" s="259">
      <c r="S87" s="92" t="inlineStr">
        <is>
          <t>Novembre</t>
        </is>
      </c>
      <c r="T87" s="89" t="n"/>
      <c r="U87" s="89" t="n"/>
      <c r="V87" s="89" t="n"/>
      <c r="W87" s="89" t="n"/>
      <c r="X87" s="89" t="n"/>
      <c r="Y87" s="89" t="n"/>
      <c r="Z87" s="89" t="n"/>
      <c r="AA87" s="89" t="n"/>
      <c r="AB87" s="89" t="n"/>
      <c r="AC87" s="89" t="n"/>
      <c r="AD87" s="89" t="n"/>
      <c r="AE87" s="89" t="n"/>
      <c r="AF87" s="89" t="n"/>
      <c r="AG87" s="89" t="n"/>
      <c r="AH87" s="89" t="n"/>
      <c r="AI87" s="89" t="n"/>
      <c r="AJ87" s="89" t="n"/>
      <c r="AK87" s="89" t="n"/>
      <c r="AL87" s="89" t="n"/>
      <c r="AM87" s="89" t="n"/>
    </row>
    <row r="88" ht="15" customHeight="1" s="259">
      <c r="S88" s="92" t="inlineStr">
        <is>
          <t>Decembre</t>
        </is>
      </c>
      <c r="T88" s="89" t="n"/>
      <c r="U88" s="89" t="n"/>
      <c r="V88" s="89" t="n"/>
      <c r="W88" s="89" t="n"/>
      <c r="X88" s="89" t="n"/>
      <c r="Y88" s="89" t="n"/>
      <c r="Z88" s="89" t="n"/>
      <c r="AA88" s="89" t="n"/>
      <c r="AB88" s="89" t="n"/>
      <c r="AC88" s="89" t="n"/>
      <c r="AD88" s="89" t="n"/>
      <c r="AE88" s="89" t="n"/>
      <c r="AF88" s="89" t="n"/>
      <c r="AG88" s="89" t="n"/>
      <c r="AH88" s="89" t="n"/>
      <c r="AI88" s="89" t="n"/>
      <c r="AJ88" s="89" t="n"/>
      <c r="AK88" s="89" t="n"/>
      <c r="AL88" s="89" t="n"/>
      <c r="AM88" s="89" t="n"/>
    </row>
  </sheetData>
  <autoFilter ref="A1:AM68">
    <filterColumn colId="0" hiddenButton="0" showButton="1">
      <filters>
        <dateGroupItem year="2025" dateTimeGrouping="year"/>
      </filters>
    </filterColumn>
  </autoFilter>
  <pageMargins left="0.7086614173228347" right="0.7086614173228347" top="0.7480314960629921" bottom="0.7480314960629921" header="0.3149606299212598" footer="0.3149606299212598"/>
  <pageSetup orientation="landscape" paperSize="9" scale="22"/>
</worksheet>
</file>

<file path=xl/worksheets/sheet13.xml><?xml version="1.0" encoding="utf-8"?>
<worksheet xmlns="http://schemas.openxmlformats.org/spreadsheetml/2006/main">
  <sheetPr codeName="Feuil11" filterMode="1">
    <tabColor rgb="FFFFC000"/>
    <outlinePr summaryBelow="1" summaryRight="1"/>
    <pageSetUpPr fitToPage="1"/>
  </sheetPr>
  <dimension ref="A1:AO54"/>
  <sheetViews>
    <sheetView zoomScale="70" zoomScaleNormal="70" workbookViewId="0">
      <pane ySplit="1" topLeftCell="A36" activePane="bottomLeft" state="frozen"/>
      <selection activeCell="H12" sqref="H12"/>
      <selection pane="bottomLeft" activeCell="H12" sqref="H12"/>
    </sheetView>
  </sheetViews>
  <sheetFormatPr baseColWidth="10" defaultRowHeight="20.25"/>
  <cols>
    <col width="13.7109375" customWidth="1" style="259" min="1" max="1"/>
    <col width="12.42578125" customWidth="1" style="259" min="3" max="3"/>
    <col width="13.28515625" customWidth="1" style="259" min="4" max="4"/>
    <col width="10.42578125" customWidth="1" style="259" min="6" max="6"/>
    <col width="15.7109375" customWidth="1" style="259" min="7" max="8"/>
    <col width="9.7109375" customWidth="1" style="259" min="14" max="14"/>
    <col width="13.28515625" customWidth="1" style="259" min="16" max="16"/>
    <col width="12.42578125" customWidth="1" style="38" min="18" max="18"/>
    <col width="11.42578125" customWidth="1" style="259" min="19" max="19"/>
    <col width="12.42578125" customWidth="1" style="259" min="20" max="20"/>
    <col width="12.7109375" customWidth="1" style="259" min="21" max="21"/>
    <col width="18" customWidth="1" style="259" min="24" max="25"/>
  </cols>
  <sheetData>
    <row r="1" ht="108" customHeight="1" s="259">
      <c r="A1" s="38" t="inlineStr">
        <is>
          <t>Date</t>
        </is>
      </c>
      <c r="B1" s="38" t="inlineStr">
        <is>
          <t>JRM</t>
        </is>
      </c>
      <c r="C1" s="38" t="inlineStr">
        <is>
          <t>Cartons 1.05</t>
        </is>
      </c>
      <c r="D1" s="38" t="inlineStr">
        <is>
          <t>Cartons 1.04</t>
        </is>
      </c>
      <c r="E1" s="38" t="inlineStr">
        <is>
          <t>GM</t>
        </is>
      </c>
      <c r="F1" s="37" t="inlineStr">
        <is>
          <t>ELA</t>
        </is>
      </c>
      <c r="G1" s="37" t="inlineStr">
        <is>
          <t>PET Q7</t>
        </is>
      </c>
      <c r="H1" s="37" t="inlineStr">
        <is>
          <t>PET Q8</t>
        </is>
      </c>
      <c r="I1" s="56" t="inlineStr">
        <is>
          <t>PEHD</t>
        </is>
      </c>
      <c r="J1" s="56" t="inlineStr">
        <is>
          <t>PP</t>
        </is>
      </c>
      <c r="K1" s="36" t="inlineStr">
        <is>
          <t>PS</t>
        </is>
      </c>
      <c r="L1" s="37" t="inlineStr">
        <is>
          <t>films</t>
        </is>
      </c>
      <c r="M1" s="38" t="inlineStr">
        <is>
          <t>acier</t>
        </is>
      </c>
      <c r="N1" s="38" t="inlineStr">
        <is>
          <t>alu</t>
        </is>
      </c>
      <c r="O1" s="38" t="inlineStr">
        <is>
          <t>petits alu</t>
        </is>
      </c>
      <c r="P1" s="33" t="inlineStr">
        <is>
          <t>refus indésirables</t>
        </is>
      </c>
      <c r="Q1" s="38" t="inlineStr">
        <is>
          <t>TOTAL</t>
        </is>
      </c>
      <c r="S1" s="38" t="inlineStr">
        <is>
          <t>JRM</t>
        </is>
      </c>
      <c r="T1" s="38" t="inlineStr">
        <is>
          <t>Cartons 1.05</t>
        </is>
      </c>
      <c r="U1" s="38" t="inlineStr">
        <is>
          <t>Cartons 1.04</t>
        </is>
      </c>
      <c r="V1" s="38" t="inlineStr">
        <is>
          <t>GM</t>
        </is>
      </c>
      <c r="W1" s="37" t="inlineStr">
        <is>
          <t>ELA</t>
        </is>
      </c>
      <c r="X1" s="37" t="inlineStr">
        <is>
          <t>PET Q7</t>
        </is>
      </c>
      <c r="Y1" s="37" t="inlineStr">
        <is>
          <t>PET Q8</t>
        </is>
      </c>
      <c r="Z1" s="56" t="inlineStr">
        <is>
          <t>PEHD</t>
        </is>
      </c>
      <c r="AA1" s="56" t="inlineStr">
        <is>
          <t>PP</t>
        </is>
      </c>
      <c r="AB1" s="56" t="inlineStr">
        <is>
          <t>PS</t>
        </is>
      </c>
      <c r="AC1" s="37" t="inlineStr">
        <is>
          <t>films</t>
        </is>
      </c>
      <c r="AD1" s="38" t="inlineStr">
        <is>
          <t>acier</t>
        </is>
      </c>
      <c r="AE1" s="38" t="inlineStr">
        <is>
          <t>alu</t>
        </is>
      </c>
      <c r="AF1" s="38" t="inlineStr">
        <is>
          <t>petits alu</t>
        </is>
      </c>
      <c r="AG1" s="33" t="inlineStr">
        <is>
          <t>refus indésirables</t>
        </is>
      </c>
      <c r="AH1" s="32" t="inlineStr">
        <is>
          <t>TOTAL refus fibreux valorisables</t>
        </is>
      </c>
      <c r="AI1" s="31" t="inlineStr">
        <is>
          <t>TOTAL refus non fibreux valorisables</t>
        </is>
      </c>
      <c r="AJ1" s="33" t="inlineStr">
        <is>
          <t xml:space="preserve">TOTAL REFUS </t>
        </is>
      </c>
      <c r="AK1" s="31" t="inlineStr">
        <is>
          <t>TOTAL REFUS + refus non fibreux</t>
        </is>
      </c>
      <c r="AL1" s="38" t="inlineStr">
        <is>
          <t>PEPPPS</t>
        </is>
      </c>
      <c r="AM1" s="38" t="inlineStr">
        <is>
          <t>Annee</t>
        </is>
      </c>
      <c r="AN1" s="38" t="inlineStr">
        <is>
          <t>Mois</t>
        </is>
      </c>
      <c r="AO1" s="38" t="inlineStr">
        <is>
          <t>Nb caract</t>
        </is>
      </c>
    </row>
    <row r="2" hidden="1" ht="15.75" customHeight="1" s="259">
      <c r="A2" s="9" t="n">
        <v>44642</v>
      </c>
      <c r="B2" s="2" t="n"/>
      <c r="C2" s="2" t="n"/>
      <c r="D2" s="2" t="n"/>
      <c r="E2" s="2" t="n"/>
      <c r="F2" s="2" t="n"/>
      <c r="G2" s="2" t="n">
        <v>0.06</v>
      </c>
      <c r="H2" s="2" t="n"/>
      <c r="I2" s="2" t="n">
        <v>15.5</v>
      </c>
      <c r="J2" s="2" t="n"/>
      <c r="K2" s="2" t="n">
        <v>8.08</v>
      </c>
      <c r="L2" s="2" t="n">
        <v>0.08</v>
      </c>
      <c r="M2" s="2" t="n"/>
      <c r="N2" s="2" t="n"/>
      <c r="O2" s="2" t="n"/>
      <c r="P2" s="2" t="n">
        <v>0.86</v>
      </c>
      <c r="Q2">
        <f>SUM(B2:P2)</f>
        <v/>
      </c>
      <c r="S2" s="41">
        <f>B2/$Q2</f>
        <v/>
      </c>
      <c r="T2" s="41">
        <f>C2/$Q2</f>
        <v/>
      </c>
      <c r="U2" s="41">
        <f>D2/$Q2</f>
        <v/>
      </c>
      <c r="V2" s="41">
        <f>E2/$Q2</f>
        <v/>
      </c>
      <c r="W2" s="41">
        <f>F2/$Q2</f>
        <v/>
      </c>
      <c r="X2" s="41">
        <f>G2/$Q2</f>
        <v/>
      </c>
      <c r="Y2" s="41">
        <f>H2/$Q2</f>
        <v/>
      </c>
      <c r="Z2" s="41">
        <f>I2/$Q2</f>
        <v/>
      </c>
      <c r="AA2" s="41">
        <f>J2/$Q2</f>
        <v/>
      </c>
      <c r="AB2" s="41">
        <f>K2/$Q2</f>
        <v/>
      </c>
      <c r="AC2" s="41">
        <f>L2/$Q2</f>
        <v/>
      </c>
      <c r="AD2" s="41">
        <f>M2/$Q2</f>
        <v/>
      </c>
      <c r="AE2" s="41">
        <f>N2/$Q2</f>
        <v/>
      </c>
      <c r="AF2" s="41">
        <f>O2/$Q2</f>
        <v/>
      </c>
      <c r="AG2" s="41">
        <f>P2/$Q2</f>
        <v/>
      </c>
      <c r="AH2" s="41">
        <f>SUM(S2:V2)</f>
        <v/>
      </c>
      <c r="AI2" s="41">
        <f>SUM(W2:Y2)+AC2</f>
        <v/>
      </c>
      <c r="AJ2" s="41">
        <f>AG2+AH2</f>
        <v/>
      </c>
      <c r="AK2" s="41">
        <f>AI2+AJ2</f>
        <v/>
      </c>
      <c r="AL2" s="41" t="n"/>
    </row>
    <row r="3" hidden="1" ht="15.75" customHeight="1" s="259">
      <c r="A3" s="9" t="n">
        <v>44648</v>
      </c>
      <c r="B3" s="2" t="n">
        <v>0.02</v>
      </c>
      <c r="C3" s="2" t="n"/>
      <c r="D3" s="2" t="n">
        <v>0.08</v>
      </c>
      <c r="E3" s="2" t="n"/>
      <c r="F3" s="2" t="n">
        <v>0.1</v>
      </c>
      <c r="G3" s="2" t="n">
        <v>0.08</v>
      </c>
      <c r="H3" s="2" t="n"/>
      <c r="I3" s="2" t="n">
        <v>19.58</v>
      </c>
      <c r="J3" s="2" t="n"/>
      <c r="K3" s="2" t="n">
        <v>4.1</v>
      </c>
      <c r="L3" s="2" t="n">
        <v>0.12</v>
      </c>
      <c r="M3" s="2" t="n">
        <v>0.04</v>
      </c>
      <c r="N3" s="2" t="n"/>
      <c r="O3" s="2" t="n"/>
      <c r="P3" s="2" t="n">
        <v>0.6</v>
      </c>
      <c r="Q3">
        <f>SUM(B3:P3)</f>
        <v/>
      </c>
      <c r="S3" s="41">
        <f>B3/$Q3</f>
        <v/>
      </c>
      <c r="T3" s="41">
        <f>C3/$Q3</f>
        <v/>
      </c>
      <c r="U3" s="41">
        <f>D3/$Q3</f>
        <v/>
      </c>
      <c r="V3" s="41">
        <f>E3/$Q3</f>
        <v/>
      </c>
      <c r="W3" s="41">
        <f>F3/$Q3</f>
        <v/>
      </c>
      <c r="X3" s="41">
        <f>G3/$Q3</f>
        <v/>
      </c>
      <c r="Y3" s="41">
        <f>H3/$Q3</f>
        <v/>
      </c>
      <c r="Z3" s="41">
        <f>I3/$Q3</f>
        <v/>
      </c>
      <c r="AA3" s="41">
        <f>J3/$Q3</f>
        <v/>
      </c>
      <c r="AB3" s="41">
        <f>K3/$Q3</f>
        <v/>
      </c>
      <c r="AC3" s="41">
        <f>L3/$Q3</f>
        <v/>
      </c>
      <c r="AD3" s="41">
        <f>M3/$Q3</f>
        <v/>
      </c>
      <c r="AE3" s="41">
        <f>N3/$Q3</f>
        <v/>
      </c>
      <c r="AF3" s="41">
        <f>O3/$Q3</f>
        <v/>
      </c>
      <c r="AG3" s="41">
        <f>P3/$Q3</f>
        <v/>
      </c>
      <c r="AH3" s="41">
        <f>SUM(S3:V3)</f>
        <v/>
      </c>
      <c r="AI3" s="41">
        <f>SUM(W3:Y3)+AC3</f>
        <v/>
      </c>
      <c r="AJ3" s="41">
        <f>AG3+AH3</f>
        <v/>
      </c>
      <c r="AK3" s="41">
        <f>AI3+AJ3</f>
        <v/>
      </c>
      <c r="AL3" s="41" t="n"/>
    </row>
    <row r="4" hidden="1" ht="15.75" customHeight="1" s="259">
      <c r="A4" s="9" t="n">
        <v>44662</v>
      </c>
      <c r="B4" s="2" t="n"/>
      <c r="C4" s="2" t="n"/>
      <c r="D4" s="2" t="n">
        <v>0.08</v>
      </c>
      <c r="E4" s="2" t="n"/>
      <c r="F4" s="2" t="n">
        <v>0.06</v>
      </c>
      <c r="G4" s="2" t="n">
        <v>0.08</v>
      </c>
      <c r="H4" s="2" t="n">
        <v>0.14</v>
      </c>
      <c r="I4" s="2" t="n">
        <v>19.69</v>
      </c>
      <c r="J4" s="2" t="n"/>
      <c r="K4" s="2" t="n">
        <v>3.06</v>
      </c>
      <c r="L4" s="2" t="n">
        <v>0.16</v>
      </c>
      <c r="M4" s="2" t="n"/>
      <c r="N4" s="2" t="n">
        <v>0.04</v>
      </c>
      <c r="O4" s="2" t="n"/>
      <c r="P4" s="2" t="n">
        <v>0.52</v>
      </c>
      <c r="Q4">
        <f>SUM(B4:P4)</f>
        <v/>
      </c>
      <c r="S4" s="41">
        <f>B4/$Q4</f>
        <v/>
      </c>
      <c r="T4" s="41">
        <f>C4/$Q4</f>
        <v/>
      </c>
      <c r="U4" s="41">
        <f>D4/$Q4</f>
        <v/>
      </c>
      <c r="V4" s="41">
        <f>E4/$Q4</f>
        <v/>
      </c>
      <c r="W4" s="41">
        <f>F4/$Q4</f>
        <v/>
      </c>
      <c r="X4" s="41">
        <f>G4/$Q4</f>
        <v/>
      </c>
      <c r="Y4" s="41">
        <f>H4/$Q4</f>
        <v/>
      </c>
      <c r="Z4" s="41">
        <f>I4/$Q4</f>
        <v/>
      </c>
      <c r="AA4" s="41">
        <f>J4/$Q4</f>
        <v/>
      </c>
      <c r="AB4" s="41">
        <f>K4/$Q4</f>
        <v/>
      </c>
      <c r="AC4" s="41">
        <f>L4/$Q4</f>
        <v/>
      </c>
      <c r="AD4" s="41">
        <f>M4/$Q4</f>
        <v/>
      </c>
      <c r="AE4" s="41">
        <f>N4/$Q4</f>
        <v/>
      </c>
      <c r="AF4" s="41">
        <f>O4/$Q4</f>
        <v/>
      </c>
      <c r="AG4" s="41">
        <f>P4/$Q4</f>
        <v/>
      </c>
      <c r="AH4" s="41">
        <f>SUM(S4:V4)</f>
        <v/>
      </c>
      <c r="AI4" s="41">
        <f>SUM(W4:Y4)+AC4</f>
        <v/>
      </c>
      <c r="AJ4" s="41">
        <f>AG4+AH4</f>
        <v/>
      </c>
      <c r="AK4" s="41">
        <f>AI4+AJ4</f>
        <v/>
      </c>
      <c r="AL4" s="41" t="n"/>
    </row>
    <row r="5" hidden="1" ht="15.75" customHeight="1" s="259">
      <c r="A5" s="9" t="n">
        <v>44683</v>
      </c>
      <c r="B5" s="2" t="n"/>
      <c r="C5" s="2" t="n"/>
      <c r="D5" s="2" t="n">
        <v>0.08</v>
      </c>
      <c r="E5" s="2" t="n"/>
      <c r="F5" s="2" t="n">
        <v>0.04</v>
      </c>
      <c r="G5" s="2" t="n"/>
      <c r="H5" s="2" t="n"/>
      <c r="I5" s="2" t="n">
        <v>22.28</v>
      </c>
      <c r="J5" s="2" t="n"/>
      <c r="K5" s="2" t="n">
        <v>4.24</v>
      </c>
      <c r="L5" s="2" t="n">
        <v>0.12</v>
      </c>
      <c r="M5" s="2" t="n"/>
      <c r="N5" s="2" t="n"/>
      <c r="O5" s="2" t="n"/>
      <c r="P5" s="2" t="n">
        <v>1.04</v>
      </c>
      <c r="Q5">
        <f>SUM(B5:P5)</f>
        <v/>
      </c>
      <c r="S5" s="41">
        <f>B5/$Q5</f>
        <v/>
      </c>
      <c r="T5" s="41">
        <f>C5/$Q5</f>
        <v/>
      </c>
      <c r="U5" s="41">
        <f>D5/$Q5</f>
        <v/>
      </c>
      <c r="V5" s="41">
        <f>E5/$Q5</f>
        <v/>
      </c>
      <c r="W5" s="41">
        <f>F5/$Q5</f>
        <v/>
      </c>
      <c r="X5" s="41">
        <f>G5/$Q5</f>
        <v/>
      </c>
      <c r="Y5" s="41">
        <f>H5/$Q5</f>
        <v/>
      </c>
      <c r="Z5" s="41">
        <f>I5/$Q5</f>
        <v/>
      </c>
      <c r="AA5" s="41">
        <f>J5/$Q5</f>
        <v/>
      </c>
      <c r="AB5" s="41">
        <f>K5/$Q5</f>
        <v/>
      </c>
      <c r="AC5" s="41">
        <f>L5/$Q5</f>
        <v/>
      </c>
      <c r="AD5" s="41">
        <f>M5/$Q5</f>
        <v/>
      </c>
      <c r="AE5" s="41">
        <f>N5/$Q5</f>
        <v/>
      </c>
      <c r="AF5" s="41">
        <f>O5/$Q5</f>
        <v/>
      </c>
      <c r="AG5" s="41">
        <f>P5/$Q5</f>
        <v/>
      </c>
      <c r="AH5" s="41">
        <f>SUM(S5:V5)</f>
        <v/>
      </c>
      <c r="AI5" s="41">
        <f>SUM(W5:Y5)+AC5</f>
        <v/>
      </c>
      <c r="AJ5" s="41">
        <f>AG5+AH5</f>
        <v/>
      </c>
      <c r="AK5" s="41">
        <f>AI5+AJ5</f>
        <v/>
      </c>
      <c r="AL5" s="41" t="n"/>
    </row>
    <row r="6" hidden="1" ht="15.75" customHeight="1" s="259">
      <c r="A6" s="9" t="n">
        <v>44694</v>
      </c>
      <c r="B6" s="2" t="n">
        <v>0.04</v>
      </c>
      <c r="C6" s="2" t="n"/>
      <c r="D6" s="2" t="n">
        <v>0.16</v>
      </c>
      <c r="E6" s="2" t="n"/>
      <c r="F6" s="2" t="n"/>
      <c r="G6" s="2" t="n">
        <v>0.04</v>
      </c>
      <c r="H6" s="2" t="n"/>
      <c r="I6" s="2" t="n">
        <v>27.42</v>
      </c>
      <c r="J6" s="2" t="n"/>
      <c r="K6" s="2" t="n">
        <v>5.14</v>
      </c>
      <c r="L6" s="2" t="n">
        <v>0.12</v>
      </c>
      <c r="M6" s="2" t="n"/>
      <c r="N6" s="2" t="n">
        <v>0.02</v>
      </c>
      <c r="O6" s="2" t="n">
        <v>0.02</v>
      </c>
      <c r="P6" s="2" t="n">
        <v>0.5600000000000001</v>
      </c>
      <c r="Q6">
        <f>SUM(B6:P6)</f>
        <v/>
      </c>
      <c r="S6" s="41">
        <f>B6/$Q6</f>
        <v/>
      </c>
      <c r="T6" s="41">
        <f>C6/$Q6</f>
        <v/>
      </c>
      <c r="U6" s="41">
        <f>D6/$Q6</f>
        <v/>
      </c>
      <c r="V6" s="41">
        <f>E6/$Q6</f>
        <v/>
      </c>
      <c r="W6" s="41">
        <f>F6/$Q6</f>
        <v/>
      </c>
      <c r="X6" s="41">
        <f>G6/$Q6</f>
        <v/>
      </c>
      <c r="Y6" s="41">
        <f>H6/$Q6</f>
        <v/>
      </c>
      <c r="Z6" s="41">
        <f>I6/$Q6</f>
        <v/>
      </c>
      <c r="AA6" s="41">
        <f>J6/$Q6</f>
        <v/>
      </c>
      <c r="AB6" s="41">
        <f>K6/$Q6</f>
        <v/>
      </c>
      <c r="AC6" s="41">
        <f>L6/$Q6</f>
        <v/>
      </c>
      <c r="AD6" s="41">
        <f>M6/$Q6</f>
        <v/>
      </c>
      <c r="AE6" s="41">
        <f>N6/$Q6</f>
        <v/>
      </c>
      <c r="AF6" s="41">
        <f>O6/$Q6</f>
        <v/>
      </c>
      <c r="AG6" s="41">
        <f>P6/$Q6</f>
        <v/>
      </c>
      <c r="AH6" s="41">
        <f>SUM(S6:V6)</f>
        <v/>
      </c>
      <c r="AI6" s="41">
        <f>SUM(W6:Y6)+AC6</f>
        <v/>
      </c>
      <c r="AJ6" s="41">
        <f>AG6+AH6</f>
        <v/>
      </c>
      <c r="AK6" s="41">
        <f>AI6+AJ6</f>
        <v/>
      </c>
      <c r="AL6" s="41" t="n"/>
    </row>
    <row r="7" hidden="1" ht="15.75" customHeight="1" s="259">
      <c r="A7" s="9" t="n">
        <v>44845</v>
      </c>
      <c r="B7" s="2" t="n">
        <v>0.34</v>
      </c>
      <c r="C7" s="2" t="n"/>
      <c r="D7" s="2" t="n">
        <v>0.78</v>
      </c>
      <c r="E7" s="2" t="n">
        <v>0.1</v>
      </c>
      <c r="F7" s="2" t="n">
        <v>0.68</v>
      </c>
      <c r="G7" s="2" t="n">
        <v>0.1</v>
      </c>
      <c r="H7" s="2" t="n"/>
      <c r="I7" s="2" t="n">
        <v>15.34</v>
      </c>
      <c r="J7" s="2" t="n"/>
      <c r="K7" s="2" t="n">
        <v>1.24</v>
      </c>
      <c r="L7" s="2" t="n">
        <v>0.12</v>
      </c>
      <c r="M7" s="2" t="n"/>
      <c r="N7" s="2" t="n">
        <v>0.6</v>
      </c>
      <c r="O7" s="2" t="n"/>
      <c r="P7" s="2" t="n">
        <v>2.18</v>
      </c>
      <c r="Q7">
        <f>SUM(B7:P7)</f>
        <v/>
      </c>
      <c r="S7" s="41">
        <f>B7/$Q7</f>
        <v/>
      </c>
      <c r="T7" s="41">
        <f>C7/$Q7</f>
        <v/>
      </c>
      <c r="U7" s="41">
        <f>D7/$Q7</f>
        <v/>
      </c>
      <c r="V7" s="41">
        <f>E7/$Q7</f>
        <v/>
      </c>
      <c r="W7" s="41">
        <f>F7/$Q7</f>
        <v/>
      </c>
      <c r="X7" s="41">
        <f>G7/$Q7</f>
        <v/>
      </c>
      <c r="Y7" s="41">
        <f>H7/$Q7</f>
        <v/>
      </c>
      <c r="Z7" s="41">
        <f>I7/$Q7</f>
        <v/>
      </c>
      <c r="AA7" s="41">
        <f>J7/$Q7</f>
        <v/>
      </c>
      <c r="AB7" s="41">
        <f>K7/$Q7</f>
        <v/>
      </c>
      <c r="AC7" s="41">
        <f>L7/$Q7</f>
        <v/>
      </c>
      <c r="AD7" s="41">
        <f>M7/$Q7</f>
        <v/>
      </c>
      <c r="AE7" s="41">
        <f>N7/$Q7</f>
        <v/>
      </c>
      <c r="AF7" s="41">
        <f>O7/$Q7</f>
        <v/>
      </c>
      <c r="AG7" s="41">
        <f>P7/$Q7</f>
        <v/>
      </c>
      <c r="AH7" s="41">
        <f>SUM(S7:V7)</f>
        <v/>
      </c>
      <c r="AI7" s="41">
        <f>SUM(W7:Y7)+AC7</f>
        <v/>
      </c>
      <c r="AJ7" s="41">
        <f>AG7+AH7</f>
        <v/>
      </c>
      <c r="AK7" s="41">
        <f>AI7+AJ7</f>
        <v/>
      </c>
      <c r="AL7" s="41" t="n"/>
    </row>
    <row r="8" hidden="1" ht="15.75" customHeight="1" s="259">
      <c r="A8" s="9" t="n">
        <v>44847</v>
      </c>
      <c r="B8" s="2" t="n"/>
      <c r="C8" s="2" t="n"/>
      <c r="D8" s="2" t="n">
        <v>0.4</v>
      </c>
      <c r="E8" s="2" t="n"/>
      <c r="F8" s="2" t="n"/>
      <c r="G8" s="2" t="n">
        <v>0.7</v>
      </c>
      <c r="H8" s="2" t="n"/>
      <c r="I8" s="2" t="n">
        <v>11.72</v>
      </c>
      <c r="J8" s="2" t="n"/>
      <c r="K8" s="2" t="n">
        <v>4.42</v>
      </c>
      <c r="L8" s="2" t="n">
        <v>0.1</v>
      </c>
      <c r="M8" s="2" t="n"/>
      <c r="N8" s="2" t="n"/>
      <c r="O8" s="2" t="n"/>
      <c r="P8" s="2" t="n">
        <v>1.36</v>
      </c>
      <c r="Q8">
        <f>SUM(B8:P8)</f>
        <v/>
      </c>
      <c r="S8" s="41">
        <f>B8/$Q8</f>
        <v/>
      </c>
      <c r="T8" s="41">
        <f>C8/$Q8</f>
        <v/>
      </c>
      <c r="U8" s="41">
        <f>D8/$Q8</f>
        <v/>
      </c>
      <c r="V8" s="41">
        <f>E8/$Q8</f>
        <v/>
      </c>
      <c r="W8" s="41">
        <f>F8/$Q8</f>
        <v/>
      </c>
      <c r="X8" s="41">
        <f>G8/$Q8</f>
        <v/>
      </c>
      <c r="Y8" s="41">
        <f>H8/$Q8</f>
        <v/>
      </c>
      <c r="Z8" s="41">
        <f>I8/$Q8</f>
        <v/>
      </c>
      <c r="AA8" s="41">
        <f>J8/$Q8</f>
        <v/>
      </c>
      <c r="AB8" s="41">
        <f>K8/$Q8</f>
        <v/>
      </c>
      <c r="AC8" s="41">
        <f>L8/$Q8</f>
        <v/>
      </c>
      <c r="AD8" s="41">
        <f>M8/$Q8</f>
        <v/>
      </c>
      <c r="AE8" s="41">
        <f>N8/$Q8</f>
        <v/>
      </c>
      <c r="AF8" s="41">
        <f>O8/$Q8</f>
        <v/>
      </c>
      <c r="AG8" s="41">
        <f>P8/$Q8</f>
        <v/>
      </c>
      <c r="AH8" s="41">
        <f>SUM(S8:V8)</f>
        <v/>
      </c>
      <c r="AI8" s="41">
        <f>SUM(W8:Y8)+AC8</f>
        <v/>
      </c>
      <c r="AJ8" s="41">
        <f>AG8+AH8</f>
        <v/>
      </c>
      <c r="AK8" s="41">
        <f>AI8+AJ8</f>
        <v/>
      </c>
      <c r="AL8" s="41" t="n"/>
    </row>
    <row r="9" hidden="1" ht="15.75" customHeight="1" s="259">
      <c r="A9" s="9" t="n">
        <v>44852</v>
      </c>
      <c r="B9" s="2" t="n">
        <v>0.16</v>
      </c>
      <c r="C9" s="2" t="n"/>
      <c r="D9" s="2" t="n">
        <v>0.44</v>
      </c>
      <c r="E9" s="2" t="n"/>
      <c r="F9" s="2" t="n">
        <v>0.5600000000000001</v>
      </c>
      <c r="G9" s="2" t="n">
        <v>0.28</v>
      </c>
      <c r="H9" s="2" t="n"/>
      <c r="I9" s="2" t="n">
        <v>14.08</v>
      </c>
      <c r="J9" s="2" t="n"/>
      <c r="K9" s="2" t="n">
        <v>5.76</v>
      </c>
      <c r="L9" s="2" t="n">
        <v>0.1</v>
      </c>
      <c r="M9" s="2" t="n"/>
      <c r="N9" s="2" t="n">
        <v>0.06</v>
      </c>
      <c r="O9" s="2" t="n"/>
      <c r="P9" s="2" t="n">
        <v>0.74</v>
      </c>
      <c r="Q9">
        <f>SUM(B9:P9)</f>
        <v/>
      </c>
      <c r="S9" s="41">
        <f>B9/$Q9</f>
        <v/>
      </c>
      <c r="T9" s="41">
        <f>C9/$Q9</f>
        <v/>
      </c>
      <c r="U9" s="41">
        <f>D9/$Q9</f>
        <v/>
      </c>
      <c r="V9" s="41">
        <f>E9/$Q9</f>
        <v/>
      </c>
      <c r="W9" s="41">
        <f>F9/$Q9</f>
        <v/>
      </c>
      <c r="X9" s="41">
        <f>G9/$Q9</f>
        <v/>
      </c>
      <c r="Y9" s="41">
        <f>H9/$Q9</f>
        <v/>
      </c>
      <c r="Z9" s="41">
        <f>I9/$Q9</f>
        <v/>
      </c>
      <c r="AA9" s="41">
        <f>J9/$Q9</f>
        <v/>
      </c>
      <c r="AB9" s="41">
        <f>K9/$Q9</f>
        <v/>
      </c>
      <c r="AC9" s="41">
        <f>L9/$Q9</f>
        <v/>
      </c>
      <c r="AD9" s="41">
        <f>M9/$Q9</f>
        <v/>
      </c>
      <c r="AE9" s="41">
        <f>N9/$Q9</f>
        <v/>
      </c>
      <c r="AF9" s="41">
        <f>O9/$Q9</f>
        <v/>
      </c>
      <c r="AG9" s="41">
        <f>P9/$Q9</f>
        <v/>
      </c>
      <c r="AH9" s="41">
        <f>SUM(S9:V9)</f>
        <v/>
      </c>
      <c r="AI9" s="41">
        <f>SUM(W9:Y9)+AC9</f>
        <v/>
      </c>
      <c r="AJ9" s="41">
        <f>AG9+AH9</f>
        <v/>
      </c>
      <c r="AK9" s="41">
        <f>AI9+AJ9</f>
        <v/>
      </c>
      <c r="AL9" s="41" t="n"/>
    </row>
    <row r="10" hidden="1" ht="15.75" customHeight="1" s="259">
      <c r="A10" s="9" t="n">
        <v>44854</v>
      </c>
      <c r="B10" s="2" t="n">
        <v>0.1</v>
      </c>
      <c r="C10" s="2" t="n"/>
      <c r="D10" s="2" t="n">
        <v>0.38</v>
      </c>
      <c r="E10" s="2" t="n">
        <v>0.08</v>
      </c>
      <c r="F10" s="2" t="n">
        <v>0.36</v>
      </c>
      <c r="G10" s="2" t="n">
        <v>0.42</v>
      </c>
      <c r="H10" s="2" t="n">
        <v>0.06</v>
      </c>
      <c r="I10" s="2" t="n">
        <v>15.22</v>
      </c>
      <c r="J10" s="2" t="n"/>
      <c r="K10" s="2" t="n">
        <v>6.84</v>
      </c>
      <c r="L10" s="2" t="n"/>
      <c r="M10" s="2" t="n"/>
      <c r="N10" s="2" t="n">
        <v>0.14</v>
      </c>
      <c r="O10" s="2" t="n"/>
      <c r="P10" s="2" t="n">
        <v>2.86</v>
      </c>
      <c r="Q10">
        <f>SUM(B10:P10)</f>
        <v/>
      </c>
      <c r="S10" s="41">
        <f>B10/$Q10</f>
        <v/>
      </c>
      <c r="T10" s="41">
        <f>C10/$Q10</f>
        <v/>
      </c>
      <c r="U10" s="41">
        <f>D10/$Q10</f>
        <v/>
      </c>
      <c r="V10" s="41">
        <f>E10/$Q10</f>
        <v/>
      </c>
      <c r="W10" s="41">
        <f>F10/$Q10</f>
        <v/>
      </c>
      <c r="X10" s="41">
        <f>G10/$Q10</f>
        <v/>
      </c>
      <c r="Y10" s="41">
        <f>H10/$Q10</f>
        <v/>
      </c>
      <c r="Z10" s="41">
        <f>I10/$Q10</f>
        <v/>
      </c>
      <c r="AA10" s="41">
        <f>J10/$Q10</f>
        <v/>
      </c>
      <c r="AB10" s="41">
        <f>K10/$Q10</f>
        <v/>
      </c>
      <c r="AC10" s="41">
        <f>L10/$Q10</f>
        <v/>
      </c>
      <c r="AD10" s="41">
        <f>M10/$Q10</f>
        <v/>
      </c>
      <c r="AE10" s="41">
        <f>N10/$Q10</f>
        <v/>
      </c>
      <c r="AF10" s="41">
        <f>O10/$Q10</f>
        <v/>
      </c>
      <c r="AG10" s="41">
        <f>P10/$Q10</f>
        <v/>
      </c>
      <c r="AH10" s="41">
        <f>SUM(S10:V10)</f>
        <v/>
      </c>
      <c r="AI10" s="41">
        <f>SUM(W10:Y10)+AC10</f>
        <v/>
      </c>
      <c r="AJ10" s="41">
        <f>AG10+AH10</f>
        <v/>
      </c>
      <c r="AK10" s="41">
        <f>AI10+AJ10</f>
        <v/>
      </c>
      <c r="AL10" s="41" t="n"/>
    </row>
    <row r="11" hidden="1" ht="15.75" customHeight="1" s="259">
      <c r="A11" s="9" t="n">
        <v>44861</v>
      </c>
      <c r="B11" s="2" t="n">
        <v>0.22</v>
      </c>
      <c r="C11" s="2" t="n"/>
      <c r="D11" s="2" t="n">
        <v>0.3</v>
      </c>
      <c r="E11" s="2" t="n">
        <v>0.1</v>
      </c>
      <c r="F11" s="2" t="n">
        <v>0.16</v>
      </c>
      <c r="G11" s="2" t="n">
        <v>0.18</v>
      </c>
      <c r="H11" s="2" t="n"/>
      <c r="I11" s="2" t="n">
        <v>12.52</v>
      </c>
      <c r="J11" s="2" t="n"/>
      <c r="K11" s="2" t="n">
        <v>6.5</v>
      </c>
      <c r="L11" s="2" t="n"/>
      <c r="M11" s="2" t="n">
        <v>0.2</v>
      </c>
      <c r="N11" s="2" t="n">
        <v>0.02</v>
      </c>
      <c r="O11" s="2" t="n"/>
      <c r="P11" s="2" t="n">
        <v>1.9</v>
      </c>
      <c r="Q11">
        <f>SUM(B11:P11)</f>
        <v/>
      </c>
      <c r="S11" s="41">
        <f>B11/$Q11</f>
        <v/>
      </c>
      <c r="T11" s="41">
        <f>C11/$Q11</f>
        <v/>
      </c>
      <c r="U11" s="41">
        <f>D11/$Q11</f>
        <v/>
      </c>
      <c r="V11" s="41">
        <f>E11/$Q11</f>
        <v/>
      </c>
      <c r="W11" s="41">
        <f>F11/$Q11</f>
        <v/>
      </c>
      <c r="X11" s="41">
        <f>G11/$Q11</f>
        <v/>
      </c>
      <c r="Y11" s="41">
        <f>H11/$Q11</f>
        <v/>
      </c>
      <c r="Z11" s="41">
        <f>I11/$Q11</f>
        <v/>
      </c>
      <c r="AA11" s="41">
        <f>J11/$Q11</f>
        <v/>
      </c>
      <c r="AB11" s="41">
        <f>K11/$Q11</f>
        <v/>
      </c>
      <c r="AC11" s="41">
        <f>L11/$Q11</f>
        <v/>
      </c>
      <c r="AD11" s="41">
        <f>M11/$Q11</f>
        <v/>
      </c>
      <c r="AE11" s="41">
        <f>N11/$Q11</f>
        <v/>
      </c>
      <c r="AF11" s="41">
        <f>O11/$Q11</f>
        <v/>
      </c>
      <c r="AG11" s="41">
        <f>P11/$Q11</f>
        <v/>
      </c>
      <c r="AH11" s="41">
        <f>SUM(S11:V11)</f>
        <v/>
      </c>
      <c r="AI11" s="41">
        <f>SUM(W11:Y11)+AC11</f>
        <v/>
      </c>
      <c r="AJ11" s="41">
        <f>AG11+AH11</f>
        <v/>
      </c>
      <c r="AK11" s="41">
        <f>AI11+AJ11</f>
        <v/>
      </c>
      <c r="AL11" s="41" t="n"/>
    </row>
    <row r="12" hidden="1" ht="15.75" customHeight="1" s="259">
      <c r="A12" s="9" t="n">
        <v>44875</v>
      </c>
      <c r="B12" s="2" t="n">
        <v>0.02</v>
      </c>
      <c r="C12" s="2" t="n"/>
      <c r="D12" s="2" t="n">
        <v>0.28</v>
      </c>
      <c r="E12" s="2" t="n"/>
      <c r="F12" s="2" t="n">
        <v>0.02</v>
      </c>
      <c r="G12" s="2" t="n">
        <v>0.28</v>
      </c>
      <c r="H12" s="2" t="n">
        <v>0.14</v>
      </c>
      <c r="I12" s="2" t="n">
        <v>10.72</v>
      </c>
      <c r="J12" s="2" t="n"/>
      <c r="K12" s="2" t="n">
        <v>4.56</v>
      </c>
      <c r="L12" s="2" t="n"/>
      <c r="M12" s="2" t="n"/>
      <c r="N12" s="2" t="n"/>
      <c r="O12" s="2" t="n"/>
      <c r="P12" s="2" t="n">
        <v>1.62</v>
      </c>
      <c r="Q12">
        <f>SUM(B12:P12)</f>
        <v/>
      </c>
      <c r="S12" s="41">
        <f>B12/$Q12</f>
        <v/>
      </c>
      <c r="T12" s="41">
        <f>C12/$Q12</f>
        <v/>
      </c>
      <c r="U12" s="41">
        <f>D12/$Q12</f>
        <v/>
      </c>
      <c r="V12" s="41">
        <f>E12/$Q12</f>
        <v/>
      </c>
      <c r="W12" s="41">
        <f>F12/$Q12</f>
        <v/>
      </c>
      <c r="X12" s="41">
        <f>G12/$Q12</f>
        <v/>
      </c>
      <c r="Y12" s="41">
        <f>H12/$Q12</f>
        <v/>
      </c>
      <c r="Z12" s="41">
        <f>I12/$Q12</f>
        <v/>
      </c>
      <c r="AA12" s="41">
        <f>J12/$Q12</f>
        <v/>
      </c>
      <c r="AB12" s="41">
        <f>K12/$Q12</f>
        <v/>
      </c>
      <c r="AC12" s="41">
        <f>L12/$Q12</f>
        <v/>
      </c>
      <c r="AD12" s="41">
        <f>M12/$Q12</f>
        <v/>
      </c>
      <c r="AE12" s="41">
        <f>N12/$Q12</f>
        <v/>
      </c>
      <c r="AF12" s="41">
        <f>O12/$Q12</f>
        <v/>
      </c>
      <c r="AG12" s="41">
        <f>P12/$Q12</f>
        <v/>
      </c>
      <c r="AH12" s="41">
        <f>SUM(S12:V12)</f>
        <v/>
      </c>
      <c r="AI12" s="41">
        <f>SUM(W12:Y12)+AC12</f>
        <v/>
      </c>
      <c r="AJ12" s="41">
        <f>AG12+AH12</f>
        <v/>
      </c>
      <c r="AK12" s="41">
        <f>AI12+AJ12</f>
        <v/>
      </c>
      <c r="AL12" s="41" t="n"/>
    </row>
    <row r="13" hidden="1" ht="15.75" customHeight="1" s="259">
      <c r="A13" s="9" t="n">
        <v>44881</v>
      </c>
      <c r="B13" s="2" t="n"/>
      <c r="C13" s="2" t="n"/>
      <c r="D13" s="2" t="n">
        <v>0.16</v>
      </c>
      <c r="E13" s="2" t="n"/>
      <c r="F13" s="2" t="n">
        <v>0.14</v>
      </c>
      <c r="G13" s="2" t="n">
        <v>0.28</v>
      </c>
      <c r="H13" s="2" t="n">
        <v>0.02</v>
      </c>
      <c r="I13" s="2" t="n">
        <v>11.86</v>
      </c>
      <c r="J13" s="2" t="n">
        <v>0.6</v>
      </c>
      <c r="K13" s="2" t="n">
        <v>5.92</v>
      </c>
      <c r="L13" s="2" t="n"/>
      <c r="M13" s="2" t="n"/>
      <c r="N13" s="2" t="n"/>
      <c r="O13" s="2" t="n"/>
      <c r="P13" s="2" t="n">
        <v>1.2</v>
      </c>
      <c r="Q13">
        <f>SUM(B13:P13)</f>
        <v/>
      </c>
      <c r="S13" s="41">
        <f>B13/$Q13</f>
        <v/>
      </c>
      <c r="T13" s="41">
        <f>C13/$Q13</f>
        <v/>
      </c>
      <c r="U13" s="41">
        <f>D13/$Q13</f>
        <v/>
      </c>
      <c r="V13" s="41">
        <f>E13/$Q13</f>
        <v/>
      </c>
      <c r="W13" s="41">
        <f>F13/$Q13</f>
        <v/>
      </c>
      <c r="X13" s="41">
        <f>G13/$Q13</f>
        <v/>
      </c>
      <c r="Y13" s="41">
        <f>H13/$Q13</f>
        <v/>
      </c>
      <c r="Z13" s="41">
        <f>I13/$Q13</f>
        <v/>
      </c>
      <c r="AA13" s="41">
        <f>J13/$Q13</f>
        <v/>
      </c>
      <c r="AB13" s="41">
        <f>K13/$Q13</f>
        <v/>
      </c>
      <c r="AC13" s="41">
        <f>L13/$Q13</f>
        <v/>
      </c>
      <c r="AD13" s="41">
        <f>M13/$Q13</f>
        <v/>
      </c>
      <c r="AE13" s="41">
        <f>N13/$Q13</f>
        <v/>
      </c>
      <c r="AF13" s="41">
        <f>O13/$Q13</f>
        <v/>
      </c>
      <c r="AG13" s="41">
        <f>P13/$Q13</f>
        <v/>
      </c>
      <c r="AH13" s="41">
        <f>SUM(S13:V13)</f>
        <v/>
      </c>
      <c r="AI13" s="41">
        <f>SUM(W13:Y13)+AC13</f>
        <v/>
      </c>
      <c r="AJ13" s="41">
        <f>AG13+AH13</f>
        <v/>
      </c>
      <c r="AK13" s="41">
        <f>AI13+AJ13</f>
        <v/>
      </c>
      <c r="AL13" s="41" t="n"/>
    </row>
    <row r="14" hidden="1" ht="15.75" customHeight="1" s="259">
      <c r="A14" s="9" t="n">
        <v>44883</v>
      </c>
      <c r="B14" s="2" t="n">
        <v>0.08</v>
      </c>
      <c r="C14" s="2" t="n"/>
      <c r="D14" s="2" t="n">
        <v>0.5600000000000001</v>
      </c>
      <c r="E14" s="2" t="n"/>
      <c r="F14" s="2" t="n">
        <v>0.42</v>
      </c>
      <c r="G14" s="2" t="n">
        <v>0.3</v>
      </c>
      <c r="H14" s="2" t="n"/>
      <c r="I14" s="2" t="n">
        <v>11.16</v>
      </c>
      <c r="J14" s="2" t="n">
        <v>0.76</v>
      </c>
      <c r="K14" s="2" t="n">
        <v>4.86</v>
      </c>
      <c r="L14" s="2" t="n"/>
      <c r="M14" s="2" t="n">
        <v>0.06</v>
      </c>
      <c r="N14" s="2" t="n">
        <v>0.06</v>
      </c>
      <c r="O14" s="2" t="n"/>
      <c r="P14" s="2" t="n">
        <v>1.74</v>
      </c>
      <c r="Q14">
        <f>SUM(B14:P14)</f>
        <v/>
      </c>
      <c r="S14" s="41">
        <f>B14/$Q14</f>
        <v/>
      </c>
      <c r="T14" s="41">
        <f>C14/$Q14</f>
        <v/>
      </c>
      <c r="U14" s="41">
        <f>D14/$Q14</f>
        <v/>
      </c>
      <c r="V14" s="41">
        <f>E14/$Q14</f>
        <v/>
      </c>
      <c r="W14" s="41">
        <f>F14/$Q14</f>
        <v/>
      </c>
      <c r="X14" s="41">
        <f>G14/$Q14</f>
        <v/>
      </c>
      <c r="Y14" s="41">
        <f>H14/$Q14</f>
        <v/>
      </c>
      <c r="Z14" s="41">
        <f>I14/$Q14</f>
        <v/>
      </c>
      <c r="AA14" s="41">
        <f>J14/$Q14</f>
        <v/>
      </c>
      <c r="AB14" s="41">
        <f>K14/$Q14</f>
        <v/>
      </c>
      <c r="AC14" s="41">
        <f>L14/$Q14</f>
        <v/>
      </c>
      <c r="AD14" s="41">
        <f>M14/$Q14</f>
        <v/>
      </c>
      <c r="AE14" s="41">
        <f>N14/$Q14</f>
        <v/>
      </c>
      <c r="AF14" s="41">
        <f>O14/$Q14</f>
        <v/>
      </c>
      <c r="AG14" s="41">
        <f>P14/$Q14</f>
        <v/>
      </c>
      <c r="AH14" s="41">
        <f>SUM(S14:V14)</f>
        <v/>
      </c>
      <c r="AI14" s="41">
        <f>SUM(W14:Y14)+AC14</f>
        <v/>
      </c>
      <c r="AJ14" s="41">
        <f>AG14+AH14</f>
        <v/>
      </c>
      <c r="AK14" s="41">
        <f>AI14+AJ14</f>
        <v/>
      </c>
      <c r="AL14" s="41" t="n"/>
    </row>
    <row r="15" hidden="1" ht="15.75" customHeight="1" s="259">
      <c r="A15" s="9" t="n">
        <v>44889</v>
      </c>
      <c r="B15" s="2" t="n"/>
      <c r="C15" s="2" t="n"/>
      <c r="D15" s="2" t="n">
        <v>0.1</v>
      </c>
      <c r="E15" s="2" t="n"/>
      <c r="F15" s="2" t="n">
        <v>0.06</v>
      </c>
      <c r="G15" s="2" t="n">
        <v>0.22</v>
      </c>
      <c r="H15" s="2" t="n"/>
      <c r="I15" s="2" t="n">
        <v>8.720000000000001</v>
      </c>
      <c r="J15" s="2" t="n">
        <v>0.7</v>
      </c>
      <c r="K15" s="2" t="n">
        <v>4.74</v>
      </c>
      <c r="L15" s="2" t="n"/>
      <c r="M15" s="2" t="n"/>
      <c r="N15" s="2" t="n"/>
      <c r="O15" s="2" t="n"/>
      <c r="P15" s="2" t="n">
        <v>0.82</v>
      </c>
      <c r="Q15">
        <f>SUM(B15:P15)</f>
        <v/>
      </c>
      <c r="S15" s="41">
        <f>B15/$Q15</f>
        <v/>
      </c>
      <c r="T15" s="41">
        <f>C15/$Q15</f>
        <v/>
      </c>
      <c r="U15" s="41">
        <f>D15/$Q15</f>
        <v/>
      </c>
      <c r="V15" s="41">
        <f>E15/$Q15</f>
        <v/>
      </c>
      <c r="W15" s="41">
        <f>F15/$Q15</f>
        <v/>
      </c>
      <c r="X15" s="41">
        <f>G15/$Q15</f>
        <v/>
      </c>
      <c r="Y15" s="41">
        <f>H15/$Q15</f>
        <v/>
      </c>
      <c r="Z15" s="41">
        <f>I15/$Q15</f>
        <v/>
      </c>
      <c r="AA15" s="41">
        <f>J15/$Q15</f>
        <v/>
      </c>
      <c r="AB15" s="41">
        <f>K15/$Q15</f>
        <v/>
      </c>
      <c r="AC15" s="41">
        <f>L15/$Q15</f>
        <v/>
      </c>
      <c r="AD15" s="41">
        <f>M15/$Q15</f>
        <v/>
      </c>
      <c r="AE15" s="41">
        <f>N15/$Q15</f>
        <v/>
      </c>
      <c r="AF15" s="41">
        <f>O15/$Q15</f>
        <v/>
      </c>
      <c r="AG15" s="41">
        <f>P15/$Q15</f>
        <v/>
      </c>
      <c r="AH15" s="41">
        <f>SUM(S15:V15)</f>
        <v/>
      </c>
      <c r="AI15" s="41">
        <f>SUM(W15:Y15)+AC15</f>
        <v/>
      </c>
      <c r="AJ15" s="41">
        <f>AG15+AH15</f>
        <v/>
      </c>
      <c r="AK15" s="41">
        <f>AI15+AJ15</f>
        <v/>
      </c>
      <c r="AL15" s="41" t="n"/>
    </row>
    <row r="16" hidden="1" ht="15.75" customHeight="1" s="259">
      <c r="A16" s="9" t="n">
        <v>44903</v>
      </c>
      <c r="B16" s="2" t="n">
        <v>0.08</v>
      </c>
      <c r="C16" s="2" t="n"/>
      <c r="D16" s="2" t="n">
        <v>0.14</v>
      </c>
      <c r="E16" s="2" t="n"/>
      <c r="F16" s="2" t="n"/>
      <c r="G16" s="2" t="n">
        <v>0.12</v>
      </c>
      <c r="H16" s="2" t="n">
        <v>0.1</v>
      </c>
      <c r="I16" s="2" t="n">
        <v>15.04</v>
      </c>
      <c r="J16" s="2" t="n">
        <v>0.76</v>
      </c>
      <c r="K16" s="2" t="n">
        <v>6.42</v>
      </c>
      <c r="L16" s="2" t="n"/>
      <c r="M16" s="2" t="n"/>
      <c r="N16" s="2" t="n">
        <v>0.04</v>
      </c>
      <c r="O16" s="2" t="n"/>
      <c r="P16" s="2" t="n">
        <v>1.76</v>
      </c>
      <c r="Q16">
        <f>SUM(B16:P16)</f>
        <v/>
      </c>
      <c r="S16" s="41">
        <f>B16/$Q16</f>
        <v/>
      </c>
      <c r="T16" s="41">
        <f>C16/$Q16</f>
        <v/>
      </c>
      <c r="U16" s="41">
        <f>D16/$Q16</f>
        <v/>
      </c>
      <c r="V16" s="41">
        <f>E16/$Q16</f>
        <v/>
      </c>
      <c r="W16" s="41">
        <f>F16/$Q16</f>
        <v/>
      </c>
      <c r="X16" s="41">
        <f>G16/$Q16</f>
        <v/>
      </c>
      <c r="Y16" s="41">
        <f>H16/$Q16</f>
        <v/>
      </c>
      <c r="Z16" s="41">
        <f>I16/$Q16</f>
        <v/>
      </c>
      <c r="AA16" s="41">
        <f>J16/$Q16</f>
        <v/>
      </c>
      <c r="AB16" s="41">
        <f>K16/$Q16</f>
        <v/>
      </c>
      <c r="AC16" s="41">
        <f>L16/$Q16</f>
        <v/>
      </c>
      <c r="AD16" s="41">
        <f>M16/$Q16</f>
        <v/>
      </c>
      <c r="AE16" s="41">
        <f>N16/$Q16</f>
        <v/>
      </c>
      <c r="AF16" s="41">
        <f>O16/$Q16</f>
        <v/>
      </c>
      <c r="AG16" s="41">
        <f>P16/$Q16</f>
        <v/>
      </c>
      <c r="AH16" s="41">
        <f>SUM(S16:V16)</f>
        <v/>
      </c>
      <c r="AI16" s="41">
        <f>SUM(W16:Y16)+AC16</f>
        <v/>
      </c>
      <c r="AJ16" s="41">
        <f>AG16+AH16</f>
        <v/>
      </c>
      <c r="AK16" s="41">
        <f>AI16+AJ16</f>
        <v/>
      </c>
      <c r="AL16" s="41" t="n"/>
    </row>
    <row r="17" hidden="1" ht="15.75" customHeight="1" s="259">
      <c r="A17" s="9" t="n">
        <v>44910</v>
      </c>
      <c r="B17" s="2" t="n">
        <v>0.16</v>
      </c>
      <c r="C17" s="2" t="n"/>
      <c r="D17" s="2" t="n">
        <v>0.24</v>
      </c>
      <c r="E17" s="2" t="n"/>
      <c r="F17" s="2" t="n">
        <v>0.08</v>
      </c>
      <c r="G17" s="2" t="n">
        <v>0.52</v>
      </c>
      <c r="H17" s="2" t="n">
        <v>0.04</v>
      </c>
      <c r="I17" s="2" t="n">
        <v>17.16</v>
      </c>
      <c r="J17" s="2" t="n">
        <v>2.06</v>
      </c>
      <c r="K17" s="2" t="n">
        <v>5.98</v>
      </c>
      <c r="L17" s="2" t="n"/>
      <c r="M17" s="2" t="n"/>
      <c r="N17" s="2" t="n">
        <v>0.02</v>
      </c>
      <c r="O17" s="2" t="n"/>
      <c r="P17" s="2" t="n">
        <v>1.94</v>
      </c>
      <c r="Q17">
        <f>SUM(B17:P17)</f>
        <v/>
      </c>
      <c r="S17" s="41">
        <f>B17/$Q17</f>
        <v/>
      </c>
      <c r="T17" s="41">
        <f>C17/$Q17</f>
        <v/>
      </c>
      <c r="U17" s="41">
        <f>D17/$Q17</f>
        <v/>
      </c>
      <c r="V17" s="41">
        <f>E17/$Q17</f>
        <v/>
      </c>
      <c r="W17" s="41">
        <f>F17/$Q17</f>
        <v/>
      </c>
      <c r="X17" s="41">
        <f>G17/$Q17</f>
        <v/>
      </c>
      <c r="Y17" s="41">
        <f>H17/$Q17</f>
        <v/>
      </c>
      <c r="Z17" s="41">
        <f>I17/$Q17</f>
        <v/>
      </c>
      <c r="AA17" s="41">
        <f>J17/$Q17</f>
        <v/>
      </c>
      <c r="AB17" s="41">
        <f>K17/$Q17</f>
        <v/>
      </c>
      <c r="AC17" s="41">
        <f>L17/$Q17</f>
        <v/>
      </c>
      <c r="AD17" s="41">
        <f>M17/$Q17</f>
        <v/>
      </c>
      <c r="AE17" s="41">
        <f>N17/$Q17</f>
        <v/>
      </c>
      <c r="AF17" s="41">
        <f>O17/$Q17</f>
        <v/>
      </c>
      <c r="AG17" s="41">
        <f>P17/$Q17</f>
        <v/>
      </c>
      <c r="AH17" s="41">
        <f>SUM(S17:V17)</f>
        <v/>
      </c>
      <c r="AI17" s="41">
        <f>SUM(W17:Y17)+AC17</f>
        <v/>
      </c>
      <c r="AJ17" s="41">
        <f>AG17+AH17</f>
        <v/>
      </c>
      <c r="AK17" s="41">
        <f>AI17+AJ17</f>
        <v/>
      </c>
      <c r="AL17" s="41" t="n"/>
    </row>
    <row r="18" hidden="1" ht="15.75" customHeight="1" s="259">
      <c r="A18" s="9" t="n">
        <v>44916</v>
      </c>
      <c r="B18" s="2" t="n">
        <v>0</v>
      </c>
      <c r="D18" s="2" t="n">
        <v>0.06</v>
      </c>
      <c r="I18" s="2" t="n">
        <v>11.78</v>
      </c>
      <c r="J18" s="2" t="n">
        <v>0.26</v>
      </c>
      <c r="K18" s="2" t="n">
        <v>3.06</v>
      </c>
      <c r="M18" s="2" t="n">
        <v>0.06</v>
      </c>
      <c r="P18" s="2" t="n">
        <v>0.72</v>
      </c>
      <c r="Q18">
        <f>SUM(B18:P18)</f>
        <v/>
      </c>
      <c r="S18" s="41">
        <f>B18/$Q18</f>
        <v/>
      </c>
      <c r="T18" s="41">
        <f>C18/$Q18</f>
        <v/>
      </c>
      <c r="U18" s="41">
        <f>D18/$Q18</f>
        <v/>
      </c>
      <c r="V18" s="41">
        <f>E18/$Q18</f>
        <v/>
      </c>
      <c r="W18" s="41">
        <f>F18/$Q18</f>
        <v/>
      </c>
      <c r="X18" s="41">
        <f>G18/$Q18</f>
        <v/>
      </c>
      <c r="Y18" s="41">
        <f>H18/$Q18</f>
        <v/>
      </c>
      <c r="Z18" s="41">
        <f>I18/$Q18</f>
        <v/>
      </c>
      <c r="AA18" s="41">
        <f>J18/$Q18</f>
        <v/>
      </c>
      <c r="AB18" s="41">
        <f>K18/$Q18</f>
        <v/>
      </c>
      <c r="AC18" s="41">
        <f>L18/$Q18</f>
        <v/>
      </c>
      <c r="AD18" s="41">
        <f>M18/$Q18</f>
        <v/>
      </c>
      <c r="AE18" s="41">
        <f>N18/$Q18</f>
        <v/>
      </c>
      <c r="AF18" s="41">
        <f>O18/$Q18</f>
        <v/>
      </c>
      <c r="AG18" s="41">
        <f>P18/$Q18</f>
        <v/>
      </c>
      <c r="AH18" s="41">
        <f>SUM(S18:V18)</f>
        <v/>
      </c>
      <c r="AI18" s="41">
        <f>SUM(W18:Y18)+AC18</f>
        <v/>
      </c>
      <c r="AJ18" s="41">
        <f>AG18+AH18</f>
        <v/>
      </c>
      <c r="AK18" s="41">
        <f>AI18+AJ18</f>
        <v/>
      </c>
      <c r="AL18" s="41" t="n"/>
    </row>
    <row r="19" hidden="1" ht="15.75" customHeight="1" s="259">
      <c r="A19" s="9" t="n">
        <v>44961</v>
      </c>
      <c r="B19" s="2" t="n">
        <v>0.04</v>
      </c>
      <c r="C19" t="n">
        <v>0</v>
      </c>
      <c r="D19" s="2" t="n">
        <v>0.06</v>
      </c>
      <c r="E19" t="n">
        <v>0</v>
      </c>
      <c r="F19" s="2" t="n">
        <v>0.06</v>
      </c>
      <c r="G19" s="2" t="n">
        <v>0</v>
      </c>
      <c r="H19" s="2" t="n">
        <v>0</v>
      </c>
      <c r="I19" s="2" t="n">
        <v>32.36</v>
      </c>
      <c r="J19" s="2" t="n">
        <v>3.62</v>
      </c>
      <c r="K19" s="2" t="n">
        <v>0</v>
      </c>
      <c r="L19" s="2" t="n">
        <v>0.08</v>
      </c>
      <c r="M19" s="2" t="n">
        <v>0</v>
      </c>
      <c r="N19" s="2" t="n">
        <v>0.08</v>
      </c>
      <c r="O19" s="2" t="n">
        <v>0</v>
      </c>
      <c r="P19" s="2" t="n">
        <v>2.12</v>
      </c>
      <c r="Q19">
        <f>SUM(B19:P19)</f>
        <v/>
      </c>
      <c r="S19" s="41">
        <f>B19/$Q19</f>
        <v/>
      </c>
      <c r="T19" s="41">
        <f>C19/$Q19</f>
        <v/>
      </c>
      <c r="U19" s="41">
        <f>D19/$Q19</f>
        <v/>
      </c>
      <c r="V19" s="41">
        <f>E19/$Q19</f>
        <v/>
      </c>
      <c r="W19" s="41">
        <f>F19/$Q19</f>
        <v/>
      </c>
      <c r="X19" s="41">
        <f>G19/$Q19</f>
        <v/>
      </c>
      <c r="Y19" s="41">
        <f>H19/$Q19</f>
        <v/>
      </c>
      <c r="Z19" s="41">
        <f>I19/$Q19</f>
        <v/>
      </c>
      <c r="AA19" s="41">
        <f>J19/$Q19</f>
        <v/>
      </c>
      <c r="AB19" s="41">
        <f>K19/$Q19</f>
        <v/>
      </c>
      <c r="AC19" s="41">
        <f>L19/$Q19</f>
        <v/>
      </c>
      <c r="AD19" s="41">
        <f>M19/$Q19</f>
        <v/>
      </c>
      <c r="AE19" s="41">
        <f>N19/$Q19</f>
        <v/>
      </c>
      <c r="AF19" s="41">
        <f>O19/$Q19</f>
        <v/>
      </c>
      <c r="AG19" s="41">
        <f>P19/$Q19</f>
        <v/>
      </c>
      <c r="AH19" s="41">
        <f>SUM(S19:V19)</f>
        <v/>
      </c>
      <c r="AI19" s="41">
        <f>SUM(W19:Y19)+AC19</f>
        <v/>
      </c>
      <c r="AJ19" s="41">
        <f>AG19+AH19</f>
        <v/>
      </c>
      <c r="AK19" s="41">
        <f>AI19+AJ19</f>
        <v/>
      </c>
      <c r="AL19" s="41" t="n"/>
    </row>
    <row r="20" hidden="1" ht="15.75" customHeight="1" s="259">
      <c r="A20" s="9" t="n">
        <v>44971</v>
      </c>
      <c r="B20" s="2" t="n">
        <v>0.02</v>
      </c>
      <c r="C20" t="n">
        <v>0</v>
      </c>
      <c r="D20" s="2" t="n">
        <v>0.1</v>
      </c>
      <c r="E20" t="n">
        <v>0</v>
      </c>
      <c r="F20" s="2" t="n">
        <v>0.08</v>
      </c>
      <c r="G20" s="2" t="n">
        <v>0.08</v>
      </c>
      <c r="H20" s="2" t="n">
        <v>0</v>
      </c>
      <c r="I20" s="2" t="n">
        <v>20</v>
      </c>
      <c r="J20" s="2" t="n">
        <v>5.1</v>
      </c>
      <c r="K20" s="2" t="n">
        <v>0</v>
      </c>
      <c r="L20" s="2" t="n">
        <v>0.04</v>
      </c>
      <c r="M20" s="2" t="n">
        <v>0</v>
      </c>
      <c r="N20" s="2" t="n">
        <v>0</v>
      </c>
      <c r="O20" s="2" t="n">
        <v>0.02</v>
      </c>
      <c r="P20" s="2" t="n">
        <v>1.04</v>
      </c>
      <c r="Q20">
        <f>SUM(B20:P20)</f>
        <v/>
      </c>
      <c r="S20" s="41">
        <f>B20/$Q20</f>
        <v/>
      </c>
      <c r="T20" s="41">
        <f>C20/$Q20</f>
        <v/>
      </c>
      <c r="U20" s="41">
        <f>D20/$Q20</f>
        <v/>
      </c>
      <c r="V20" s="41">
        <f>E20/$Q20</f>
        <v/>
      </c>
      <c r="W20" s="41">
        <f>F20/$Q20</f>
        <v/>
      </c>
      <c r="X20" s="41">
        <f>G20/$Q20</f>
        <v/>
      </c>
      <c r="Y20" s="41">
        <f>H20/$Q20</f>
        <v/>
      </c>
      <c r="Z20" s="41">
        <f>I20/$Q20</f>
        <v/>
      </c>
      <c r="AA20" s="41">
        <f>J20/$Q20</f>
        <v/>
      </c>
      <c r="AB20" s="41">
        <f>K20/$Q20</f>
        <v/>
      </c>
      <c r="AC20" s="41">
        <f>L20/$Q20</f>
        <v/>
      </c>
      <c r="AD20" s="41">
        <f>M20/$Q20</f>
        <v/>
      </c>
      <c r="AE20" s="41">
        <f>N20/$Q20</f>
        <v/>
      </c>
      <c r="AF20" s="41">
        <f>O20/$Q20</f>
        <v/>
      </c>
      <c r="AG20" s="41">
        <f>P20/$Q20</f>
        <v/>
      </c>
      <c r="AH20" s="41">
        <f>SUM(S20:V20)</f>
        <v/>
      </c>
      <c r="AI20" s="41">
        <f>SUM(W20:Y20)+AC20</f>
        <v/>
      </c>
      <c r="AJ20" s="41">
        <f>AG20+AH20</f>
        <v/>
      </c>
      <c r="AK20" s="41">
        <f>AI20+AJ20</f>
        <v/>
      </c>
      <c r="AL20" s="41" t="n"/>
    </row>
    <row r="21" hidden="1" ht="15.75" customHeight="1" s="259">
      <c r="A21" s="9" t="n">
        <v>45163</v>
      </c>
      <c r="B21" s="2" t="n">
        <v>0.06</v>
      </c>
      <c r="C21" t="n">
        <v>0</v>
      </c>
      <c r="D21" s="2" t="n">
        <v>0.14</v>
      </c>
      <c r="E21" t="n">
        <v>0</v>
      </c>
      <c r="F21" s="2" t="n">
        <v>0.06</v>
      </c>
      <c r="G21" s="2" t="n">
        <v>0.02</v>
      </c>
      <c r="H21" s="2" t="n">
        <v>0.04</v>
      </c>
      <c r="I21" s="2" t="n">
        <v>20.54</v>
      </c>
      <c r="J21" s="2" t="n">
        <v>5.64</v>
      </c>
      <c r="K21" s="2" t="n">
        <v>0.22</v>
      </c>
      <c r="L21" s="2" t="n">
        <v>0</v>
      </c>
      <c r="M21" s="2" t="n">
        <v>0</v>
      </c>
      <c r="N21" s="2" t="n">
        <v>0</v>
      </c>
      <c r="O21" s="2" t="n">
        <v>0</v>
      </c>
      <c r="P21" s="2" t="n">
        <v>1.02</v>
      </c>
      <c r="Q21">
        <f>SUM(B21:P21)</f>
        <v/>
      </c>
      <c r="S21" s="41">
        <f>B21/$Q21</f>
        <v/>
      </c>
      <c r="T21" s="41">
        <f>C21/$Q21</f>
        <v/>
      </c>
      <c r="U21" s="41">
        <f>D21/$Q21</f>
        <v/>
      </c>
      <c r="V21" s="41">
        <f>E21/$Q21</f>
        <v/>
      </c>
      <c r="W21" s="41">
        <f>F21/$Q21</f>
        <v/>
      </c>
      <c r="X21" s="41">
        <f>G21/$Q21</f>
        <v/>
      </c>
      <c r="Y21" s="41">
        <f>H21/$Q21</f>
        <v/>
      </c>
      <c r="Z21" s="41">
        <f>I21/$Q21</f>
        <v/>
      </c>
      <c r="AA21" s="41">
        <f>J21/$Q21</f>
        <v/>
      </c>
      <c r="AB21" s="41">
        <f>K21/$Q21</f>
        <v/>
      </c>
      <c r="AC21" s="41">
        <f>L21/$Q21</f>
        <v/>
      </c>
      <c r="AD21" s="41">
        <f>M21/$Q21</f>
        <v/>
      </c>
      <c r="AE21" s="41">
        <f>N21/$Q21</f>
        <v/>
      </c>
      <c r="AF21" s="41">
        <f>O21/$Q21</f>
        <v/>
      </c>
      <c r="AG21" s="41">
        <f>P21/$Q21</f>
        <v/>
      </c>
      <c r="AH21" s="41">
        <f>SUM(S21:V21)</f>
        <v/>
      </c>
      <c r="AI21" s="41">
        <f>SUM(W21:Y21)+AC21</f>
        <v/>
      </c>
      <c r="AJ21" s="41">
        <f>AG21+AH21</f>
        <v/>
      </c>
      <c r="AK21" s="41">
        <f>AI21+AJ21</f>
        <v/>
      </c>
      <c r="AL21" s="41" t="n"/>
    </row>
    <row r="22" hidden="1" ht="15.75" customHeight="1" s="259">
      <c r="A22" s="9" t="n">
        <v>45169</v>
      </c>
      <c r="B22" s="2" t="n">
        <v>0.04</v>
      </c>
      <c r="C22" t="n">
        <v>0</v>
      </c>
      <c r="D22" s="2" t="n">
        <v>0.36</v>
      </c>
      <c r="E22" t="n">
        <v>0</v>
      </c>
      <c r="F22" s="2" t="n">
        <v>0.16</v>
      </c>
      <c r="G22" s="2" t="n">
        <v>0.18</v>
      </c>
      <c r="H22" s="2" t="n">
        <v>0</v>
      </c>
      <c r="I22" s="2" t="n">
        <v>18.8</v>
      </c>
      <c r="J22" s="2" t="n">
        <v>5.88</v>
      </c>
      <c r="K22" s="2" t="n">
        <v>0.24</v>
      </c>
      <c r="L22" s="2" t="n">
        <v>0</v>
      </c>
      <c r="M22" s="2" t="n">
        <v>0</v>
      </c>
      <c r="N22" s="2" t="n">
        <v>0</v>
      </c>
      <c r="O22" s="2" t="n">
        <v>0.06</v>
      </c>
      <c r="P22" s="2" t="n">
        <v>2.7</v>
      </c>
      <c r="Q22">
        <f>SUM(B22:P22)</f>
        <v/>
      </c>
      <c r="S22" s="41">
        <f>B22/$Q22</f>
        <v/>
      </c>
      <c r="T22" s="41">
        <f>C22/$Q22</f>
        <v/>
      </c>
      <c r="U22" s="41">
        <f>D22/$Q22</f>
        <v/>
      </c>
      <c r="V22" s="41">
        <f>E22/$Q22</f>
        <v/>
      </c>
      <c r="W22" s="41">
        <f>F22/$Q22</f>
        <v/>
      </c>
      <c r="X22" s="41">
        <f>G22/$Q22</f>
        <v/>
      </c>
      <c r="Y22" s="41">
        <f>H22/$Q22</f>
        <v/>
      </c>
      <c r="Z22" s="41">
        <f>I22/$Q22</f>
        <v/>
      </c>
      <c r="AA22" s="41">
        <f>J22/$Q22</f>
        <v/>
      </c>
      <c r="AB22" s="41">
        <f>K22/$Q22</f>
        <v/>
      </c>
      <c r="AC22" s="41">
        <f>L22/$Q22</f>
        <v/>
      </c>
      <c r="AD22" s="41">
        <f>M22/$Q22</f>
        <v/>
      </c>
      <c r="AE22" s="41">
        <f>N22/$Q22</f>
        <v/>
      </c>
      <c r="AF22" s="41">
        <f>O22/$Q22</f>
        <v/>
      </c>
      <c r="AG22" s="41">
        <f>P22/$Q22</f>
        <v/>
      </c>
      <c r="AH22" s="41">
        <f>SUM(S22:V22)</f>
        <v/>
      </c>
      <c r="AI22" s="41">
        <f>SUM(W22:Y22)+AC22</f>
        <v/>
      </c>
      <c r="AJ22" s="41">
        <f>AG22+AH22</f>
        <v/>
      </c>
      <c r="AK22" s="41">
        <f>AI22+AJ22</f>
        <v/>
      </c>
      <c r="AL22" s="41" t="n"/>
    </row>
    <row r="23" hidden="1" ht="15.75" customHeight="1" s="259">
      <c r="A23" s="9" t="n">
        <v>45198</v>
      </c>
      <c r="B23" s="2" t="n">
        <v>0</v>
      </c>
      <c r="C23" t="n">
        <v>0</v>
      </c>
      <c r="D23" s="2" t="n">
        <v>0.04</v>
      </c>
      <c r="E23" t="n">
        <v>0.04</v>
      </c>
      <c r="F23" s="2" t="n">
        <v>0.04</v>
      </c>
      <c r="G23" s="2" t="n">
        <v>0.06</v>
      </c>
      <c r="H23" s="2" t="n">
        <v>0</v>
      </c>
      <c r="I23" s="2" t="n">
        <v>23.32</v>
      </c>
      <c r="J23" s="2" t="n">
        <v>4.42</v>
      </c>
      <c r="K23" s="2" t="n">
        <v>0.02</v>
      </c>
      <c r="L23" s="2" t="n">
        <v>0</v>
      </c>
      <c r="M23" s="2" t="n">
        <v>0</v>
      </c>
      <c r="N23" s="2" t="n">
        <v>0</v>
      </c>
      <c r="O23" s="2" t="n">
        <v>0.02</v>
      </c>
      <c r="P23" s="2" t="n">
        <v>1.32</v>
      </c>
      <c r="Q23" s="6">
        <f>SUM(B23:P23)</f>
        <v/>
      </c>
      <c r="S23" s="41">
        <f>B23/$Q23</f>
        <v/>
      </c>
      <c r="T23" s="41">
        <f>C23/$Q23</f>
        <v/>
      </c>
      <c r="U23" s="41">
        <f>D23/$Q23</f>
        <v/>
      </c>
      <c r="V23" s="41">
        <f>E23/$Q23</f>
        <v/>
      </c>
      <c r="W23" s="41">
        <f>F23/$Q23</f>
        <v/>
      </c>
      <c r="X23" s="41">
        <f>G23/$Q23</f>
        <v/>
      </c>
      <c r="Y23" s="41">
        <f>H23/$Q23</f>
        <v/>
      </c>
      <c r="Z23" s="41">
        <f>I23/$Q23</f>
        <v/>
      </c>
      <c r="AA23" s="41">
        <f>J23/$Q23</f>
        <v/>
      </c>
      <c r="AB23" s="41">
        <f>K23/$Q23</f>
        <v/>
      </c>
      <c r="AC23" s="41">
        <f>L23/$Q23</f>
        <v/>
      </c>
      <c r="AD23" s="41">
        <f>M23/$Q23</f>
        <v/>
      </c>
      <c r="AE23" s="41">
        <f>N23/$Q23</f>
        <v/>
      </c>
      <c r="AF23" s="41">
        <f>O23/$Q23</f>
        <v/>
      </c>
      <c r="AG23" s="41">
        <f>P23/$Q23</f>
        <v/>
      </c>
      <c r="AH23" s="41">
        <f>SUM(S23:V23)</f>
        <v/>
      </c>
      <c r="AI23" s="41">
        <f>SUM(W23:Y23)+AC23</f>
        <v/>
      </c>
      <c r="AJ23" s="41">
        <f>AG23+AH23</f>
        <v/>
      </c>
      <c r="AK23" s="41">
        <f>AI23+AJ23</f>
        <v/>
      </c>
      <c r="AL23" s="41" t="n"/>
    </row>
    <row r="24" hidden="1" ht="15.75" customHeight="1" s="259">
      <c r="A24" s="9" t="n">
        <v>45224</v>
      </c>
      <c r="B24" s="2" t="n">
        <v>0</v>
      </c>
      <c r="C24" t="n">
        <v>0</v>
      </c>
      <c r="D24" s="2" t="n">
        <v>0.1</v>
      </c>
      <c r="E24" t="n">
        <v>0</v>
      </c>
      <c r="F24" s="2" t="n">
        <v>0</v>
      </c>
      <c r="G24" s="2" t="n">
        <v>0.04</v>
      </c>
      <c r="H24" s="2" t="n">
        <v>0</v>
      </c>
      <c r="I24" s="2" t="n">
        <v>19.75</v>
      </c>
      <c r="J24" s="2" t="n">
        <v>3</v>
      </c>
      <c r="K24" s="2" t="n">
        <v>1.11</v>
      </c>
      <c r="L24" s="2" t="n">
        <v>0.02</v>
      </c>
      <c r="M24" s="2" t="n">
        <v>0</v>
      </c>
      <c r="N24" s="2" t="n">
        <v>0</v>
      </c>
      <c r="O24" s="2" t="n">
        <v>0</v>
      </c>
      <c r="P24" s="2" t="n">
        <v>0.5600000000000001</v>
      </c>
      <c r="Q24" s="6">
        <f>SUM(B24:P24)</f>
        <v/>
      </c>
      <c r="S24" s="41">
        <f>B24/$Q24</f>
        <v/>
      </c>
      <c r="T24" s="41">
        <f>C24/$Q24</f>
        <v/>
      </c>
      <c r="U24" s="41">
        <f>D24/$Q24</f>
        <v/>
      </c>
      <c r="V24" s="41">
        <f>E24/$Q24</f>
        <v/>
      </c>
      <c r="W24" s="41">
        <f>F24/$Q24</f>
        <v/>
      </c>
      <c r="X24" s="41">
        <f>G24/$Q24</f>
        <v/>
      </c>
      <c r="Y24" s="41">
        <f>H24/$Q24</f>
        <v/>
      </c>
      <c r="Z24" s="41">
        <f>I24/$Q24</f>
        <v/>
      </c>
      <c r="AA24" s="41">
        <f>J24/$Q24</f>
        <v/>
      </c>
      <c r="AB24" s="41">
        <f>K24/$Q24</f>
        <v/>
      </c>
      <c r="AC24" s="41">
        <f>L24/$Q24</f>
        <v/>
      </c>
      <c r="AD24" s="41">
        <f>M24/$Q24</f>
        <v/>
      </c>
      <c r="AE24" s="41">
        <f>N24/$Q24</f>
        <v/>
      </c>
      <c r="AF24" s="41">
        <f>O24/$Q24</f>
        <v/>
      </c>
      <c r="AG24" s="41">
        <f>P24/$Q24</f>
        <v/>
      </c>
      <c r="AH24" s="41">
        <f>SUM(S24:V24)</f>
        <v/>
      </c>
      <c r="AI24" s="41">
        <f>SUM(W24:Y24)+AC24</f>
        <v/>
      </c>
      <c r="AJ24" s="41">
        <f>AG24+AH24</f>
        <v/>
      </c>
      <c r="AK24" s="41">
        <f>AI24+AJ24</f>
        <v/>
      </c>
      <c r="AL24" s="41" t="n"/>
    </row>
    <row r="25" hidden="1" ht="15.75" customHeight="1" s="259">
      <c r="A25" s="9" t="n">
        <v>45232</v>
      </c>
      <c r="B25" s="2" t="n">
        <v>0.14</v>
      </c>
      <c r="C25" t="n">
        <v>0</v>
      </c>
      <c r="D25" s="2" t="n">
        <v>0.26</v>
      </c>
      <c r="E25" t="n">
        <v>0</v>
      </c>
      <c r="F25" s="2" t="n">
        <v>0.28</v>
      </c>
      <c r="G25" s="2" t="n">
        <v>0.42</v>
      </c>
      <c r="H25" s="2" t="n">
        <v>0</v>
      </c>
      <c r="I25" s="2" t="n">
        <v>19.42</v>
      </c>
      <c r="J25" s="2" t="n">
        <v>2.16</v>
      </c>
      <c r="K25" s="2" t="n">
        <v>0.52</v>
      </c>
      <c r="L25" s="2" t="n">
        <v>0</v>
      </c>
      <c r="M25" s="2" t="n">
        <v>0.04</v>
      </c>
      <c r="N25" s="2" t="n">
        <v>0.14</v>
      </c>
      <c r="O25" s="2" t="n">
        <v>0</v>
      </c>
      <c r="P25" s="2" t="n">
        <v>2.36</v>
      </c>
      <c r="Q25" s="6">
        <f>SUM(B25:P25)</f>
        <v/>
      </c>
      <c r="S25" s="41">
        <f>B25/$Q25</f>
        <v/>
      </c>
      <c r="T25" s="41">
        <f>C25/$Q25</f>
        <v/>
      </c>
      <c r="U25" s="41">
        <f>D25/$Q25</f>
        <v/>
      </c>
      <c r="V25" s="41">
        <f>E25/$Q25</f>
        <v/>
      </c>
      <c r="W25" s="41">
        <f>F25/$Q25</f>
        <v/>
      </c>
      <c r="X25" s="41">
        <f>G25/$Q25</f>
        <v/>
      </c>
      <c r="Y25" s="41">
        <f>H25/$Q25</f>
        <v/>
      </c>
      <c r="Z25" s="41">
        <f>I25/$Q25</f>
        <v/>
      </c>
      <c r="AA25" s="41">
        <f>J25/$Q25</f>
        <v/>
      </c>
      <c r="AB25" s="41">
        <f>K25/$Q25</f>
        <v/>
      </c>
      <c r="AC25" s="41">
        <f>L25/$Q25</f>
        <v/>
      </c>
      <c r="AD25" s="41">
        <f>M25/$Q25</f>
        <v/>
      </c>
      <c r="AE25" s="41">
        <f>N25/$Q25</f>
        <v/>
      </c>
      <c r="AF25" s="41">
        <f>O25/$Q25</f>
        <v/>
      </c>
      <c r="AG25" s="41">
        <f>P25/$Q25</f>
        <v/>
      </c>
      <c r="AH25" s="41">
        <f>SUM(S25:V25)</f>
        <v/>
      </c>
      <c r="AI25" s="41">
        <f>SUM(W25:Y25)+AC25</f>
        <v/>
      </c>
      <c r="AJ25" s="41">
        <f>AG25+AH25</f>
        <v/>
      </c>
      <c r="AK25" s="41">
        <f>AI25+AJ25</f>
        <v/>
      </c>
      <c r="AL25" s="41" t="n"/>
    </row>
    <row r="26" hidden="1" ht="15.75" customHeight="1" s="259">
      <c r="A26" s="9" t="n">
        <v>45334</v>
      </c>
      <c r="B26" s="2" t="n">
        <v>0.04</v>
      </c>
      <c r="C26" t="n">
        <v>0</v>
      </c>
      <c r="D26" s="2" t="n">
        <v>0</v>
      </c>
      <c r="E26" t="n">
        <v>0</v>
      </c>
      <c r="F26" s="2" t="n">
        <v>0.28</v>
      </c>
      <c r="G26" s="2" t="n">
        <v>0.2</v>
      </c>
      <c r="H26" s="2" t="n">
        <v>0</v>
      </c>
      <c r="I26" s="2" t="n">
        <v>19</v>
      </c>
      <c r="J26" s="2" t="n">
        <v>2.8</v>
      </c>
      <c r="K26" s="2" t="n">
        <v>0.46</v>
      </c>
      <c r="L26" s="2" t="n">
        <v>0</v>
      </c>
      <c r="M26" s="2" t="n">
        <v>0</v>
      </c>
      <c r="N26" s="2" t="n">
        <v>0</v>
      </c>
      <c r="O26" s="2" t="n">
        <v>0.04</v>
      </c>
      <c r="P26" s="2" t="n">
        <v>2.44</v>
      </c>
      <c r="Q26" s="6">
        <f>SUM(B26:P26)</f>
        <v/>
      </c>
      <c r="S26" s="41">
        <f>B26/$Q26</f>
        <v/>
      </c>
      <c r="T26" s="41">
        <f>C26/$Q26</f>
        <v/>
      </c>
      <c r="U26" s="41">
        <f>D26/$Q26</f>
        <v/>
      </c>
      <c r="V26" s="41">
        <f>E26/$Q26</f>
        <v/>
      </c>
      <c r="W26" s="41">
        <f>F26/$Q26</f>
        <v/>
      </c>
      <c r="X26" s="41">
        <f>G26/$Q26</f>
        <v/>
      </c>
      <c r="Y26" s="41">
        <f>H26/$Q26</f>
        <v/>
      </c>
      <c r="Z26" s="41">
        <f>I26/$Q26</f>
        <v/>
      </c>
      <c r="AA26" s="41">
        <f>J26/$Q26</f>
        <v/>
      </c>
      <c r="AB26" s="41">
        <f>K26/$Q26</f>
        <v/>
      </c>
      <c r="AC26" s="41">
        <f>L26/$Q26</f>
        <v/>
      </c>
      <c r="AD26" s="41">
        <f>M26/$Q26</f>
        <v/>
      </c>
      <c r="AE26" s="41">
        <f>N26/$Q26</f>
        <v/>
      </c>
      <c r="AF26" s="41">
        <f>O26/$Q26</f>
        <v/>
      </c>
      <c r="AG26" s="41">
        <f>P26/$Q26</f>
        <v/>
      </c>
      <c r="AH26" s="41">
        <f>SUM(S26:V26)</f>
        <v/>
      </c>
      <c r="AI26" s="41">
        <f>SUM(W26:Y26)+AC26</f>
        <v/>
      </c>
      <c r="AJ26" s="41">
        <f>AG26+AH26</f>
        <v/>
      </c>
      <c r="AK26" s="41">
        <f>AI26+AJ26</f>
        <v/>
      </c>
      <c r="AL26" s="41">
        <f>SUM(Z26:AB26)</f>
        <v/>
      </c>
      <c r="AM26">
        <f>YEAR(A26)</f>
        <v/>
      </c>
      <c r="AN26">
        <f>MONTH(A26)</f>
        <v/>
      </c>
      <c r="AO26" t="n">
        <v>1</v>
      </c>
    </row>
    <row r="27" hidden="1" ht="15.75" customHeight="1" s="259">
      <c r="A27" s="9" t="n">
        <v>45394</v>
      </c>
      <c r="D27" s="2" t="n">
        <v>0.22</v>
      </c>
      <c r="F27" t="n">
        <v>0.24</v>
      </c>
      <c r="G27" t="n">
        <v>0.16</v>
      </c>
      <c r="I27" s="2" t="n">
        <v>8.94</v>
      </c>
      <c r="J27" s="2" t="n">
        <v>2.6</v>
      </c>
      <c r="K27" s="2" t="n">
        <v>0.54</v>
      </c>
      <c r="M27" s="2" t="n">
        <v>0.06</v>
      </c>
      <c r="N27" t="n">
        <v>0.02</v>
      </c>
      <c r="P27" s="2" t="n">
        <v>2.48</v>
      </c>
      <c r="Q27" s="6">
        <f>SUM(B27:P27)</f>
        <v/>
      </c>
      <c r="S27" s="41">
        <f>B27/$Q27</f>
        <v/>
      </c>
      <c r="T27" s="41">
        <f>C27/$Q27</f>
        <v/>
      </c>
      <c r="U27" s="41">
        <f>D27/$Q27</f>
        <v/>
      </c>
      <c r="V27" s="41">
        <f>E27/$Q27</f>
        <v/>
      </c>
      <c r="W27" s="41">
        <f>F27/$Q27</f>
        <v/>
      </c>
      <c r="X27" s="41">
        <f>G27/$Q27</f>
        <v/>
      </c>
      <c r="Y27" s="41">
        <f>H27/$Q27</f>
        <v/>
      </c>
      <c r="Z27" s="41">
        <f>I27/$Q27</f>
        <v/>
      </c>
      <c r="AA27" s="41">
        <f>J27/$Q27</f>
        <v/>
      </c>
      <c r="AB27" s="41">
        <f>K27/$Q27</f>
        <v/>
      </c>
      <c r="AC27" s="41">
        <f>L27/$Q27</f>
        <v/>
      </c>
      <c r="AD27" s="41">
        <f>M27/$Q27</f>
        <v/>
      </c>
      <c r="AE27" s="41">
        <f>N27/$Q27</f>
        <v/>
      </c>
      <c r="AF27" s="41">
        <f>O27/$Q27</f>
        <v/>
      </c>
      <c r="AG27" s="41">
        <f>P27/$Q27</f>
        <v/>
      </c>
      <c r="AH27" s="41">
        <f>SUM(S27:V27)</f>
        <v/>
      </c>
      <c r="AI27" s="41">
        <f>SUM(W27:Y27)+AC27</f>
        <v/>
      </c>
      <c r="AJ27" s="41">
        <f>AG27+AH27</f>
        <v/>
      </c>
      <c r="AK27" s="41">
        <f>AI27+AJ27</f>
        <v/>
      </c>
      <c r="AL27" s="41">
        <f>SUM(Z27:AB27)</f>
        <v/>
      </c>
      <c r="AM27">
        <f>YEAR(A27)</f>
        <v/>
      </c>
      <c r="AN27">
        <f>MONTH(A27)</f>
        <v/>
      </c>
      <c r="AO27">
        <f>AO26+1</f>
        <v/>
      </c>
    </row>
    <row r="28" hidden="1" ht="15.75" customHeight="1" s="259">
      <c r="A28" s="9" t="n">
        <v>45398</v>
      </c>
      <c r="B28" s="107" t="n">
        <v>0.32</v>
      </c>
      <c r="C28" s="107" t="n">
        <v>0</v>
      </c>
      <c r="D28" s="2" t="n">
        <v>0.12</v>
      </c>
      <c r="E28" t="n">
        <v>0</v>
      </c>
      <c r="F28" s="107" t="n">
        <v>0.12</v>
      </c>
      <c r="G28" s="107" t="n">
        <v>0.18</v>
      </c>
      <c r="H28" s="107" t="n">
        <v>0</v>
      </c>
      <c r="I28" s="2" t="n">
        <v>4.58</v>
      </c>
      <c r="J28" s="2" t="n">
        <v>1.86</v>
      </c>
      <c r="K28" s="2" t="n">
        <v>1.12</v>
      </c>
      <c r="L28" s="2" t="n">
        <v>0</v>
      </c>
      <c r="M28" s="2" t="n">
        <v>0</v>
      </c>
      <c r="N28" s="2" t="n">
        <v>0</v>
      </c>
      <c r="O28" s="2" t="n">
        <v>0</v>
      </c>
      <c r="P28" s="2" t="n">
        <v>1.12</v>
      </c>
      <c r="Q28" s="6">
        <f>SUM(B28:P28)</f>
        <v/>
      </c>
      <c r="S28" s="41">
        <f>B28/$Q28</f>
        <v/>
      </c>
      <c r="T28" s="41">
        <f>C28/$Q28</f>
        <v/>
      </c>
      <c r="U28" s="41">
        <f>D28/$Q28</f>
        <v/>
      </c>
      <c r="V28" s="41">
        <f>E28/$Q28</f>
        <v/>
      </c>
      <c r="W28" s="41">
        <f>F28/$Q28</f>
        <v/>
      </c>
      <c r="X28" s="41">
        <f>G28/$Q28</f>
        <v/>
      </c>
      <c r="Y28" s="41">
        <f>H28/$Q28</f>
        <v/>
      </c>
      <c r="Z28" s="41">
        <f>I28/$Q28</f>
        <v/>
      </c>
      <c r="AA28" s="41">
        <f>J28/$Q28</f>
        <v/>
      </c>
      <c r="AB28" s="41">
        <f>K28/$Q28</f>
        <v/>
      </c>
      <c r="AC28" s="41">
        <f>L28/$Q28</f>
        <v/>
      </c>
      <c r="AD28" s="41">
        <f>M28/$Q28</f>
        <v/>
      </c>
      <c r="AE28" s="41">
        <f>N28/$Q28</f>
        <v/>
      </c>
      <c r="AF28" s="41">
        <f>O28/$Q28</f>
        <v/>
      </c>
      <c r="AG28" s="41">
        <f>P28/$Q28</f>
        <v/>
      </c>
      <c r="AH28" s="41">
        <f>SUM(S28:V28)</f>
        <v/>
      </c>
      <c r="AI28" s="41">
        <f>SUM(W28:Y28)+AC28</f>
        <v/>
      </c>
      <c r="AJ28" s="41">
        <f>AG28+AH28</f>
        <v/>
      </c>
      <c r="AK28" s="41">
        <f>AI28+AJ28</f>
        <v/>
      </c>
      <c r="AL28" s="41">
        <f>SUM(Z28:AB28)</f>
        <v/>
      </c>
      <c r="AM28">
        <f>YEAR(A28)</f>
        <v/>
      </c>
      <c r="AN28">
        <f>MONTH(A28)</f>
        <v/>
      </c>
      <c r="AO28">
        <f>AO27+1</f>
        <v/>
      </c>
    </row>
    <row r="29" hidden="1" ht="15.75" customHeight="1" s="259">
      <c r="A29" s="9" t="n">
        <v>45401</v>
      </c>
      <c r="B29" t="n">
        <v>0.1</v>
      </c>
      <c r="C29" t="n">
        <v>0</v>
      </c>
      <c r="D29" s="2" t="n">
        <v>0.32</v>
      </c>
      <c r="E29" t="n">
        <v>0</v>
      </c>
      <c r="F29" t="n">
        <v>0.3</v>
      </c>
      <c r="G29" t="n">
        <v>0.08</v>
      </c>
      <c r="H29" t="n">
        <v>0</v>
      </c>
      <c r="I29" s="2" t="n">
        <v>7.94</v>
      </c>
      <c r="J29" s="2" t="n">
        <v>3.8</v>
      </c>
      <c r="K29" s="2" t="n">
        <v>0.14</v>
      </c>
      <c r="L29" s="2" t="n">
        <v>0</v>
      </c>
      <c r="M29" s="2" t="n">
        <v>0</v>
      </c>
      <c r="N29" s="2" t="n">
        <v>0.04</v>
      </c>
      <c r="O29" s="2" t="n">
        <v>0</v>
      </c>
      <c r="P29" s="2" t="n">
        <v>2.5</v>
      </c>
      <c r="Q29" s="6">
        <f>SUM(B29:P29)</f>
        <v/>
      </c>
      <c r="S29" s="41">
        <f>B29/$Q29</f>
        <v/>
      </c>
      <c r="T29" s="41">
        <f>C29/$Q29</f>
        <v/>
      </c>
      <c r="U29" s="41">
        <f>D29/$Q29</f>
        <v/>
      </c>
      <c r="V29" s="41">
        <f>E29/$Q29</f>
        <v/>
      </c>
      <c r="W29" s="41">
        <f>F29/$Q29</f>
        <v/>
      </c>
      <c r="X29" s="41">
        <f>G29/$Q29</f>
        <v/>
      </c>
      <c r="Y29" s="41">
        <f>H29/$Q29</f>
        <v/>
      </c>
      <c r="Z29" s="41">
        <f>I29/$Q29</f>
        <v/>
      </c>
      <c r="AA29" s="41">
        <f>J29/$Q29</f>
        <v/>
      </c>
      <c r="AB29" s="41">
        <f>K29/$Q29</f>
        <v/>
      </c>
      <c r="AC29" s="41">
        <f>L29/$Q29</f>
        <v/>
      </c>
      <c r="AD29" s="41">
        <f>M29/$Q29</f>
        <v/>
      </c>
      <c r="AE29" s="41">
        <f>N29/$Q29</f>
        <v/>
      </c>
      <c r="AF29" s="41">
        <f>O29/$Q29</f>
        <v/>
      </c>
      <c r="AG29" s="41">
        <f>P29/$Q29</f>
        <v/>
      </c>
      <c r="AH29" s="41">
        <f>SUM(S29:V29)</f>
        <v/>
      </c>
      <c r="AI29" s="41">
        <f>SUM(W29:Y29)+AC29</f>
        <v/>
      </c>
      <c r="AJ29" s="41">
        <f>AG29+AH29</f>
        <v/>
      </c>
      <c r="AK29" s="41">
        <f>AI29+AJ29</f>
        <v/>
      </c>
      <c r="AL29" s="41">
        <f>SUM(Z29:AB29)</f>
        <v/>
      </c>
      <c r="AM29">
        <f>YEAR(A29)</f>
        <v/>
      </c>
      <c r="AN29">
        <f>MONTH(A29)</f>
        <v/>
      </c>
      <c r="AO29">
        <f>AO28+1</f>
        <v/>
      </c>
    </row>
    <row r="30" hidden="1" ht="15.75" customHeight="1" s="259">
      <c r="A30" s="9" t="n">
        <v>45408</v>
      </c>
      <c r="B30" t="n">
        <v>0.04</v>
      </c>
      <c r="C30" t="n">
        <v>0</v>
      </c>
      <c r="D30" s="2" t="n">
        <v>0.4</v>
      </c>
      <c r="E30" t="n">
        <v>0.02</v>
      </c>
      <c r="F30" t="n">
        <v>0.22</v>
      </c>
      <c r="G30" t="n">
        <v>0.12</v>
      </c>
      <c r="H30" t="n">
        <v>0</v>
      </c>
      <c r="I30" s="2" t="n">
        <v>9.720000000000001</v>
      </c>
      <c r="J30" s="2" t="n">
        <v>5</v>
      </c>
      <c r="K30" s="2" t="n">
        <v>0.58</v>
      </c>
      <c r="L30" s="2" t="n">
        <v>0</v>
      </c>
      <c r="M30" s="2" t="n">
        <v>0.02</v>
      </c>
      <c r="N30" s="2" t="n">
        <v>0.06</v>
      </c>
      <c r="O30" s="2" t="n">
        <v>0</v>
      </c>
      <c r="P30" s="2" t="n">
        <v>2.1</v>
      </c>
      <c r="Q30" s="6">
        <f>SUM(B30:P30)</f>
        <v/>
      </c>
      <c r="S30" s="41">
        <f>B30/$Q30</f>
        <v/>
      </c>
      <c r="T30" s="41">
        <f>C30/$Q30</f>
        <v/>
      </c>
      <c r="U30" s="41">
        <f>D30/$Q30</f>
        <v/>
      </c>
      <c r="V30" s="41">
        <f>E30/$Q30</f>
        <v/>
      </c>
      <c r="W30" s="41">
        <f>F30/$Q30</f>
        <v/>
      </c>
      <c r="X30" s="41">
        <f>G30/$Q30</f>
        <v/>
      </c>
      <c r="Y30" s="41">
        <f>H30/$Q30</f>
        <v/>
      </c>
      <c r="Z30" s="41">
        <f>I30/$Q30</f>
        <v/>
      </c>
      <c r="AA30" s="41">
        <f>J30/$Q30</f>
        <v/>
      </c>
      <c r="AB30" s="41">
        <f>K30/$Q30</f>
        <v/>
      </c>
      <c r="AC30" s="41">
        <f>L30/$Q30</f>
        <v/>
      </c>
      <c r="AD30" s="41">
        <f>M30/$Q30</f>
        <v/>
      </c>
      <c r="AE30" s="41">
        <f>N30/$Q30</f>
        <v/>
      </c>
      <c r="AF30" s="41">
        <f>O30/$Q30</f>
        <v/>
      </c>
      <c r="AG30" s="41">
        <f>P30/$Q30</f>
        <v/>
      </c>
      <c r="AH30" s="41">
        <f>SUM(S30:V30)</f>
        <v/>
      </c>
      <c r="AI30" s="41">
        <f>SUM(W30:Y30)+AC30</f>
        <v/>
      </c>
      <c r="AJ30" s="41">
        <f>AG30+AH30</f>
        <v/>
      </c>
      <c r="AK30" s="41">
        <f>AI30+AJ30</f>
        <v/>
      </c>
      <c r="AL30" s="41">
        <f>SUM(Z30:AB30)</f>
        <v/>
      </c>
      <c r="AM30">
        <f>YEAR(A30)</f>
        <v/>
      </c>
      <c r="AN30">
        <f>MONTH(A30)</f>
        <v/>
      </c>
      <c r="AO30">
        <f>AO29+1</f>
        <v/>
      </c>
    </row>
    <row r="31" hidden="1" ht="15.75" customHeight="1" s="259">
      <c r="A31" s="9" t="n">
        <v>45500</v>
      </c>
      <c r="B31" t="n">
        <v>0.04</v>
      </c>
      <c r="C31" t="n">
        <v>0.16</v>
      </c>
      <c r="D31" s="2" t="n">
        <v>0.36</v>
      </c>
      <c r="E31" t="n">
        <v>0.08</v>
      </c>
      <c r="F31" t="n">
        <v>0.04</v>
      </c>
      <c r="G31" t="n">
        <v>0.08</v>
      </c>
      <c r="H31" t="n">
        <v>0.06</v>
      </c>
      <c r="I31" s="2" t="n">
        <v>19.42</v>
      </c>
      <c r="J31" s="2" t="n">
        <v>2.97</v>
      </c>
      <c r="K31" s="2" t="n">
        <v>0.12</v>
      </c>
      <c r="L31" s="2" t="n">
        <v>0.34</v>
      </c>
      <c r="M31" s="2" t="n">
        <v>0</v>
      </c>
      <c r="N31" s="2" t="n">
        <v>0</v>
      </c>
      <c r="O31" s="2" t="n">
        <v>0</v>
      </c>
      <c r="P31" s="2" t="n">
        <v>0.96</v>
      </c>
      <c r="Q31" s="6">
        <f>SUM(B31:P31)</f>
        <v/>
      </c>
      <c r="S31" s="41">
        <f>B31/$Q31</f>
        <v/>
      </c>
      <c r="T31" s="41">
        <f>C31/$Q31</f>
        <v/>
      </c>
      <c r="U31" s="41">
        <f>D31/$Q31</f>
        <v/>
      </c>
      <c r="V31" s="41">
        <f>E31/$Q31</f>
        <v/>
      </c>
      <c r="W31" s="41">
        <f>F31/$Q31</f>
        <v/>
      </c>
      <c r="X31" s="41">
        <f>G31/$Q31</f>
        <v/>
      </c>
      <c r="Y31" s="41">
        <f>H31/$Q31</f>
        <v/>
      </c>
      <c r="Z31" s="41">
        <f>I31/$Q31</f>
        <v/>
      </c>
      <c r="AA31" s="41">
        <f>J31/$Q31</f>
        <v/>
      </c>
      <c r="AB31" s="41">
        <f>K31/$Q31</f>
        <v/>
      </c>
      <c r="AC31" s="41">
        <f>L31/$Q31</f>
        <v/>
      </c>
      <c r="AD31" s="41">
        <f>M31/$Q31</f>
        <v/>
      </c>
      <c r="AE31" s="41">
        <f>N31/$Q31</f>
        <v/>
      </c>
      <c r="AF31" s="41">
        <f>O31/$Q31</f>
        <v/>
      </c>
      <c r="AG31" s="41">
        <f>P31/$Q31</f>
        <v/>
      </c>
      <c r="AH31" s="41">
        <f>SUM(S31:V31)</f>
        <v/>
      </c>
      <c r="AI31" s="41">
        <f>SUM(W31:Y31)+AC31</f>
        <v/>
      </c>
      <c r="AJ31" s="41">
        <f>AG31+AH31</f>
        <v/>
      </c>
      <c r="AK31" s="41">
        <f>AI31+AJ31</f>
        <v/>
      </c>
      <c r="AL31" s="41">
        <f>SUM(Z31:AB31)</f>
        <v/>
      </c>
      <c r="AM31">
        <f>YEAR(A31)</f>
        <v/>
      </c>
      <c r="AN31">
        <f>MONTH(A31)</f>
        <v/>
      </c>
      <c r="AO31">
        <f>AO30+1</f>
        <v/>
      </c>
    </row>
    <row r="32" hidden="1" ht="15.75" customHeight="1" s="259">
      <c r="A32" s="9" t="n">
        <v>45503</v>
      </c>
      <c r="B32" t="n">
        <v>0.36</v>
      </c>
      <c r="C32" t="n">
        <v>0.1</v>
      </c>
      <c r="D32" s="2" t="n">
        <v>0.32</v>
      </c>
      <c r="E32" t="n">
        <v>0.16</v>
      </c>
      <c r="F32" t="n">
        <v>0.26</v>
      </c>
      <c r="G32" t="n">
        <v>0.04</v>
      </c>
      <c r="H32" t="n">
        <v>0.02</v>
      </c>
      <c r="I32" s="2" t="n">
        <v>27.17</v>
      </c>
      <c r="J32" s="2" t="n">
        <v>4.38</v>
      </c>
      <c r="K32" s="2" t="n">
        <v>0.44</v>
      </c>
      <c r="L32" s="2" t="n">
        <v>0.08</v>
      </c>
      <c r="M32" s="2" t="n">
        <v>0</v>
      </c>
      <c r="N32" s="2" t="n">
        <v>0.14</v>
      </c>
      <c r="O32" s="2" t="n">
        <v>0</v>
      </c>
      <c r="P32" s="2" t="n">
        <v>2.8</v>
      </c>
      <c r="Q32" s="6">
        <f>SUM(B32:P32)</f>
        <v/>
      </c>
      <c r="S32" s="41">
        <f>B32/$Q32</f>
        <v/>
      </c>
      <c r="T32" s="41">
        <f>C32/$Q32</f>
        <v/>
      </c>
      <c r="U32" s="41">
        <f>D32/$Q32</f>
        <v/>
      </c>
      <c r="V32" s="41">
        <f>E32/$Q32</f>
        <v/>
      </c>
      <c r="W32" s="41">
        <f>F32/$Q32</f>
        <v/>
      </c>
      <c r="X32" s="41">
        <f>G32/$Q32</f>
        <v/>
      </c>
      <c r="Y32" s="41">
        <f>H32/$Q32</f>
        <v/>
      </c>
      <c r="Z32" s="41">
        <f>I32/$Q32</f>
        <v/>
      </c>
      <c r="AA32" s="41">
        <f>J32/$Q32</f>
        <v/>
      </c>
      <c r="AB32" s="41">
        <f>K32/$Q32</f>
        <v/>
      </c>
      <c r="AC32" s="41">
        <f>L32/$Q32</f>
        <v/>
      </c>
      <c r="AD32" s="41">
        <f>M32/$Q32</f>
        <v/>
      </c>
      <c r="AE32" s="41">
        <f>N32/$Q32</f>
        <v/>
      </c>
      <c r="AF32" s="41">
        <f>O32/$Q32</f>
        <v/>
      </c>
      <c r="AG32" s="41">
        <f>P32/$Q32</f>
        <v/>
      </c>
      <c r="AH32" s="41">
        <f>SUM(S32:V32)</f>
        <v/>
      </c>
      <c r="AI32" s="41">
        <f>SUM(W32:Y32)+AC32</f>
        <v/>
      </c>
      <c r="AJ32" s="41">
        <f>AG32+AH32</f>
        <v/>
      </c>
      <c r="AK32" s="41">
        <f>AI32+AJ32</f>
        <v/>
      </c>
      <c r="AL32" s="41">
        <f>SUM(Z32:AB32)</f>
        <v/>
      </c>
      <c r="AM32">
        <f>YEAR(A32)</f>
        <v/>
      </c>
      <c r="AN32">
        <f>MONTH(A32)</f>
        <v/>
      </c>
      <c r="AO32">
        <f>AO31+1</f>
        <v/>
      </c>
    </row>
    <row r="33" hidden="1" ht="15.75" customHeight="1" s="259">
      <c r="A33" s="9" t="n">
        <v>45514</v>
      </c>
      <c r="B33" t="n">
        <v>0</v>
      </c>
      <c r="C33" t="n">
        <v>0</v>
      </c>
      <c r="D33" s="2" t="n">
        <v>0.14</v>
      </c>
      <c r="E33" s="107" t="n">
        <v>0</v>
      </c>
      <c r="F33" t="n">
        <v>0.02</v>
      </c>
      <c r="G33" t="n">
        <v>0</v>
      </c>
      <c r="H33" t="n">
        <v>0</v>
      </c>
      <c r="I33" s="2" t="n">
        <v>22.7</v>
      </c>
      <c r="J33" s="2" t="n">
        <v>2.88</v>
      </c>
      <c r="K33" s="2" t="n">
        <v>0.18</v>
      </c>
      <c r="L33" s="2" t="n">
        <v>0</v>
      </c>
      <c r="M33" s="2" t="n">
        <v>0.04</v>
      </c>
      <c r="N33" s="2" t="n">
        <v>0</v>
      </c>
      <c r="O33" s="2" t="n">
        <v>0</v>
      </c>
      <c r="P33" s="2" t="n">
        <v>0.38</v>
      </c>
      <c r="Q33" s="6">
        <f>SUM(B33:P33)</f>
        <v/>
      </c>
      <c r="S33" s="41">
        <f>B33/$Q33</f>
        <v/>
      </c>
      <c r="T33" s="41">
        <f>C33/$Q33</f>
        <v/>
      </c>
      <c r="U33" s="41">
        <f>D33/$Q33</f>
        <v/>
      </c>
      <c r="V33" s="41">
        <f>E33/$Q33</f>
        <v/>
      </c>
      <c r="W33" s="41">
        <f>F33/$Q33</f>
        <v/>
      </c>
      <c r="X33" s="41">
        <f>G33/$Q33</f>
        <v/>
      </c>
      <c r="Y33" s="41">
        <f>H33/$Q33</f>
        <v/>
      </c>
      <c r="Z33" s="41">
        <f>I33/$Q33</f>
        <v/>
      </c>
      <c r="AA33" s="41">
        <f>J33/$Q33</f>
        <v/>
      </c>
      <c r="AB33" s="41">
        <f>K33/$Q33</f>
        <v/>
      </c>
      <c r="AC33" s="41">
        <f>L33/$Q33</f>
        <v/>
      </c>
      <c r="AD33" s="41">
        <f>M33/$Q33</f>
        <v/>
      </c>
      <c r="AE33" s="41">
        <f>N33/$Q33</f>
        <v/>
      </c>
      <c r="AF33" s="41">
        <f>O33/$Q33</f>
        <v/>
      </c>
      <c r="AG33" s="41">
        <f>P33/$Q33</f>
        <v/>
      </c>
      <c r="AH33" s="41">
        <f>SUM(S33:V33)</f>
        <v/>
      </c>
      <c r="AI33" s="41">
        <f>SUM(W33:Y33)+AC33</f>
        <v/>
      </c>
      <c r="AJ33" s="41">
        <f>AG33+AH33</f>
        <v/>
      </c>
      <c r="AK33" s="41">
        <f>AI33+AJ33</f>
        <v/>
      </c>
      <c r="AL33" s="41">
        <f>SUM(Z33:AB33)</f>
        <v/>
      </c>
      <c r="AM33">
        <f>YEAR(A33)</f>
        <v/>
      </c>
      <c r="AN33">
        <f>MONTH(A33)</f>
        <v/>
      </c>
      <c r="AO33">
        <f>AO32+1</f>
        <v/>
      </c>
    </row>
    <row r="34" hidden="1" ht="15.75" customHeight="1" s="259">
      <c r="A34" s="9" t="n">
        <v>45593</v>
      </c>
      <c r="B34" t="n">
        <v>0.1</v>
      </c>
      <c r="C34" t="n">
        <v>0.18</v>
      </c>
      <c r="D34" s="2" t="n">
        <v>0.12</v>
      </c>
      <c r="E34" t="n">
        <v>0</v>
      </c>
      <c r="F34" t="n">
        <v>0.21</v>
      </c>
      <c r="G34" t="n">
        <v>0.62</v>
      </c>
      <c r="H34" t="n">
        <v>0.08</v>
      </c>
      <c r="I34" s="2" t="n">
        <v>25.12</v>
      </c>
      <c r="J34" s="2" t="n">
        <v>0.18</v>
      </c>
      <c r="K34" s="2" t="n">
        <v>3.88</v>
      </c>
      <c r="L34" s="2" t="n">
        <v>0.08</v>
      </c>
      <c r="M34" s="2" t="n">
        <v>0</v>
      </c>
      <c r="N34" s="2" t="n">
        <v>0.02</v>
      </c>
      <c r="O34" s="2" t="n">
        <v>0</v>
      </c>
      <c r="P34" s="2" t="n">
        <v>0.86</v>
      </c>
      <c r="Q34" s="6">
        <f>SUM(B34:P34)</f>
        <v/>
      </c>
      <c r="S34" s="41">
        <f>B34/$Q34</f>
        <v/>
      </c>
      <c r="T34" s="41">
        <f>C34/$Q34</f>
        <v/>
      </c>
      <c r="U34" s="41">
        <f>D34/$Q34</f>
        <v/>
      </c>
      <c r="V34" s="41">
        <f>E34/$Q34</f>
        <v/>
      </c>
      <c r="W34" s="41">
        <f>F34/$Q34</f>
        <v/>
      </c>
      <c r="X34" s="41">
        <f>G34/$Q34</f>
        <v/>
      </c>
      <c r="Y34" s="41">
        <f>H34/$Q34</f>
        <v/>
      </c>
      <c r="Z34" s="41">
        <f>I34/$Q34</f>
        <v/>
      </c>
      <c r="AA34" s="41">
        <f>J34/$Q34</f>
        <v/>
      </c>
      <c r="AB34" s="41">
        <f>K34/$Q34</f>
        <v/>
      </c>
      <c r="AC34" s="41">
        <f>L34/$Q34</f>
        <v/>
      </c>
      <c r="AD34" s="41">
        <f>M34/$Q34</f>
        <v/>
      </c>
      <c r="AE34" s="41">
        <f>N34/$Q34</f>
        <v/>
      </c>
      <c r="AF34" s="41">
        <f>O34/$Q34</f>
        <v/>
      </c>
      <c r="AG34" s="41">
        <f>P34/$Q34</f>
        <v/>
      </c>
      <c r="AH34" s="41">
        <f>SUM(S34:V34)</f>
        <v/>
      </c>
      <c r="AI34" s="41">
        <f>SUM(W34:Y34)+AC34</f>
        <v/>
      </c>
      <c r="AJ34" s="41">
        <f>AG34+AH34</f>
        <v/>
      </c>
      <c r="AK34" s="41">
        <f>AI34+AJ34</f>
        <v/>
      </c>
      <c r="AL34" s="41">
        <f>SUM(Z34:AB34)</f>
        <v/>
      </c>
      <c r="AM34">
        <f>YEAR(A34)</f>
        <v/>
      </c>
      <c r="AN34">
        <f>MONTH(A34)</f>
        <v/>
      </c>
      <c r="AO34">
        <f>AO33+1</f>
        <v/>
      </c>
    </row>
    <row r="35" hidden="1" ht="15.75" customHeight="1" s="259">
      <c r="A35" s="9" t="n">
        <v>45608</v>
      </c>
      <c r="B35" t="n">
        <v>0</v>
      </c>
      <c r="C35" t="n">
        <v>0</v>
      </c>
      <c r="D35" s="2" t="n">
        <v>0.26</v>
      </c>
      <c r="E35" t="n">
        <v>0</v>
      </c>
      <c r="F35" t="n">
        <v>0.08</v>
      </c>
      <c r="G35" t="n">
        <v>0.08</v>
      </c>
      <c r="H35" t="n">
        <v>0</v>
      </c>
      <c r="I35" s="2" t="n">
        <v>23.58</v>
      </c>
      <c r="J35" s="2" t="n">
        <v>3.88</v>
      </c>
      <c r="K35" s="2" t="n">
        <v>1.06</v>
      </c>
      <c r="L35" s="2" t="n">
        <v>0</v>
      </c>
      <c r="M35" s="2" t="n">
        <v>0</v>
      </c>
      <c r="N35" s="2" t="n">
        <v>0</v>
      </c>
      <c r="O35" s="2" t="n">
        <v>0</v>
      </c>
      <c r="P35" s="2" t="n">
        <v>0.5600000000000001</v>
      </c>
      <c r="Q35" s="6">
        <f>SUM(B35:P35)</f>
        <v/>
      </c>
      <c r="S35" s="41">
        <f>B35/$Q35</f>
        <v/>
      </c>
      <c r="T35" s="41">
        <f>C35/$Q35</f>
        <v/>
      </c>
      <c r="U35" s="41">
        <f>D35/$Q35</f>
        <v/>
      </c>
      <c r="V35" s="41">
        <f>E35/$Q35</f>
        <v/>
      </c>
      <c r="W35" s="41">
        <f>F35/$Q35</f>
        <v/>
      </c>
      <c r="X35" s="41">
        <f>G35/$Q35</f>
        <v/>
      </c>
      <c r="Y35" s="41">
        <f>H35/$Q35</f>
        <v/>
      </c>
      <c r="Z35" s="41">
        <f>I35/$Q35</f>
        <v/>
      </c>
      <c r="AA35" s="41">
        <f>J35/$Q35</f>
        <v/>
      </c>
      <c r="AB35" s="41">
        <f>K35/$Q35</f>
        <v/>
      </c>
      <c r="AC35" s="41">
        <f>L35/$Q35</f>
        <v/>
      </c>
      <c r="AD35" s="41">
        <f>M35/$Q35</f>
        <v/>
      </c>
      <c r="AE35" s="41">
        <f>N35/$Q35</f>
        <v/>
      </c>
      <c r="AF35" s="41">
        <f>O35/$Q35</f>
        <v/>
      </c>
      <c r="AG35" s="41">
        <f>P35/$Q35</f>
        <v/>
      </c>
      <c r="AH35" s="41">
        <f>SUM(S35:V35)</f>
        <v/>
      </c>
      <c r="AI35" s="41">
        <f>SUM(W35:Y35)+AC35</f>
        <v/>
      </c>
      <c r="AJ35" s="41">
        <f>AG35+AH35</f>
        <v/>
      </c>
      <c r="AK35" s="41">
        <f>AI35+AJ35</f>
        <v/>
      </c>
      <c r="AL35" s="41">
        <f>SUM(Z35:AB35)</f>
        <v/>
      </c>
      <c r="AM35">
        <f>YEAR(A35)</f>
        <v/>
      </c>
      <c r="AN35">
        <f>MONTH(A35)</f>
        <v/>
      </c>
      <c r="AO35">
        <f>AO34+1</f>
        <v/>
      </c>
    </row>
    <row r="36" ht="15.75" customHeight="1" s="259">
      <c r="A36" s="2" t="n"/>
      <c r="Q36" s="6">
        <f>SUM(B36:P36)</f>
        <v/>
      </c>
      <c r="S36" s="41">
        <f>B36/$Q36</f>
        <v/>
      </c>
      <c r="T36" s="41">
        <f>C36/$Q36</f>
        <v/>
      </c>
      <c r="U36" s="41">
        <f>D36/$Q36</f>
        <v/>
      </c>
      <c r="V36" s="41">
        <f>E36/$Q36</f>
        <v/>
      </c>
      <c r="W36" s="41">
        <f>F36/$Q36</f>
        <v/>
      </c>
      <c r="X36" s="41">
        <f>G36/$Q36</f>
        <v/>
      </c>
      <c r="Y36" s="41">
        <f>H36/$Q36</f>
        <v/>
      </c>
      <c r="Z36" s="41">
        <f>I36/$Q36</f>
        <v/>
      </c>
      <c r="AA36" s="41">
        <f>J36/$Q36</f>
        <v/>
      </c>
      <c r="AB36" s="41">
        <f>K36/$Q36</f>
        <v/>
      </c>
      <c r="AC36" s="41">
        <f>L36/$Q36</f>
        <v/>
      </c>
      <c r="AD36" s="41">
        <f>M36/$Q36</f>
        <v/>
      </c>
      <c r="AE36" s="41">
        <f>N36/$Q36</f>
        <v/>
      </c>
      <c r="AF36" s="41">
        <f>O36/$Q36</f>
        <v/>
      </c>
      <c r="AG36" s="41">
        <f>P36/$Q36</f>
        <v/>
      </c>
      <c r="AH36" s="41">
        <f>SUM(S36:V36)</f>
        <v/>
      </c>
      <c r="AI36" s="41">
        <f>SUM(W36:Y36)+AC36</f>
        <v/>
      </c>
      <c r="AJ36" s="41">
        <f>AG36+AH36</f>
        <v/>
      </c>
      <c r="AK36" s="41">
        <f>AI36+AJ36</f>
        <v/>
      </c>
      <c r="AL36" s="41">
        <f>SUM(Z36:AB36)</f>
        <v/>
      </c>
      <c r="AM36">
        <f>YEAR(A36)</f>
        <v/>
      </c>
      <c r="AN36">
        <f>MONTH(A36)</f>
        <v/>
      </c>
      <c r="AO36">
        <f>AO35+1</f>
        <v/>
      </c>
    </row>
    <row r="37" ht="15.75" customHeight="1" s="259">
      <c r="A37" s="2" t="n"/>
      <c r="Q37" s="6" t="n"/>
      <c r="S37" s="41" t="n"/>
      <c r="T37" s="41" t="n"/>
      <c r="U37" s="41" t="n"/>
      <c r="V37" s="41" t="n"/>
      <c r="W37" s="41" t="n"/>
      <c r="X37" s="41" t="n"/>
      <c r="Y37" s="41" t="n"/>
      <c r="Z37" s="41" t="n"/>
      <c r="AA37" s="41" t="n"/>
      <c r="AB37" s="41" t="n"/>
      <c r="AC37" s="41" t="n"/>
      <c r="AD37" s="41" t="n"/>
      <c r="AE37" s="41" t="n"/>
      <c r="AF37" s="41" t="n"/>
      <c r="AG37" s="41" t="n"/>
      <c r="AH37" s="41" t="n"/>
      <c r="AI37" s="41" t="n"/>
      <c r="AJ37" s="41" t="n"/>
      <c r="AK37" s="41" t="n"/>
      <c r="AL37" s="41" t="n"/>
    </row>
    <row r="38" ht="15.75" customHeight="1" s="259">
      <c r="A38" s="2" t="n"/>
      <c r="Q38" s="6" t="n"/>
      <c r="S38" s="41" t="n"/>
      <c r="T38" s="41" t="n"/>
      <c r="U38" s="41" t="n"/>
      <c r="V38" s="41" t="n"/>
      <c r="W38" s="41" t="n"/>
      <c r="X38" s="41" t="n"/>
      <c r="Y38" s="41" t="n"/>
      <c r="Z38" s="41" t="n"/>
      <c r="AA38" s="41" t="n"/>
      <c r="AB38" s="41" t="n"/>
      <c r="AC38" s="41" t="n"/>
      <c r="AD38" s="41" t="n"/>
      <c r="AE38" s="41" t="n"/>
      <c r="AF38" s="41" t="n"/>
      <c r="AG38" s="41" t="n"/>
      <c r="AH38" s="41" t="n"/>
      <c r="AI38" s="41" t="n"/>
      <c r="AJ38" s="41" t="n"/>
      <c r="AK38" s="41" t="n"/>
      <c r="AL38" s="41" t="n"/>
    </row>
    <row r="39" ht="15.75" customHeight="1" s="259">
      <c r="A39" s="2" t="n"/>
      <c r="B39" s="11" t="n"/>
      <c r="C39" s="11" t="n"/>
      <c r="D39" s="11" t="n"/>
      <c r="E39" s="11" t="n"/>
      <c r="F39" s="11" t="n"/>
      <c r="G39" s="11" t="n"/>
      <c r="H39" s="11" t="n"/>
      <c r="I39" s="11" t="n"/>
      <c r="J39" s="11" t="n"/>
      <c r="K39" s="11" t="n"/>
      <c r="L39" s="11" t="n"/>
      <c r="M39" s="11" t="n"/>
      <c r="N39" s="11" t="n"/>
      <c r="O39" s="11" t="n"/>
      <c r="P39" s="11" t="n"/>
      <c r="Q39" s="6" t="n"/>
      <c r="S39" s="41" t="n"/>
      <c r="T39" s="41" t="n"/>
      <c r="U39" s="41" t="n"/>
      <c r="V39" s="41" t="n"/>
      <c r="W39" s="41" t="n"/>
      <c r="X39" s="41" t="n"/>
      <c r="Y39" s="41" t="n"/>
      <c r="Z39" s="41" t="n"/>
      <c r="AA39" s="41" t="n"/>
      <c r="AB39" s="41" t="n"/>
      <c r="AC39" s="41" t="n"/>
      <c r="AD39" s="41" t="n"/>
      <c r="AE39" s="41" t="n"/>
      <c r="AF39" s="41" t="n"/>
      <c r="AG39" s="41" t="n"/>
      <c r="AH39" s="41" t="n"/>
      <c r="AI39" s="41" t="n"/>
      <c r="AJ39" s="41" t="n"/>
      <c r="AK39" s="41" t="n"/>
      <c r="AL39" s="41" t="n"/>
    </row>
    <row r="40" ht="15.75" customHeight="1" s="259">
      <c r="A40" s="2" t="n"/>
      <c r="B40" s="2" t="n"/>
      <c r="C40" s="2" t="n"/>
      <c r="D40" s="2" t="n"/>
      <c r="E40" s="2" t="n"/>
      <c r="F40" s="2" t="n"/>
      <c r="G40" s="2" t="n"/>
      <c r="H40" s="2" t="n"/>
      <c r="I40" s="2" t="n"/>
      <c r="J40" s="2" t="n"/>
      <c r="K40" s="2" t="n"/>
      <c r="L40" s="59" t="n"/>
      <c r="M40" s="2" t="n"/>
      <c r="N40" s="59" t="n"/>
      <c r="O40" s="59" t="n"/>
      <c r="P40" s="59" t="n"/>
      <c r="Q40" s="59" t="n"/>
      <c r="S40" s="41" t="n"/>
      <c r="T40" s="41" t="n"/>
      <c r="U40" s="41" t="n"/>
      <c r="V40" s="41" t="n"/>
      <c r="W40" s="41" t="n"/>
      <c r="X40" s="41" t="n"/>
      <c r="Y40" s="41" t="n"/>
      <c r="Z40" s="41" t="n"/>
      <c r="AA40" s="41" t="n"/>
      <c r="AB40" s="41" t="n"/>
      <c r="AC40" s="41" t="n"/>
      <c r="AD40" s="41" t="n"/>
      <c r="AE40" s="41" t="n"/>
      <c r="AF40" s="41" t="n"/>
      <c r="AG40" s="41" t="n"/>
      <c r="AH40" s="41" t="n"/>
      <c r="AI40" s="41" t="n"/>
      <c r="AJ40" s="41" t="n"/>
      <c r="AK40" s="41" t="n"/>
      <c r="AL40" s="41" t="n"/>
    </row>
    <row r="41" ht="15.75" customHeight="1" s="259">
      <c r="A41" s="2" t="n"/>
      <c r="B41" s="11" t="n"/>
      <c r="C41" s="11" t="n"/>
      <c r="D41" s="11" t="n"/>
      <c r="E41" s="11" t="n"/>
      <c r="F41" s="11" t="n"/>
      <c r="G41" s="11" t="n"/>
      <c r="H41" s="11" t="n"/>
      <c r="I41" s="11" t="n"/>
      <c r="J41" s="11" t="n"/>
      <c r="K41" s="11" t="n"/>
      <c r="L41" s="11" t="n"/>
      <c r="M41" s="11" t="n"/>
      <c r="N41" s="11" t="n"/>
      <c r="O41" s="11" t="n"/>
      <c r="P41" s="11" t="n"/>
      <c r="Q41" s="11" t="n"/>
      <c r="R41" s="38" t="inlineStr">
        <is>
          <t>PEPPPS</t>
        </is>
      </c>
      <c r="S41" s="46">
        <f>AVERAGE(S2:S35)</f>
        <v/>
      </c>
      <c r="T41" s="46">
        <f>AVERAGE(T2:T33)</f>
        <v/>
      </c>
      <c r="U41" s="46">
        <f>AVERAGE(U2:U33)</f>
        <v/>
      </c>
      <c r="V41" s="46">
        <f>AVERAGE(V2:V33)</f>
        <v/>
      </c>
      <c r="W41" s="47">
        <f>AVERAGE(W2:W33)</f>
        <v/>
      </c>
      <c r="X41" s="47">
        <f>AVERAGE(X2:X33)</f>
        <v/>
      </c>
      <c r="Y41" s="47">
        <f>AVERAGE(Y2:Y33)</f>
        <v/>
      </c>
      <c r="Z41" s="57">
        <f>AVERAGE(Z2:Z33)</f>
        <v/>
      </c>
      <c r="AA41" s="57">
        <f>AVERAGE(AA2:AA33)</f>
        <v/>
      </c>
      <c r="AB41" s="57">
        <f>AVERAGE(AB2:AB33)</f>
        <v/>
      </c>
      <c r="AC41" s="47">
        <f>AVERAGE(AC2:AC33)</f>
        <v/>
      </c>
      <c r="AD41" s="46">
        <f>AVERAGE(AD2:AD33)</f>
        <v/>
      </c>
      <c r="AE41" s="46">
        <f>AVERAGE(AE2:AE33)</f>
        <v/>
      </c>
      <c r="AF41" s="46">
        <f>AVERAGE(AF2:AF33)</f>
        <v/>
      </c>
      <c r="AG41" s="49">
        <f>AVERAGE(AG2:AG33)</f>
        <v/>
      </c>
      <c r="AH41" s="55">
        <f>AVERAGE(AH2:AH33)</f>
        <v/>
      </c>
      <c r="AI41" s="50">
        <f>AVERAGE(AI2:AI33)</f>
        <v/>
      </c>
      <c r="AJ41" s="49">
        <f>AVERAGE(AJ2:AJ33)</f>
        <v/>
      </c>
      <c r="AK41" s="50">
        <f>AVERAGE(AK2:AK33)</f>
        <v/>
      </c>
      <c r="AL41" s="50" t="n"/>
    </row>
    <row r="42">
      <c r="A42" s="2" t="n"/>
    </row>
    <row r="43">
      <c r="A43" s="2" t="n"/>
      <c r="R43" s="38" t="n">
        <v>2024</v>
      </c>
      <c r="S43" s="96">
        <f>AVERAGE(S26:S33)</f>
        <v/>
      </c>
      <c r="T43" s="96">
        <f>AVERAGE(T26:T35)</f>
        <v/>
      </c>
      <c r="U43" s="96">
        <f>AVERAGE(U26:U33)</f>
        <v/>
      </c>
      <c r="V43" s="96">
        <f>AVERAGE(V26:V35)</f>
        <v/>
      </c>
      <c r="W43" s="96">
        <f>AVERAGE(W26:W33)</f>
        <v/>
      </c>
      <c r="X43" s="96">
        <f>AVERAGE(X26:X35)</f>
        <v/>
      </c>
      <c r="Y43" s="96">
        <f>AVERAGE(Y26:Y33)</f>
        <v/>
      </c>
      <c r="Z43" s="96">
        <f>AVERAGE(Z26:Z35)</f>
        <v/>
      </c>
      <c r="AA43" s="96">
        <f>AVERAGE(AA26:AA33)</f>
        <v/>
      </c>
      <c r="AB43" s="96">
        <f>AVERAGE(AB26:AB35)</f>
        <v/>
      </c>
      <c r="AC43" s="96">
        <f>AVERAGE(AC26:AC33)</f>
        <v/>
      </c>
      <c r="AD43" s="96">
        <f>AVERAGE(AD26:AD35)</f>
        <v/>
      </c>
      <c r="AE43" s="96">
        <f>AVERAGE(AE26:AE33)</f>
        <v/>
      </c>
      <c r="AF43" s="96">
        <f>AVERAGE(AF26:AF35)</f>
        <v/>
      </c>
      <c r="AG43" s="96">
        <f>AVERAGE(AG26:AG33)</f>
        <v/>
      </c>
      <c r="AH43" s="96">
        <f>AVERAGE(AH26:AH35)</f>
        <v/>
      </c>
      <c r="AI43" s="96">
        <f>AVERAGE(AI26:AI33)</f>
        <v/>
      </c>
      <c r="AJ43" s="96">
        <f>AVERAGE(AJ26:AJ35)</f>
        <v/>
      </c>
      <c r="AK43" s="96">
        <f>AVERAGE(AK26:AK33)</f>
        <v/>
      </c>
      <c r="AL43" s="96" t="n"/>
    </row>
    <row r="44" ht="15.75" customHeight="1" s="259">
      <c r="A44" s="2" t="n"/>
      <c r="R44" s="90" t="inlineStr">
        <is>
          <t>Janvier</t>
        </is>
      </c>
      <c r="S44" s="97" t="inlineStr">
        <is>
          <t>/</t>
        </is>
      </c>
      <c r="T44" s="97" t="inlineStr">
        <is>
          <t>/</t>
        </is>
      </c>
      <c r="U44" s="97" t="inlineStr">
        <is>
          <t>/</t>
        </is>
      </c>
      <c r="V44" s="97" t="inlineStr">
        <is>
          <t>/</t>
        </is>
      </c>
      <c r="W44" s="97" t="inlineStr">
        <is>
          <t>/</t>
        </is>
      </c>
      <c r="X44" s="97" t="inlineStr">
        <is>
          <t>/</t>
        </is>
      </c>
      <c r="Y44" s="97" t="inlineStr">
        <is>
          <t>/</t>
        </is>
      </c>
      <c r="Z44" s="97" t="inlineStr">
        <is>
          <t>/</t>
        </is>
      </c>
      <c r="AA44" s="97" t="inlineStr">
        <is>
          <t>/</t>
        </is>
      </c>
      <c r="AB44" s="97" t="inlineStr">
        <is>
          <t>/</t>
        </is>
      </c>
      <c r="AC44" s="97" t="inlineStr">
        <is>
          <t>/</t>
        </is>
      </c>
      <c r="AD44" s="97" t="inlineStr">
        <is>
          <t>/</t>
        </is>
      </c>
      <c r="AE44" s="97" t="inlineStr">
        <is>
          <t>/</t>
        </is>
      </c>
      <c r="AF44" s="97" t="inlineStr">
        <is>
          <t>/</t>
        </is>
      </c>
      <c r="AG44" s="97" t="inlineStr">
        <is>
          <t>/</t>
        </is>
      </c>
      <c r="AH44" s="97" t="inlineStr">
        <is>
          <t>/</t>
        </is>
      </c>
      <c r="AI44" s="97" t="inlineStr">
        <is>
          <t>/</t>
        </is>
      </c>
      <c r="AJ44" s="97" t="inlineStr">
        <is>
          <t>/</t>
        </is>
      </c>
      <c r="AK44" s="97" t="inlineStr">
        <is>
          <t>/</t>
        </is>
      </c>
      <c r="AL44" s="97" t="n"/>
    </row>
    <row r="45" ht="15.75" customHeight="1" s="259">
      <c r="A45" s="2" t="n"/>
      <c r="R45" s="90" t="inlineStr">
        <is>
          <t>Février</t>
        </is>
      </c>
      <c r="S45" s="87">
        <f>AVERAGE(S26)</f>
        <v/>
      </c>
      <c r="T45" s="87">
        <f>AVERAGE(T26)</f>
        <v/>
      </c>
      <c r="U45" s="87">
        <f>AVERAGE(U26)</f>
        <v/>
      </c>
      <c r="V45" s="87">
        <f>AVERAGE(V26)</f>
        <v/>
      </c>
      <c r="W45" s="87">
        <f>AVERAGE(W26)</f>
        <v/>
      </c>
      <c r="X45" s="87">
        <f>AVERAGE(X26)</f>
        <v/>
      </c>
      <c r="Y45" s="87">
        <f>AVERAGE(Y26)</f>
        <v/>
      </c>
      <c r="Z45" s="87">
        <f>AVERAGE(Z26)</f>
        <v/>
      </c>
      <c r="AA45" s="87">
        <f>AVERAGE(AA26)</f>
        <v/>
      </c>
      <c r="AB45" s="87">
        <f>AVERAGE(AB26)</f>
        <v/>
      </c>
      <c r="AC45" s="87">
        <f>AVERAGE(AC26)</f>
        <v/>
      </c>
      <c r="AD45" s="87">
        <f>AVERAGE(AD26)</f>
        <v/>
      </c>
      <c r="AE45" s="87">
        <f>AVERAGE(AE26)</f>
        <v/>
      </c>
      <c r="AF45" s="87">
        <f>AVERAGE(AF26)</f>
        <v/>
      </c>
      <c r="AG45" s="87">
        <f>AVERAGE(AG26)</f>
        <v/>
      </c>
      <c r="AH45" s="87">
        <f>AVERAGE(AH26)</f>
        <v/>
      </c>
      <c r="AI45" s="87">
        <f>AVERAGE(AI26)</f>
        <v/>
      </c>
      <c r="AJ45" s="87">
        <f>AVERAGE(AJ26)</f>
        <v/>
      </c>
      <c r="AK45" s="87">
        <f>AVERAGE(AK26)</f>
        <v/>
      </c>
      <c r="AL45" s="87" t="n"/>
    </row>
    <row r="46" ht="15.75" customHeight="1" s="259">
      <c r="A46" s="2" t="n"/>
      <c r="R46" s="90" t="inlineStr">
        <is>
          <t>Mars</t>
        </is>
      </c>
      <c r="S46" s="87" t="inlineStr">
        <is>
          <t>/</t>
        </is>
      </c>
      <c r="T46" s="87" t="inlineStr">
        <is>
          <t>/</t>
        </is>
      </c>
      <c r="U46" s="87" t="inlineStr">
        <is>
          <t>/</t>
        </is>
      </c>
      <c r="V46" s="87" t="inlineStr">
        <is>
          <t>/</t>
        </is>
      </c>
      <c r="W46" s="87" t="inlineStr">
        <is>
          <t>/</t>
        </is>
      </c>
      <c r="X46" s="87" t="inlineStr">
        <is>
          <t>/</t>
        </is>
      </c>
      <c r="Y46" s="87" t="inlineStr">
        <is>
          <t>/</t>
        </is>
      </c>
      <c r="Z46" s="87" t="inlineStr">
        <is>
          <t>/</t>
        </is>
      </c>
      <c r="AA46" s="87" t="inlineStr">
        <is>
          <t>/</t>
        </is>
      </c>
      <c r="AB46" s="87" t="inlineStr">
        <is>
          <t>/</t>
        </is>
      </c>
      <c r="AC46" s="87" t="inlineStr">
        <is>
          <t>/</t>
        </is>
      </c>
      <c r="AD46" s="87" t="inlineStr">
        <is>
          <t>/</t>
        </is>
      </c>
      <c r="AE46" s="87" t="inlineStr">
        <is>
          <t>/</t>
        </is>
      </c>
      <c r="AF46" s="87" t="inlineStr">
        <is>
          <t>/</t>
        </is>
      </c>
      <c r="AG46" s="87" t="inlineStr">
        <is>
          <t>/</t>
        </is>
      </c>
      <c r="AH46" s="87" t="inlineStr">
        <is>
          <t>/</t>
        </is>
      </c>
      <c r="AI46" s="87" t="inlineStr">
        <is>
          <t>/</t>
        </is>
      </c>
      <c r="AJ46" s="87" t="inlineStr">
        <is>
          <t>/</t>
        </is>
      </c>
      <c r="AK46" s="87" t="inlineStr">
        <is>
          <t>/</t>
        </is>
      </c>
      <c r="AL46" s="87" t="n"/>
    </row>
    <row r="47" ht="15.75" customHeight="1" s="259">
      <c r="A47" s="2" t="n"/>
      <c r="R47" s="90" t="inlineStr">
        <is>
          <t>Avril</t>
        </is>
      </c>
      <c r="S47" s="87">
        <f>AVERAGE(S27:S30)</f>
        <v/>
      </c>
      <c r="T47" s="87">
        <f>AVERAGE(T27:T30)</f>
        <v/>
      </c>
      <c r="U47" s="87">
        <f>AVERAGE(U27:U30)</f>
        <v/>
      </c>
      <c r="V47" s="87">
        <f>AVERAGE(V27:V30)</f>
        <v/>
      </c>
      <c r="W47" s="87">
        <f>AVERAGE(W27:W30)</f>
        <v/>
      </c>
      <c r="X47" s="87">
        <f>AVERAGE(X27:X30)</f>
        <v/>
      </c>
      <c r="Y47" s="87">
        <f>AVERAGE(Y27:Y30)</f>
        <v/>
      </c>
      <c r="Z47" s="87">
        <f>AVERAGE(Z27:Z30)</f>
        <v/>
      </c>
      <c r="AA47" s="87">
        <f>AVERAGE(AA27:AA30)</f>
        <v/>
      </c>
      <c r="AB47" s="87">
        <f>AVERAGE(AB27:AB30)</f>
        <v/>
      </c>
      <c r="AC47" s="87">
        <f>AVERAGE(AC27:AC30)</f>
        <v/>
      </c>
      <c r="AD47" s="87">
        <f>AVERAGE(AD27:AD30)</f>
        <v/>
      </c>
      <c r="AE47" s="87">
        <f>AVERAGE(AE27:AE30)</f>
        <v/>
      </c>
      <c r="AF47" s="87">
        <f>AVERAGE(AF27:AF30)</f>
        <v/>
      </c>
      <c r="AG47" s="87">
        <f>AVERAGE(AG27:AG30)</f>
        <v/>
      </c>
      <c r="AH47" s="87">
        <f>AVERAGE(AH27:AH30)</f>
        <v/>
      </c>
      <c r="AI47" s="87">
        <f>AVERAGE(AI27:AI30)</f>
        <v/>
      </c>
      <c r="AJ47" s="87">
        <f>AVERAGE(AJ27:AJ30)</f>
        <v/>
      </c>
      <c r="AK47" s="87">
        <f>AVERAGE(AK27:AK30)</f>
        <v/>
      </c>
      <c r="AL47" s="87" t="n"/>
    </row>
    <row r="48" ht="15.75" customHeight="1" s="259">
      <c r="A48" s="2" t="n"/>
      <c r="R48" s="90" t="inlineStr">
        <is>
          <t>Juin</t>
        </is>
      </c>
      <c r="S48" s="87" t="inlineStr">
        <is>
          <t>/</t>
        </is>
      </c>
      <c r="T48" s="87" t="inlineStr">
        <is>
          <t>/</t>
        </is>
      </c>
      <c r="U48" s="87" t="inlineStr">
        <is>
          <t>/</t>
        </is>
      </c>
      <c r="V48" s="87" t="inlineStr">
        <is>
          <t>/</t>
        </is>
      </c>
      <c r="W48" s="87" t="inlineStr">
        <is>
          <t>/</t>
        </is>
      </c>
      <c r="X48" s="87" t="inlineStr">
        <is>
          <t>/</t>
        </is>
      </c>
      <c r="Y48" s="87" t="inlineStr">
        <is>
          <t>/</t>
        </is>
      </c>
      <c r="Z48" s="87" t="inlineStr">
        <is>
          <t>/</t>
        </is>
      </c>
      <c r="AA48" s="87" t="inlineStr">
        <is>
          <t>/</t>
        </is>
      </c>
      <c r="AB48" s="87" t="inlineStr">
        <is>
          <t>/</t>
        </is>
      </c>
      <c r="AC48" s="87" t="inlineStr">
        <is>
          <t>/</t>
        </is>
      </c>
      <c r="AD48" s="87" t="inlineStr">
        <is>
          <t>/</t>
        </is>
      </c>
      <c r="AE48" s="87" t="inlineStr">
        <is>
          <t>/</t>
        </is>
      </c>
      <c r="AF48" s="87" t="inlineStr">
        <is>
          <t>/</t>
        </is>
      </c>
      <c r="AG48" s="87" t="inlineStr">
        <is>
          <t>/</t>
        </is>
      </c>
      <c r="AH48" s="87" t="inlineStr">
        <is>
          <t>/</t>
        </is>
      </c>
      <c r="AI48" s="87" t="inlineStr">
        <is>
          <t>/</t>
        </is>
      </c>
      <c r="AJ48" s="87" t="inlineStr">
        <is>
          <t>/</t>
        </is>
      </c>
      <c r="AK48" s="87" t="inlineStr">
        <is>
          <t>/</t>
        </is>
      </c>
      <c r="AL48" s="87" t="n"/>
    </row>
    <row r="49" ht="15.75" customHeight="1" s="259">
      <c r="R49" s="90" t="inlineStr">
        <is>
          <t>Juillet</t>
        </is>
      </c>
      <c r="S49" s="87">
        <f>AVERAGE(S31:S32)</f>
        <v/>
      </c>
      <c r="T49" s="87">
        <f>AVERAGE(T31:T32)</f>
        <v/>
      </c>
      <c r="U49" s="87">
        <f>AVERAGE(U31:U32)</f>
        <v/>
      </c>
      <c r="V49" s="87">
        <f>AVERAGE(V31:V32)</f>
        <v/>
      </c>
      <c r="W49" s="87">
        <f>AVERAGE(W31:W32)</f>
        <v/>
      </c>
      <c r="X49" s="87">
        <f>AVERAGE(X31:X32)</f>
        <v/>
      </c>
      <c r="Y49" s="87">
        <f>AVERAGE(Y31:Y32)</f>
        <v/>
      </c>
      <c r="Z49" s="87">
        <f>AVERAGE(Z31:Z32)</f>
        <v/>
      </c>
      <c r="AA49" s="87">
        <f>AVERAGE(AA31:AA32)</f>
        <v/>
      </c>
      <c r="AB49" s="87">
        <f>AVERAGE(AB31:AB32)</f>
        <v/>
      </c>
      <c r="AC49" s="87">
        <f>AVERAGE(AC31:AC32)</f>
        <v/>
      </c>
      <c r="AD49" s="87">
        <f>AVERAGE(AD31:AD32)</f>
        <v/>
      </c>
      <c r="AE49" s="87">
        <f>AVERAGE(AE31:AE32)</f>
        <v/>
      </c>
      <c r="AF49" s="87">
        <f>AVERAGE(AF31:AF32)</f>
        <v/>
      </c>
      <c r="AG49" s="87">
        <f>AVERAGE(AG31:AG32)</f>
        <v/>
      </c>
      <c r="AH49" s="87">
        <f>AVERAGE(AH31:AH32)</f>
        <v/>
      </c>
      <c r="AI49" s="87">
        <f>AVERAGE(AI31:AI32)</f>
        <v/>
      </c>
      <c r="AJ49" s="87">
        <f>AVERAGE(AJ31:AJ32)</f>
        <v/>
      </c>
      <c r="AK49" s="87">
        <f>AVERAGE(AK31:AK32)</f>
        <v/>
      </c>
    </row>
    <row r="50" ht="15.75" customHeight="1" s="259">
      <c r="R50" s="90" t="inlineStr">
        <is>
          <t>Aout</t>
        </is>
      </c>
      <c r="S50" s="87">
        <f>AVERAGE(S33)</f>
        <v/>
      </c>
      <c r="T50" s="87">
        <f>AVERAGE(T33)</f>
        <v/>
      </c>
      <c r="U50" s="87">
        <f>AVERAGE(U33)</f>
        <v/>
      </c>
      <c r="V50" s="87">
        <f>AVERAGE(V33)</f>
        <v/>
      </c>
      <c r="W50" s="87">
        <f>AVERAGE(W33)</f>
        <v/>
      </c>
      <c r="X50" s="87">
        <f>AVERAGE(X33)</f>
        <v/>
      </c>
      <c r="Y50" s="87">
        <f>AVERAGE(Y33)</f>
        <v/>
      </c>
      <c r="Z50" s="87">
        <f>AVERAGE(Z33)</f>
        <v/>
      </c>
      <c r="AA50" s="87">
        <f>AVERAGE(AA33)</f>
        <v/>
      </c>
      <c r="AB50" s="87">
        <f>AVERAGE(AB33)</f>
        <v/>
      </c>
      <c r="AC50" s="87">
        <f>AVERAGE(AC33)</f>
        <v/>
      </c>
      <c r="AD50" s="87">
        <f>AVERAGE(AD33)</f>
        <v/>
      </c>
      <c r="AE50" s="87">
        <f>AVERAGE(AE33)</f>
        <v/>
      </c>
      <c r="AF50" s="87">
        <f>AVERAGE(AF33)</f>
        <v/>
      </c>
      <c r="AG50" s="87">
        <f>AVERAGE(AG33)</f>
        <v/>
      </c>
      <c r="AH50" s="87">
        <f>AVERAGE(AH33)</f>
        <v/>
      </c>
      <c r="AI50" s="87">
        <f>AVERAGE(AI33)</f>
        <v/>
      </c>
      <c r="AJ50" s="87">
        <f>AVERAGE(AJ33)</f>
        <v/>
      </c>
      <c r="AK50" s="87">
        <f>AVERAGE(AK33)</f>
        <v/>
      </c>
    </row>
    <row r="51" ht="31.5" customHeight="1" s="259">
      <c r="R51" s="90" t="inlineStr">
        <is>
          <t>Septembre</t>
        </is>
      </c>
      <c r="S51" s="87" t="inlineStr">
        <is>
          <t>/</t>
        </is>
      </c>
      <c r="T51" s="87" t="inlineStr">
        <is>
          <t>/</t>
        </is>
      </c>
      <c r="U51" s="87" t="inlineStr">
        <is>
          <t>/</t>
        </is>
      </c>
      <c r="V51" s="87" t="inlineStr">
        <is>
          <t>/</t>
        </is>
      </c>
      <c r="W51" s="87" t="inlineStr">
        <is>
          <t>/</t>
        </is>
      </c>
      <c r="X51" s="87" t="inlineStr">
        <is>
          <t>/</t>
        </is>
      </c>
      <c r="Y51" s="87" t="inlineStr">
        <is>
          <t>/</t>
        </is>
      </c>
      <c r="Z51" s="87" t="inlineStr">
        <is>
          <t>/</t>
        </is>
      </c>
      <c r="AA51" s="87" t="inlineStr">
        <is>
          <t>/</t>
        </is>
      </c>
      <c r="AB51" s="87" t="inlineStr">
        <is>
          <t>/</t>
        </is>
      </c>
      <c r="AC51" s="87" t="inlineStr">
        <is>
          <t>/</t>
        </is>
      </c>
      <c r="AD51" s="87" t="inlineStr">
        <is>
          <t>/</t>
        </is>
      </c>
      <c r="AE51" s="87" t="inlineStr">
        <is>
          <t>/</t>
        </is>
      </c>
      <c r="AF51" s="87" t="inlineStr">
        <is>
          <t>/</t>
        </is>
      </c>
      <c r="AG51" s="87" t="inlineStr">
        <is>
          <t>/</t>
        </is>
      </c>
      <c r="AH51" s="87" t="inlineStr">
        <is>
          <t>/</t>
        </is>
      </c>
      <c r="AI51" s="87" t="inlineStr">
        <is>
          <t>/</t>
        </is>
      </c>
      <c r="AJ51" s="87" t="inlineStr">
        <is>
          <t>/</t>
        </is>
      </c>
      <c r="AK51" s="87" t="inlineStr">
        <is>
          <t>/</t>
        </is>
      </c>
    </row>
    <row r="52" ht="15.75" customHeight="1" s="259">
      <c r="R52" s="90" t="inlineStr">
        <is>
          <t>Octobre</t>
        </is>
      </c>
      <c r="S52" s="87" t="n"/>
      <c r="T52" s="87" t="n"/>
      <c r="U52" s="87" t="n"/>
      <c r="V52" s="87" t="n"/>
      <c r="W52" s="87" t="n"/>
      <c r="X52" s="87" t="n"/>
      <c r="Y52" s="87" t="n"/>
      <c r="Z52" s="87" t="n"/>
      <c r="AA52" s="87" t="n"/>
      <c r="AB52" s="87" t="n"/>
      <c r="AC52" s="87" t="n"/>
      <c r="AD52" s="87" t="n"/>
      <c r="AE52" s="87" t="n"/>
      <c r="AF52" s="87" t="n"/>
      <c r="AG52" s="87" t="n"/>
      <c r="AH52" s="87" t="n"/>
      <c r="AI52" s="87" t="n"/>
      <c r="AJ52" s="87" t="n"/>
      <c r="AK52" s="87" t="n"/>
    </row>
    <row r="53" ht="31.5" customHeight="1" s="259">
      <c r="R53" s="90" t="inlineStr">
        <is>
          <t>Novembre</t>
        </is>
      </c>
      <c r="S53" s="87" t="n"/>
      <c r="T53" s="87" t="n"/>
      <c r="U53" s="87" t="n"/>
      <c r="V53" s="87" t="n"/>
      <c r="W53" s="87" t="n"/>
      <c r="X53" s="87" t="n"/>
      <c r="Y53" s="87" t="n"/>
      <c r="Z53" s="87" t="n"/>
      <c r="AA53" s="87" t="n"/>
      <c r="AB53" s="87" t="n"/>
      <c r="AC53" s="87" t="n"/>
      <c r="AD53" s="87" t="n"/>
      <c r="AE53" s="87" t="n"/>
      <c r="AF53" s="87" t="n"/>
      <c r="AG53" s="87" t="n"/>
      <c r="AH53" s="87" t="n"/>
      <c r="AI53" s="87" t="n"/>
      <c r="AJ53" s="87" t="n"/>
      <c r="AK53" s="87" t="n"/>
    </row>
    <row r="54" ht="15.75" customHeight="1" s="259">
      <c r="R54" s="90" t="inlineStr">
        <is>
          <t>Decembre</t>
        </is>
      </c>
      <c r="S54" s="87" t="n"/>
      <c r="T54" s="87" t="n"/>
      <c r="U54" s="87" t="n"/>
      <c r="V54" s="87" t="n"/>
      <c r="W54" s="87" t="n"/>
      <c r="X54" s="87" t="n"/>
      <c r="Y54" s="87" t="n"/>
      <c r="Z54" s="87" t="n"/>
      <c r="AA54" s="87" t="n"/>
      <c r="AB54" s="87" t="n"/>
      <c r="AC54" s="87" t="n"/>
      <c r="AD54" s="87" t="n"/>
      <c r="AE54" s="87" t="n"/>
      <c r="AF54" s="87" t="n"/>
      <c r="AG54" s="87" t="n"/>
      <c r="AH54" s="87" t="n"/>
      <c r="AI54" s="87" t="n"/>
      <c r="AJ54" s="87" t="n"/>
      <c r="AK54" s="87" t="n"/>
    </row>
  </sheetData>
  <autoFilter ref="A1:AK36">
    <filterColumn colId="0" hiddenButton="0" showButton="1">
      <filters blank="1"/>
    </filterColumn>
  </autoFilter>
  <pageMargins left="0.7086614173228347" right="0.7086614173228347" top="0.7480314960629921" bottom="0.7480314960629921" header="0.3149606299212598" footer="0.3149606299212598"/>
  <pageSetup orientation="landscape" paperSize="9" scale="26"/>
</worksheet>
</file>

<file path=xl/worksheets/sheet14.xml><?xml version="1.0" encoding="utf-8"?>
<worksheet xmlns="http://schemas.openxmlformats.org/spreadsheetml/2006/main">
  <sheetPr codeName="Feuil12">
    <tabColor rgb="FFFFC000"/>
    <outlinePr summaryBelow="1" summaryRight="1"/>
    <pageSetUpPr fitToPage="1"/>
  </sheetPr>
  <dimension ref="A1:AK26"/>
  <sheetViews>
    <sheetView zoomScale="55" zoomScaleNormal="55" workbookViewId="0">
      <pane ySplit="1" topLeftCell="A2" activePane="bottomLeft" state="frozen"/>
      <selection activeCell="H12" sqref="H12"/>
      <selection pane="bottomLeft" activeCell="H12" sqref="H12"/>
    </sheetView>
  </sheetViews>
  <sheetFormatPr baseColWidth="10" defaultRowHeight="20.25"/>
  <cols>
    <col width="13.7109375" customWidth="1" style="259" min="1" max="1"/>
    <col width="12.28515625" customWidth="1" style="259" min="3" max="3"/>
    <col width="13.28515625" customWidth="1" style="259" min="4" max="4"/>
    <col width="10.42578125" customWidth="1" style="259" min="6" max="6"/>
    <col width="17.7109375" customWidth="1" style="259" min="7" max="9"/>
    <col width="19.7109375" customWidth="1" style="259" min="10" max="10"/>
    <col width="18" customWidth="1" style="259" min="11" max="11"/>
    <col width="13.28515625" customWidth="1" style="38" min="17" max="17"/>
    <col width="14.7109375" customWidth="1" style="259" min="18" max="18"/>
    <col width="14.28515625" customWidth="1" style="259" min="19" max="20"/>
    <col width="15.7109375" customWidth="1" style="259" min="23" max="25"/>
    <col width="19.42578125" customWidth="1" style="259" min="26" max="26"/>
    <col width="19.28515625" customWidth="1" style="259" min="27" max="27"/>
    <col width="18.7109375" customWidth="1" style="259" min="32" max="32"/>
    <col width="20.28515625" customWidth="1" style="259" min="33" max="33"/>
  </cols>
  <sheetData>
    <row r="1" ht="90" customHeight="1" s="259">
      <c r="A1" s="38" t="inlineStr">
        <is>
          <t>Date</t>
        </is>
      </c>
      <c r="B1" s="38" t="inlineStr">
        <is>
          <t>JRM</t>
        </is>
      </c>
      <c r="C1" s="38" t="inlineStr">
        <is>
          <t>Cartons 1.05</t>
        </is>
      </c>
      <c r="D1" s="38" t="inlineStr">
        <is>
          <t>Cartons 1.04</t>
        </is>
      </c>
      <c r="E1" s="38" t="inlineStr">
        <is>
          <t>GM</t>
        </is>
      </c>
      <c r="F1" s="37" t="inlineStr">
        <is>
          <t>ELA</t>
        </is>
      </c>
      <c r="G1" s="37" t="inlineStr">
        <is>
          <t>PET Q7</t>
        </is>
      </c>
      <c r="H1" s="37" t="inlineStr">
        <is>
          <t xml:space="preserve">PET Q8 </t>
        </is>
      </c>
      <c r="I1" s="37" t="inlineStr">
        <is>
          <t>PEPPPS</t>
        </is>
      </c>
      <c r="J1" s="36" t="inlineStr">
        <is>
          <t>Films PE valorisables</t>
        </is>
      </c>
      <c r="K1" s="37" t="inlineStr">
        <is>
          <t>Films non valorisables</t>
        </is>
      </c>
      <c r="L1" s="38" t="inlineStr">
        <is>
          <t>acier</t>
        </is>
      </c>
      <c r="M1" s="38" t="inlineStr">
        <is>
          <t>alu</t>
        </is>
      </c>
      <c r="N1" s="38" t="inlineStr">
        <is>
          <t>petits alu</t>
        </is>
      </c>
      <c r="O1" s="33" t="inlineStr">
        <is>
          <t>refus indésirables</t>
        </is>
      </c>
      <c r="P1" s="5" t="inlineStr">
        <is>
          <t>TOTAL</t>
        </is>
      </c>
      <c r="R1" s="38" t="inlineStr">
        <is>
          <t>JRM</t>
        </is>
      </c>
      <c r="S1" s="38" t="inlineStr">
        <is>
          <t>Cartons 1.05</t>
        </is>
      </c>
      <c r="T1" s="38" t="inlineStr">
        <is>
          <t>Cartons 1.04</t>
        </is>
      </c>
      <c r="U1" s="38" t="inlineStr">
        <is>
          <t>GM</t>
        </is>
      </c>
      <c r="V1" s="37" t="inlineStr">
        <is>
          <t>ELA</t>
        </is>
      </c>
      <c r="W1" s="37" t="inlineStr">
        <is>
          <t>PET Q7</t>
        </is>
      </c>
      <c r="X1" s="37" t="inlineStr">
        <is>
          <t xml:space="preserve">PET Q8 </t>
        </is>
      </c>
      <c r="Y1" s="37" t="inlineStr">
        <is>
          <t>PEPPPS</t>
        </is>
      </c>
      <c r="Z1" s="36" t="inlineStr">
        <is>
          <t>Films PE valorisables</t>
        </is>
      </c>
      <c r="AA1" s="39" t="inlineStr">
        <is>
          <t>Films non valorisables</t>
        </is>
      </c>
      <c r="AB1" s="38" t="inlineStr">
        <is>
          <t>acier</t>
        </is>
      </c>
      <c r="AC1" s="38" t="inlineStr">
        <is>
          <t>alu</t>
        </is>
      </c>
      <c r="AD1" s="38" t="inlineStr">
        <is>
          <t>petits alu</t>
        </is>
      </c>
      <c r="AE1" s="33" t="inlineStr">
        <is>
          <t>refus indésirables</t>
        </is>
      </c>
      <c r="AF1" s="32" t="inlineStr">
        <is>
          <t>TOTAL refus fibreux valorisables</t>
        </is>
      </c>
      <c r="AG1" s="31" t="inlineStr">
        <is>
          <t>TOTAL refus non fibreux valorisables</t>
        </is>
      </c>
      <c r="AH1" s="39" t="inlineStr">
        <is>
          <t xml:space="preserve">TOTAL REFUS </t>
        </is>
      </c>
      <c r="AI1" s="31" t="inlineStr">
        <is>
          <t>TOTAL REFUS + refus non fibreux</t>
        </is>
      </c>
      <c r="AJ1" s="38" t="inlineStr">
        <is>
          <t>Annee</t>
        </is>
      </c>
      <c r="AK1" s="38" t="inlineStr">
        <is>
          <t>Mois</t>
        </is>
      </c>
    </row>
    <row r="2" ht="15.75" customHeight="1" s="259">
      <c r="A2" s="9" t="n">
        <v>44943</v>
      </c>
      <c r="B2" s="2" t="n"/>
      <c r="C2" s="2" t="n">
        <v>0.22</v>
      </c>
      <c r="D2" s="2" t="n">
        <v>0.18</v>
      </c>
      <c r="E2" s="2" t="n"/>
      <c r="F2" s="2" t="n"/>
      <c r="G2" s="2" t="n">
        <v>0.12</v>
      </c>
      <c r="H2" s="2" t="n">
        <v>0.06</v>
      </c>
      <c r="I2" s="2" t="n"/>
      <c r="J2" s="2" t="n">
        <v>7.52</v>
      </c>
      <c r="K2" s="2" t="n">
        <v>3.69</v>
      </c>
      <c r="L2" s="2" t="n"/>
      <c r="M2" s="2" t="n"/>
      <c r="N2" s="2" t="n"/>
      <c r="O2" s="2" t="n">
        <v>0.38</v>
      </c>
      <c r="P2">
        <f>SUM(B2:O2)</f>
        <v/>
      </c>
      <c r="R2" s="63">
        <f>B2/$P2</f>
        <v/>
      </c>
      <c r="S2" s="63">
        <f>C2/$P2</f>
        <v/>
      </c>
      <c r="T2" s="63">
        <f>D2/$P2</f>
        <v/>
      </c>
      <c r="U2" s="63">
        <f>E2/$P2</f>
        <v/>
      </c>
      <c r="V2" s="63">
        <f>F2/$P2</f>
        <v/>
      </c>
      <c r="W2" s="63">
        <f>G2/$P2</f>
        <v/>
      </c>
      <c r="X2" s="63">
        <f>H2/$P2</f>
        <v/>
      </c>
      <c r="Y2" s="63">
        <f>I2/$P2</f>
        <v/>
      </c>
      <c r="Z2" s="63">
        <f>J2/$P2</f>
        <v/>
      </c>
      <c r="AA2" s="63">
        <f>K2/$P2</f>
        <v/>
      </c>
      <c r="AB2" s="63">
        <f>L2/$P2</f>
        <v/>
      </c>
      <c r="AC2" s="63">
        <f>M2/$P2</f>
        <v/>
      </c>
      <c r="AD2" s="63">
        <f>N2/$P2</f>
        <v/>
      </c>
      <c r="AE2" s="63">
        <f>O2/$P2</f>
        <v/>
      </c>
      <c r="AF2" s="63">
        <f>SUM(R2:U2)</f>
        <v/>
      </c>
      <c r="AG2" s="63">
        <f>SUM(V2:Y2)</f>
        <v/>
      </c>
      <c r="AH2" s="63">
        <f>AA2+AE2+AF2</f>
        <v/>
      </c>
      <c r="AI2" s="63">
        <f>AG2+AH2</f>
        <v/>
      </c>
    </row>
    <row r="3" ht="15.75" customHeight="1" s="259">
      <c r="A3" s="9" t="n">
        <v>44964</v>
      </c>
      <c r="B3" s="2" t="n">
        <v>0.46</v>
      </c>
      <c r="C3" s="2" t="n">
        <v>0.16</v>
      </c>
      <c r="D3" s="2" t="n">
        <v>0.1</v>
      </c>
      <c r="E3" s="2" t="n">
        <v>0</v>
      </c>
      <c r="F3" s="2" t="n">
        <v>0</v>
      </c>
      <c r="G3" s="2" t="n">
        <v>0.08</v>
      </c>
      <c r="H3" s="2" t="n">
        <v>0.04</v>
      </c>
      <c r="I3" s="2" t="n">
        <v>0</v>
      </c>
      <c r="J3" s="2" t="n">
        <v>8.16</v>
      </c>
      <c r="K3" s="2" t="n">
        <v>1.8</v>
      </c>
      <c r="L3" s="2" t="n">
        <v>0</v>
      </c>
      <c r="M3" s="2" t="n">
        <v>0.02</v>
      </c>
      <c r="N3" s="2" t="n">
        <v>0</v>
      </c>
      <c r="O3" s="2" t="n">
        <v>0.46</v>
      </c>
      <c r="P3">
        <f>SUM(B3:O3)</f>
        <v/>
      </c>
      <c r="R3" s="63">
        <f>B3/$P3</f>
        <v/>
      </c>
      <c r="S3" s="63">
        <f>C3/$P3</f>
        <v/>
      </c>
      <c r="T3" s="63">
        <f>D3/$P3</f>
        <v/>
      </c>
      <c r="U3" s="63">
        <f>E3/$P3</f>
        <v/>
      </c>
      <c r="V3" s="63">
        <f>F3/$P3</f>
        <v/>
      </c>
      <c r="W3" s="63">
        <f>G3/$P3</f>
        <v/>
      </c>
      <c r="X3" s="63">
        <f>H3/$P3</f>
        <v/>
      </c>
      <c r="Y3" s="63">
        <f>I3/$P3</f>
        <v/>
      </c>
      <c r="Z3" s="63">
        <f>J3/$P3</f>
        <v/>
      </c>
      <c r="AA3" s="63">
        <f>K3/$P3</f>
        <v/>
      </c>
      <c r="AB3" s="63">
        <f>L3/$P3</f>
        <v/>
      </c>
      <c r="AC3" s="63">
        <f>M3/$P3</f>
        <v/>
      </c>
      <c r="AD3" s="63">
        <f>N3/$P3</f>
        <v/>
      </c>
      <c r="AE3" s="63">
        <f>O3/$P3</f>
        <v/>
      </c>
      <c r="AF3" s="63">
        <f>SUM(R3:U3)</f>
        <v/>
      </c>
      <c r="AG3" s="63">
        <f>SUM(V3:Y3)</f>
        <v/>
      </c>
      <c r="AH3" s="63">
        <f>AA3+AE3+AF3</f>
        <v/>
      </c>
      <c r="AI3" s="63">
        <f>AG3+AH3</f>
        <v/>
      </c>
    </row>
    <row r="4" ht="15.75" customHeight="1" s="259">
      <c r="A4" s="9" t="n"/>
      <c r="B4" s="2" t="n"/>
      <c r="C4" s="2" t="n"/>
      <c r="D4" s="2" t="n"/>
      <c r="E4" s="2" t="n"/>
      <c r="F4" s="2" t="n"/>
      <c r="G4" s="2" t="n"/>
      <c r="H4" s="2" t="n"/>
      <c r="I4" s="2" t="n"/>
      <c r="J4" s="2" t="n"/>
      <c r="K4" s="2" t="n"/>
      <c r="L4" s="2" t="n"/>
      <c r="M4" s="2" t="n"/>
      <c r="N4" s="2" t="n"/>
      <c r="O4" s="2" t="n"/>
      <c r="P4">
        <f>SUM(B4:O4)</f>
        <v/>
      </c>
      <c r="R4" s="63">
        <f>B4/$P4</f>
        <v/>
      </c>
      <c r="S4" s="63">
        <f>C4/$P4</f>
        <v/>
      </c>
      <c r="T4" s="63">
        <f>D4/$P4</f>
        <v/>
      </c>
      <c r="U4" s="63">
        <f>E4/$P4</f>
        <v/>
      </c>
      <c r="V4" s="63">
        <f>F4/$P4</f>
        <v/>
      </c>
      <c r="W4" s="63">
        <f>G4/$P4</f>
        <v/>
      </c>
      <c r="X4" s="63">
        <f>H4/$P4</f>
        <v/>
      </c>
      <c r="Y4" s="63">
        <f>I4/$P4</f>
        <v/>
      </c>
      <c r="Z4" s="63">
        <f>J4/$P4</f>
        <v/>
      </c>
      <c r="AA4" s="63">
        <f>K4/$P4</f>
        <v/>
      </c>
      <c r="AB4" s="63">
        <f>L4/$P4</f>
        <v/>
      </c>
      <c r="AC4" s="63">
        <f>M4/$P4</f>
        <v/>
      </c>
      <c r="AD4" s="63">
        <f>N4/$P4</f>
        <v/>
      </c>
      <c r="AE4" s="63">
        <f>O4/$P4</f>
        <v/>
      </c>
      <c r="AF4" s="63">
        <f>SUM(R4:U4)</f>
        <v/>
      </c>
      <c r="AG4" s="99">
        <f>SUM(V4:Y4)</f>
        <v/>
      </c>
      <c r="AH4" s="99">
        <f>AA4+AE4+AF4</f>
        <v/>
      </c>
      <c r="AI4" s="2">
        <f>AG4+AH4</f>
        <v/>
      </c>
    </row>
    <row r="5" ht="15.75" customHeight="1" s="259">
      <c r="A5" s="9" t="n"/>
      <c r="B5" s="2" t="n"/>
      <c r="C5" s="2" t="n"/>
      <c r="D5" s="2" t="n"/>
      <c r="E5" s="2" t="n"/>
      <c r="F5" s="2" t="n"/>
      <c r="G5" s="2" t="n"/>
      <c r="H5" s="2" t="n"/>
      <c r="I5" s="2" t="n"/>
      <c r="J5" s="2" t="n"/>
      <c r="K5" s="2" t="n"/>
      <c r="L5" s="2" t="n"/>
      <c r="M5" s="2" t="n"/>
      <c r="N5" s="2" t="n"/>
      <c r="O5" s="2" t="n"/>
      <c r="P5">
        <f>SUM(B5:O5)</f>
        <v/>
      </c>
      <c r="R5" s="63">
        <f>B5/$P5</f>
        <v/>
      </c>
      <c r="S5" s="63">
        <f>C5/$P5</f>
        <v/>
      </c>
      <c r="T5" s="63">
        <f>D5/$P5</f>
        <v/>
      </c>
      <c r="U5" s="63">
        <f>E5/$P5</f>
        <v/>
      </c>
      <c r="V5" s="63">
        <f>F5/$P5</f>
        <v/>
      </c>
      <c r="W5" s="63">
        <f>G5/$P5</f>
        <v/>
      </c>
      <c r="X5" s="63">
        <f>H5/$P5</f>
        <v/>
      </c>
      <c r="Y5" s="63">
        <f>I5/$P5</f>
        <v/>
      </c>
      <c r="Z5" s="63">
        <f>J5/$P5</f>
        <v/>
      </c>
      <c r="AA5" s="63">
        <f>K5/$P5</f>
        <v/>
      </c>
      <c r="AB5" s="63">
        <f>L5/$P5</f>
        <v/>
      </c>
      <c r="AC5" s="63">
        <f>M5/$P5</f>
        <v/>
      </c>
      <c r="AD5" s="63">
        <f>N5/$P5</f>
        <v/>
      </c>
      <c r="AE5" s="63">
        <f>O5/$P5</f>
        <v/>
      </c>
      <c r="AF5" s="63">
        <f>SUM(R5:U5)</f>
        <v/>
      </c>
      <c r="AG5" s="99">
        <f>SUM(V5:Y5)</f>
        <v/>
      </c>
      <c r="AH5" s="99">
        <f>AA5+AE5+AF5</f>
        <v/>
      </c>
      <c r="AI5" s="2">
        <f>AG5+AH5</f>
        <v/>
      </c>
    </row>
    <row r="6" ht="15.75" customHeight="1" s="259">
      <c r="A6" s="9" t="n"/>
      <c r="B6" s="2" t="n"/>
      <c r="C6" s="2" t="n"/>
      <c r="D6" s="2" t="n"/>
      <c r="E6" s="2" t="n"/>
      <c r="F6" s="2" t="n"/>
      <c r="G6" s="2" t="n"/>
      <c r="H6" s="2" t="n"/>
      <c r="I6" s="2" t="n"/>
      <c r="J6" s="2" t="n"/>
      <c r="K6" s="2" t="n"/>
      <c r="L6" s="2" t="n"/>
      <c r="M6" s="2" t="n"/>
      <c r="N6" s="2" t="n"/>
      <c r="O6" s="2" t="n"/>
      <c r="P6">
        <f>SUM(B6:O6)</f>
        <v/>
      </c>
      <c r="R6" s="63">
        <f>B6/$P6</f>
        <v/>
      </c>
      <c r="S6" s="63">
        <f>C6/$P6</f>
        <v/>
      </c>
      <c r="T6" s="63">
        <f>D6/$P6</f>
        <v/>
      </c>
      <c r="U6" s="63">
        <f>E6/$P6</f>
        <v/>
      </c>
      <c r="V6" s="63">
        <f>F6/$P6</f>
        <v/>
      </c>
      <c r="W6" s="63">
        <f>G6/$P6</f>
        <v/>
      </c>
      <c r="X6" s="63">
        <f>H6/$P6</f>
        <v/>
      </c>
      <c r="Y6" s="63">
        <f>I6/$P6</f>
        <v/>
      </c>
      <c r="Z6" s="63">
        <f>J6/$P6</f>
        <v/>
      </c>
      <c r="AA6" s="63">
        <f>K6/$P6</f>
        <v/>
      </c>
      <c r="AB6" s="63">
        <f>L6/$P6</f>
        <v/>
      </c>
      <c r="AC6" s="63">
        <f>M6/$P6</f>
        <v/>
      </c>
      <c r="AD6" s="63">
        <f>N6/$P6</f>
        <v/>
      </c>
      <c r="AE6" s="63">
        <f>O6/$P6</f>
        <v/>
      </c>
      <c r="AF6" s="63">
        <f>SUM(R6:U6)</f>
        <v/>
      </c>
      <c r="AG6" s="99">
        <f>SUM(V6:Y6)</f>
        <v/>
      </c>
      <c r="AH6" s="99">
        <f>AA6+AE6+AF6</f>
        <v/>
      </c>
      <c r="AI6" s="2">
        <f>AG6+AH6</f>
        <v/>
      </c>
    </row>
    <row r="7" ht="15.75" customHeight="1" s="259">
      <c r="A7" s="9" t="n"/>
      <c r="B7" s="2" t="n"/>
      <c r="C7" s="2" t="n"/>
      <c r="D7" s="2" t="n"/>
      <c r="E7" s="2" t="n"/>
      <c r="F7" s="2" t="n"/>
      <c r="G7" s="2" t="n"/>
      <c r="H7" s="2" t="n"/>
      <c r="I7" s="2" t="n"/>
      <c r="J7" s="2" t="n"/>
      <c r="K7" s="2" t="n"/>
      <c r="L7" s="2" t="n"/>
      <c r="M7" s="2" t="n"/>
      <c r="N7" s="2" t="n"/>
      <c r="O7" s="2" t="n"/>
      <c r="P7">
        <f>SUM(B7:O7)</f>
        <v/>
      </c>
      <c r="R7" s="63">
        <f>B7/$P7</f>
        <v/>
      </c>
      <c r="S7" s="63">
        <f>C7/$P7</f>
        <v/>
      </c>
      <c r="T7" s="63">
        <f>D7/$P7</f>
        <v/>
      </c>
      <c r="U7" s="63">
        <f>E7/$P7</f>
        <v/>
      </c>
      <c r="V7" s="63">
        <f>F7/$P7</f>
        <v/>
      </c>
      <c r="W7" s="63">
        <f>G7/$P7</f>
        <v/>
      </c>
      <c r="X7" s="63">
        <f>H7/$P7</f>
        <v/>
      </c>
      <c r="Y7" s="63">
        <f>I7/$P7</f>
        <v/>
      </c>
      <c r="Z7" s="63">
        <f>J7/$P7</f>
        <v/>
      </c>
      <c r="AA7" s="63">
        <f>K7/$P7</f>
        <v/>
      </c>
      <c r="AB7" s="63">
        <f>L7/$P7</f>
        <v/>
      </c>
      <c r="AC7" s="63">
        <f>M7/$P7</f>
        <v/>
      </c>
      <c r="AD7" s="63">
        <f>N7/$P7</f>
        <v/>
      </c>
      <c r="AE7" s="63">
        <f>O7/$P7</f>
        <v/>
      </c>
      <c r="AF7" s="63">
        <f>SUM(R7:U7)</f>
        <v/>
      </c>
      <c r="AG7" s="99">
        <f>SUM(V7:Y7)</f>
        <v/>
      </c>
      <c r="AH7" s="99">
        <f>AA7+AE7+AF7</f>
        <v/>
      </c>
      <c r="AI7" s="2">
        <f>AG7+AH7</f>
        <v/>
      </c>
    </row>
    <row r="8" ht="15.75" customHeight="1" s="259">
      <c r="A8" s="9" t="n"/>
      <c r="B8" s="2" t="n"/>
      <c r="C8" s="2" t="n"/>
      <c r="D8" s="2" t="n"/>
      <c r="E8" s="2" t="n"/>
      <c r="F8" s="2" t="n"/>
      <c r="G8" s="2" t="n"/>
      <c r="H8" s="2" t="n"/>
      <c r="I8" s="2" t="n"/>
      <c r="J8" s="2" t="n"/>
      <c r="K8" s="2" t="n"/>
      <c r="L8" s="2" t="n"/>
      <c r="M8" s="2" t="n"/>
      <c r="N8" s="2" t="n"/>
      <c r="O8" s="2" t="n"/>
      <c r="P8">
        <f>SUM(B8:O8)</f>
        <v/>
      </c>
      <c r="R8" s="63">
        <f>B8/$P8</f>
        <v/>
      </c>
      <c r="S8" s="63">
        <f>C8/$P8</f>
        <v/>
      </c>
      <c r="T8" s="63">
        <f>D8/$P8</f>
        <v/>
      </c>
      <c r="U8" s="63">
        <f>E8/$P8</f>
        <v/>
      </c>
      <c r="V8" s="63">
        <f>F8/$P8</f>
        <v/>
      </c>
      <c r="W8" s="63">
        <f>G8/$P8</f>
        <v/>
      </c>
      <c r="X8" s="63">
        <f>H8/$P8</f>
        <v/>
      </c>
      <c r="Y8" s="63">
        <f>I8/$P8</f>
        <v/>
      </c>
      <c r="Z8" s="63">
        <f>J8/$P8</f>
        <v/>
      </c>
      <c r="AA8" s="63">
        <f>K8/$P8</f>
        <v/>
      </c>
      <c r="AB8" s="63">
        <f>L8/$P8</f>
        <v/>
      </c>
      <c r="AC8" s="63">
        <f>M8/$P8</f>
        <v/>
      </c>
      <c r="AD8" s="63">
        <f>N8/$P8</f>
        <v/>
      </c>
      <c r="AE8" s="63">
        <f>O8/$P8</f>
        <v/>
      </c>
      <c r="AF8" s="63">
        <f>SUM(R8:U8)</f>
        <v/>
      </c>
      <c r="AG8" s="99">
        <f>SUM(V8:Y8)</f>
        <v/>
      </c>
      <c r="AH8" s="99">
        <f>AA8+AE8+AF8</f>
        <v/>
      </c>
      <c r="AI8" s="2">
        <f>AG8+AH8</f>
        <v/>
      </c>
    </row>
    <row r="9" ht="15.75" customHeight="1" s="259">
      <c r="A9" s="9" t="n"/>
      <c r="B9" s="2" t="n"/>
      <c r="C9" s="2" t="n"/>
      <c r="D9" s="2" t="n"/>
      <c r="E9" s="2" t="n"/>
      <c r="F9" s="2" t="n"/>
      <c r="G9" s="2" t="n"/>
      <c r="H9" s="2" t="n"/>
      <c r="I9" s="2" t="n"/>
      <c r="J9" s="2" t="n"/>
      <c r="K9" s="2" t="n"/>
      <c r="L9" s="2" t="n"/>
      <c r="M9" s="2" t="n"/>
      <c r="N9" s="2" t="n"/>
      <c r="O9" s="2" t="n"/>
      <c r="P9">
        <f>SUM(B9:O9)</f>
        <v/>
      </c>
      <c r="R9" s="63">
        <f>B9/$P9</f>
        <v/>
      </c>
      <c r="S9" s="63">
        <f>C9/$P9</f>
        <v/>
      </c>
      <c r="T9" s="63">
        <f>D9/$P9</f>
        <v/>
      </c>
      <c r="U9" s="63">
        <f>E9/$P9</f>
        <v/>
      </c>
      <c r="V9" s="63">
        <f>F9/$P9</f>
        <v/>
      </c>
      <c r="W9" s="63">
        <f>G9/$P9</f>
        <v/>
      </c>
      <c r="X9" s="63">
        <f>H9/$P9</f>
        <v/>
      </c>
      <c r="Y9" s="63">
        <f>I9/$P9</f>
        <v/>
      </c>
      <c r="Z9" s="63">
        <f>J9/$P9</f>
        <v/>
      </c>
      <c r="AA9" s="63">
        <f>K9/$P9</f>
        <v/>
      </c>
      <c r="AB9" s="63">
        <f>L9/$P9</f>
        <v/>
      </c>
      <c r="AC9" s="63">
        <f>M9/$P9</f>
        <v/>
      </c>
      <c r="AD9" s="63">
        <f>N9/$P9</f>
        <v/>
      </c>
      <c r="AE9" s="63">
        <f>O9/$P9</f>
        <v/>
      </c>
      <c r="AF9" s="63">
        <f>SUM(R9:U9)</f>
        <v/>
      </c>
      <c r="AG9" s="99">
        <f>SUM(V9:Y9)</f>
        <v/>
      </c>
      <c r="AH9" s="99">
        <f>AA9+AE9+AF9</f>
        <v/>
      </c>
      <c r="AI9" s="2">
        <f>AG9+AH9</f>
        <v/>
      </c>
    </row>
    <row r="10" ht="15.75" customHeight="1" s="259">
      <c r="A10" s="9" t="n"/>
      <c r="B10" s="2" t="n"/>
      <c r="C10" s="2" t="n"/>
      <c r="D10" s="2" t="n"/>
      <c r="E10" s="2" t="n"/>
      <c r="F10" s="2" t="n"/>
      <c r="G10" s="2" t="n"/>
      <c r="H10" s="2" t="n"/>
      <c r="I10" s="2" t="n"/>
      <c r="J10" s="2" t="n"/>
      <c r="K10" s="2" t="n"/>
      <c r="L10" s="2" t="n"/>
      <c r="M10" s="2" t="n"/>
      <c r="N10" s="2" t="n"/>
      <c r="O10" s="2" t="n"/>
      <c r="P10">
        <f>SUM(B10:O10)</f>
        <v/>
      </c>
      <c r="R10" s="63">
        <f>B10/$P10</f>
        <v/>
      </c>
      <c r="S10" s="63">
        <f>C10/$P10</f>
        <v/>
      </c>
      <c r="T10" s="63">
        <f>D10/$P10</f>
        <v/>
      </c>
      <c r="U10" s="63">
        <f>E10/$P10</f>
        <v/>
      </c>
      <c r="V10" s="63">
        <f>F10/$P10</f>
        <v/>
      </c>
      <c r="W10" s="63">
        <f>G10/$P10</f>
        <v/>
      </c>
      <c r="X10" s="63">
        <f>H10/$P10</f>
        <v/>
      </c>
      <c r="Y10" s="63">
        <f>I10/$P10</f>
        <v/>
      </c>
      <c r="Z10" s="63">
        <f>J10/$P10</f>
        <v/>
      </c>
      <c r="AA10" s="63">
        <f>K10/$P10</f>
        <v/>
      </c>
      <c r="AB10" s="63">
        <f>L10/$P10</f>
        <v/>
      </c>
      <c r="AC10" s="63">
        <f>M10/$P10</f>
        <v/>
      </c>
      <c r="AD10" s="63">
        <f>N10/$P10</f>
        <v/>
      </c>
      <c r="AE10" s="63">
        <f>O10/$P10</f>
        <v/>
      </c>
      <c r="AF10" s="63">
        <f>SUM(R10:U10)</f>
        <v/>
      </c>
      <c r="AG10" s="99">
        <f>SUM(V10:Y10)</f>
        <v/>
      </c>
      <c r="AH10" s="99">
        <f>AA10+AE10+AF10</f>
        <v/>
      </c>
      <c r="AI10" s="2">
        <f>AG10+AH10</f>
        <v/>
      </c>
    </row>
    <row r="11" ht="15.75" customHeight="1" s="259">
      <c r="A11" s="2" t="n"/>
      <c r="B11" s="2" t="n"/>
      <c r="C11" s="2" t="n"/>
      <c r="D11" s="2" t="n"/>
      <c r="E11" s="2" t="n"/>
      <c r="F11" s="2" t="n"/>
      <c r="G11" s="2" t="n"/>
      <c r="H11" s="2" t="n"/>
      <c r="I11" s="2" t="n"/>
      <c r="J11" s="2" t="n"/>
      <c r="K11" s="2" t="n"/>
      <c r="L11" s="2" t="n"/>
      <c r="M11" s="2" t="n"/>
      <c r="N11" s="2" t="n"/>
      <c r="O11" s="2" t="n"/>
      <c r="P11" s="59" t="n"/>
      <c r="R11" s="59" t="n"/>
      <c r="S11" s="59" t="n"/>
      <c r="T11" s="59" t="n"/>
      <c r="U11" s="59" t="n"/>
      <c r="V11" s="59" t="n"/>
      <c r="W11" s="59" t="n"/>
      <c r="X11" s="59" t="n"/>
      <c r="Y11" s="59" t="n"/>
      <c r="Z11" s="59" t="n"/>
      <c r="AA11" s="11" t="n"/>
      <c r="AB11" s="2" t="n"/>
      <c r="AC11" s="2" t="n"/>
      <c r="AD11" s="2" t="n"/>
      <c r="AE11" s="2" t="n"/>
      <c r="AF11" s="2" t="n"/>
      <c r="AG11" s="2" t="n"/>
      <c r="AH11" s="2" t="n"/>
      <c r="AI11" s="2" t="n"/>
    </row>
    <row r="12" ht="15.75" customHeight="1" s="259">
      <c r="A12" s="2" t="n"/>
      <c r="B12" s="2" t="n"/>
      <c r="C12" s="2" t="n"/>
      <c r="D12" s="2" t="n"/>
      <c r="E12" s="2" t="n"/>
      <c r="F12" s="2" t="n"/>
      <c r="G12" s="2" t="n"/>
      <c r="H12" s="2" t="n"/>
      <c r="I12" s="2" t="n"/>
      <c r="J12" s="2" t="n"/>
      <c r="K12" s="2" t="n"/>
      <c r="L12" s="2" t="n"/>
      <c r="M12" s="2" t="n"/>
      <c r="N12" s="2" t="n"/>
      <c r="O12" s="2" t="n"/>
      <c r="P12" s="59" t="n"/>
      <c r="R12" s="59" t="n"/>
      <c r="S12" s="59" t="n"/>
      <c r="T12" s="59" t="n"/>
      <c r="U12" s="59" t="n"/>
      <c r="V12" s="59" t="n"/>
      <c r="W12" s="59" t="n"/>
      <c r="X12" s="59" t="n"/>
      <c r="Y12" s="59" t="n"/>
      <c r="Z12" s="59" t="n"/>
      <c r="AA12" s="11" t="n"/>
      <c r="AB12" s="2" t="n"/>
      <c r="AC12" s="2" t="n"/>
      <c r="AD12" s="2" t="n"/>
      <c r="AE12" s="2" t="n"/>
      <c r="AF12" s="2" t="n"/>
      <c r="AG12" s="2" t="n"/>
      <c r="AH12" s="2" t="n"/>
      <c r="AI12" s="2" t="n"/>
    </row>
    <row r="13" ht="22.5" customHeight="1" s="259">
      <c r="A13" s="2" t="n"/>
      <c r="B13" s="11" t="n"/>
      <c r="C13" s="11" t="n"/>
      <c r="D13" s="11" t="n"/>
      <c r="E13" s="11" t="n"/>
      <c r="F13" s="11" t="n"/>
      <c r="G13" s="11" t="n"/>
      <c r="H13" s="11" t="n"/>
      <c r="I13" s="11" t="n"/>
      <c r="J13" s="11" t="n"/>
      <c r="K13" s="11" t="n"/>
      <c r="L13" s="11" t="n"/>
      <c r="M13" s="11" t="n"/>
      <c r="N13" s="11" t="n"/>
      <c r="O13" s="11" t="n"/>
      <c r="P13" s="11" t="n"/>
      <c r="Q13" s="38" t="inlineStr">
        <is>
          <t>FILMS</t>
        </is>
      </c>
      <c r="R13" s="46">
        <f>AVERAGE(R2:R3)</f>
        <v/>
      </c>
      <c r="S13" s="46">
        <f>AVERAGE(S2:S3)</f>
        <v/>
      </c>
      <c r="T13" s="46">
        <f>AVERAGE(T2:T3)</f>
        <v/>
      </c>
      <c r="U13" s="46">
        <f>AVERAGE(U2:U3)</f>
        <v/>
      </c>
      <c r="V13" s="47">
        <f>AVERAGE(V2:V3)</f>
        <v/>
      </c>
      <c r="W13" s="47">
        <f>AVERAGE(W2:W3)</f>
        <v/>
      </c>
      <c r="X13" s="47">
        <f>AVERAGE(X2:X3)</f>
        <v/>
      </c>
      <c r="Y13" s="47">
        <f>AVERAGE(Y2:Y3)</f>
        <v/>
      </c>
      <c r="Z13" s="48">
        <f>AVERAGE(Z2:Z3)</f>
        <v/>
      </c>
      <c r="AA13" s="53">
        <f>AVERAGE(AA2:AA3)</f>
        <v/>
      </c>
      <c r="AB13" s="46">
        <f>AVERAGE(AB2:AB3)</f>
        <v/>
      </c>
      <c r="AC13" s="46">
        <f>AVERAGE(AC2:AC3)</f>
        <v/>
      </c>
      <c r="AD13" s="46">
        <f>AVERAGE(AD2:AD3)</f>
        <v/>
      </c>
      <c r="AE13" s="53">
        <f>AVERAGE(AE2:AE3)</f>
        <v/>
      </c>
      <c r="AF13" s="46">
        <f>AVERAGE(AF2:AF3)</f>
        <v/>
      </c>
      <c r="AG13" s="47">
        <f>AVERAGE(AG2:AG3)</f>
        <v/>
      </c>
      <c r="AH13" s="53">
        <f>AVERAGE(AH2:AH3)</f>
        <v/>
      </c>
      <c r="AI13" s="47">
        <f>AVERAGE(AI2:AI3)</f>
        <v/>
      </c>
    </row>
    <row r="15">
      <c r="Q15" s="38" t="n">
        <v>2024</v>
      </c>
    </row>
    <row r="16" ht="15.75" customHeight="1" s="259">
      <c r="Q16" s="90" t="inlineStr">
        <is>
          <t>Janvier</t>
        </is>
      </c>
      <c r="R16" s="89" t="n"/>
      <c r="S16" s="89" t="n"/>
      <c r="T16" s="89" t="n"/>
      <c r="U16" s="89" t="n"/>
      <c r="V16" s="89" t="n"/>
      <c r="W16" s="89" t="n"/>
      <c r="X16" s="89" t="n"/>
      <c r="Y16" s="89" t="n"/>
      <c r="Z16" s="89" t="n"/>
      <c r="AA16" s="89" t="n"/>
      <c r="AB16" s="89" t="n"/>
      <c r="AC16" s="89" t="n"/>
      <c r="AD16" s="89" t="n"/>
      <c r="AE16" s="89" t="n"/>
      <c r="AF16" s="89" t="n"/>
      <c r="AG16" s="89" t="n"/>
      <c r="AH16" s="89" t="n"/>
      <c r="AI16" s="89" t="n"/>
    </row>
    <row r="17" ht="15.75" customHeight="1" s="259">
      <c r="Q17" s="90" t="inlineStr">
        <is>
          <t>Février</t>
        </is>
      </c>
    </row>
    <row r="18" ht="15.75" customHeight="1" s="259">
      <c r="Q18" s="90" t="inlineStr">
        <is>
          <t>Mars</t>
        </is>
      </c>
    </row>
    <row r="19" ht="15.75" customHeight="1" s="259">
      <c r="Q19" s="90" t="inlineStr">
        <is>
          <t>Avril</t>
        </is>
      </c>
    </row>
    <row r="20" ht="15.75" customHeight="1" s="259">
      <c r="Q20" s="90" t="inlineStr">
        <is>
          <t>Juin</t>
        </is>
      </c>
    </row>
    <row r="21" ht="15.75" customHeight="1" s="259">
      <c r="Q21" s="90" t="inlineStr">
        <is>
          <t>Juillet</t>
        </is>
      </c>
    </row>
    <row r="22" ht="15.75" customHeight="1" s="259">
      <c r="Q22" s="90" t="inlineStr">
        <is>
          <t>Aout</t>
        </is>
      </c>
    </row>
    <row r="23" ht="31.5" customHeight="1" s="259">
      <c r="Q23" s="90" t="inlineStr">
        <is>
          <t>Septembre</t>
        </is>
      </c>
    </row>
    <row r="24" ht="15.75" customHeight="1" s="259">
      <c r="Q24" s="90" t="inlineStr">
        <is>
          <t>Octobre</t>
        </is>
      </c>
    </row>
    <row r="25" ht="15.75" customHeight="1" s="259">
      <c r="Q25" s="90" t="inlineStr">
        <is>
          <t>Novembre</t>
        </is>
      </c>
    </row>
    <row r="26" ht="15.75" customHeight="1" s="259">
      <c r="Q26" s="90" t="inlineStr">
        <is>
          <t>Decembre</t>
        </is>
      </c>
    </row>
  </sheetData>
  <autoFilter ref="A1:AI1"/>
  <pageMargins left="0.7086614173228347" right="0.7086614173228347" top="0.7480314960629921" bottom="0.7480314960629921" header="0.3149606299212598" footer="0.3149606299212598"/>
  <pageSetup orientation="landscape" paperSize="9" scale="25"/>
</worksheet>
</file>

<file path=xl/worksheets/sheet15.xml><?xml version="1.0" encoding="utf-8"?>
<worksheet xmlns="http://schemas.openxmlformats.org/spreadsheetml/2006/main">
  <sheetPr codeName="Feuil13" filterMode="1">
    <tabColor rgb="FFFFC000"/>
    <outlinePr summaryBelow="1" summaryRight="1"/>
    <pageSetUpPr fitToPage="1"/>
  </sheetPr>
  <dimension ref="A1:AJ47"/>
  <sheetViews>
    <sheetView zoomScale="55" zoomScaleNormal="55" workbookViewId="0">
      <pane ySplit="1" topLeftCell="A23" activePane="bottomLeft" state="frozen"/>
      <selection activeCell="H12" sqref="H12"/>
      <selection pane="bottomLeft" activeCell="H12" sqref="H12"/>
    </sheetView>
  </sheetViews>
  <sheetFormatPr baseColWidth="10" defaultRowHeight="20.25"/>
  <cols>
    <col width="15.7109375" customWidth="1" style="259" min="1" max="1"/>
    <col width="13.28515625" bestFit="1" customWidth="1" style="259" min="2" max="2"/>
    <col width="13.28515625" customWidth="1" style="259" min="3" max="4"/>
    <col width="17.28515625" customWidth="1" style="259" min="7" max="9"/>
    <col width="12.42578125" customWidth="1" style="38" min="16" max="16"/>
    <col width="16" customWidth="1" style="259" min="18" max="18"/>
    <col width="13.28515625" customWidth="1" style="259" min="19" max="19"/>
    <col width="17.7109375" customWidth="1" style="259" min="22" max="24"/>
    <col width="19.42578125" customWidth="1" style="259" min="30" max="30"/>
    <col width="16.7109375" customWidth="1" style="259" min="31" max="31"/>
  </cols>
  <sheetData>
    <row r="1" ht="90" customHeight="1" s="259">
      <c r="A1" s="38" t="inlineStr">
        <is>
          <t>Date</t>
        </is>
      </c>
      <c r="B1" s="38" t="inlineStr">
        <is>
          <t>JRM</t>
        </is>
      </c>
      <c r="C1" s="38" t="inlineStr">
        <is>
          <t>Cartons 1.05</t>
        </is>
      </c>
      <c r="D1" s="38" t="inlineStr">
        <is>
          <t>Cartons 1.04</t>
        </is>
      </c>
      <c r="E1" s="38" t="inlineStr">
        <is>
          <t>GM</t>
        </is>
      </c>
      <c r="F1" s="36" t="inlineStr">
        <is>
          <t>ELA</t>
        </is>
      </c>
      <c r="G1" s="37" t="inlineStr">
        <is>
          <t>PET Q7</t>
        </is>
      </c>
      <c r="H1" s="37" t="inlineStr">
        <is>
          <t>PET Q8</t>
        </is>
      </c>
      <c r="I1" s="37" t="inlineStr">
        <is>
          <t>PEPPPS</t>
        </is>
      </c>
      <c r="J1" s="37" t="inlineStr">
        <is>
          <t>films</t>
        </is>
      </c>
      <c r="K1" s="38" t="inlineStr">
        <is>
          <t>acier</t>
        </is>
      </c>
      <c r="L1" s="38" t="inlineStr">
        <is>
          <t>alu</t>
        </is>
      </c>
      <c r="M1" s="38" t="inlineStr">
        <is>
          <t>petits alu</t>
        </is>
      </c>
      <c r="N1" s="33" t="inlineStr">
        <is>
          <t>refus indésirables</t>
        </is>
      </c>
      <c r="O1" s="38" t="inlineStr">
        <is>
          <t>TOTAL</t>
        </is>
      </c>
      <c r="Q1" s="38" t="inlineStr">
        <is>
          <t>JRM</t>
        </is>
      </c>
      <c r="R1" s="38" t="inlineStr">
        <is>
          <t>Cartons 1.05</t>
        </is>
      </c>
      <c r="S1" s="38" t="inlineStr">
        <is>
          <t>Cartons 1.04</t>
        </is>
      </c>
      <c r="T1" s="38" t="inlineStr">
        <is>
          <t>GM</t>
        </is>
      </c>
      <c r="U1" s="36" t="inlineStr">
        <is>
          <t>ELA</t>
        </is>
      </c>
      <c r="V1" s="37" t="inlineStr">
        <is>
          <t>PET Q7</t>
        </is>
      </c>
      <c r="W1" s="37" t="inlineStr">
        <is>
          <t>PET Q8</t>
        </is>
      </c>
      <c r="X1" s="37" t="inlineStr">
        <is>
          <t>PEPPPS</t>
        </is>
      </c>
      <c r="Y1" s="37" t="inlineStr">
        <is>
          <t>films</t>
        </is>
      </c>
      <c r="Z1" s="38" t="inlineStr">
        <is>
          <t>acier</t>
        </is>
      </c>
      <c r="AA1" s="38" t="inlineStr">
        <is>
          <t>alu</t>
        </is>
      </c>
      <c r="AB1" s="38" t="inlineStr">
        <is>
          <t>petits alu</t>
        </is>
      </c>
      <c r="AC1" s="33" t="inlineStr">
        <is>
          <t>refus indésirables</t>
        </is>
      </c>
      <c r="AD1" s="32" t="inlineStr">
        <is>
          <t>TOTAL refus fibreux valorisables</t>
        </is>
      </c>
      <c r="AE1" s="31" t="inlineStr">
        <is>
          <t>TOTAL refus non fibreux valorisables</t>
        </is>
      </c>
      <c r="AF1" s="39" t="inlineStr">
        <is>
          <t xml:space="preserve">TOTAL REFUS </t>
        </is>
      </c>
      <c r="AG1" s="38" t="inlineStr">
        <is>
          <t>REFUSCC</t>
        </is>
      </c>
      <c r="AH1" s="38" t="inlineStr">
        <is>
          <t>Annee</t>
        </is>
      </c>
      <c r="AI1" s="38" t="inlineStr">
        <is>
          <t>Mois</t>
        </is>
      </c>
      <c r="AJ1" s="38" t="inlineStr">
        <is>
          <t xml:space="preserve">Nb caract </t>
        </is>
      </c>
    </row>
    <row r="2" hidden="1" ht="15.75" customHeight="1" s="259">
      <c r="A2" s="9" t="n">
        <v>44623</v>
      </c>
      <c r="B2" s="2" t="n">
        <v>0.06</v>
      </c>
      <c r="C2" s="2" t="n"/>
      <c r="D2" s="2" t="n">
        <v>0.84</v>
      </c>
      <c r="E2" s="2" t="n">
        <v>1.06</v>
      </c>
      <c r="F2" s="2" t="n">
        <v>13.74</v>
      </c>
      <c r="G2" s="2" t="n">
        <v>0.42</v>
      </c>
      <c r="H2" s="2" t="n"/>
      <c r="I2" s="2" t="n">
        <v>0.42</v>
      </c>
      <c r="J2" s="2" t="n"/>
      <c r="K2" s="2" t="n"/>
      <c r="L2" s="2" t="n">
        <v>0.1</v>
      </c>
      <c r="M2" s="2" t="n">
        <v>0.04</v>
      </c>
      <c r="N2" s="2" t="n">
        <v>2.26</v>
      </c>
      <c r="O2" s="2">
        <f>SUM(B2:N2)</f>
        <v/>
      </c>
      <c r="Q2" s="41">
        <f>B2/$O2</f>
        <v/>
      </c>
      <c r="R2" s="41">
        <f>C2/$O2</f>
        <v/>
      </c>
      <c r="S2" s="41">
        <f>D2/$O2</f>
        <v/>
      </c>
      <c r="T2" s="41">
        <f>E2/$O2</f>
        <v/>
      </c>
      <c r="U2" s="41">
        <f>F2/$O2</f>
        <v/>
      </c>
      <c r="V2" s="41">
        <f>G2/$O2</f>
        <v/>
      </c>
      <c r="W2" s="41">
        <f>H2/$O2</f>
        <v/>
      </c>
      <c r="X2" s="41">
        <f>I2/$O2</f>
        <v/>
      </c>
      <c r="Y2" s="41">
        <f>J2/$O2</f>
        <v/>
      </c>
      <c r="Z2" s="41">
        <f>K2/$O2</f>
        <v/>
      </c>
      <c r="AA2" s="41">
        <f>L2/$O2</f>
        <v/>
      </c>
      <c r="AB2" s="41">
        <f>M2/$O2</f>
        <v/>
      </c>
      <c r="AC2" s="41">
        <f>N2/$O2</f>
        <v/>
      </c>
      <c r="AD2" s="41">
        <f>SUM(Q2:T2)</f>
        <v/>
      </c>
      <c r="AE2" s="41">
        <f>SUM(V2:Y2)</f>
        <v/>
      </c>
      <c r="AF2" s="41">
        <f>AC2+AD2+AE2</f>
        <v/>
      </c>
      <c r="AG2" s="41" t="n"/>
    </row>
    <row r="3" hidden="1" ht="15.75" customHeight="1" s="259">
      <c r="A3" s="66" t="n">
        <v>44862</v>
      </c>
      <c r="B3" s="2" t="n">
        <v>0.5</v>
      </c>
      <c r="C3" s="2" t="n">
        <v>0.5</v>
      </c>
      <c r="D3" s="2" t="n">
        <v>1.04</v>
      </c>
      <c r="E3" s="2" t="n">
        <v>0.68</v>
      </c>
      <c r="F3" s="2" t="n">
        <v>17.86</v>
      </c>
      <c r="G3" s="2" t="n">
        <v>0.42</v>
      </c>
      <c r="H3" s="2" t="n"/>
      <c r="I3" s="2" t="n">
        <v>0.2</v>
      </c>
      <c r="J3" s="2" t="n">
        <v>0.58</v>
      </c>
      <c r="K3" s="2" t="n"/>
      <c r="L3" s="2" t="n">
        <v>0.02</v>
      </c>
      <c r="M3" s="2" t="n"/>
      <c r="N3" s="2" t="n">
        <v>1.18</v>
      </c>
      <c r="O3" s="2">
        <f>SUM(B3:N3)</f>
        <v/>
      </c>
      <c r="Q3" s="41">
        <f>B3/$O3</f>
        <v/>
      </c>
      <c r="R3" s="41">
        <f>C3/$O3</f>
        <v/>
      </c>
      <c r="S3" s="41">
        <f>D3/$O3</f>
        <v/>
      </c>
      <c r="T3" s="41">
        <f>E3/$O3</f>
        <v/>
      </c>
      <c r="U3" s="41">
        <f>F3/$O3</f>
        <v/>
      </c>
      <c r="V3" s="41">
        <f>G3/$O3</f>
        <v/>
      </c>
      <c r="W3" s="41">
        <f>H3/$O3</f>
        <v/>
      </c>
      <c r="X3" s="41">
        <f>I3/$O3</f>
        <v/>
      </c>
      <c r="Y3" s="41">
        <f>J3/$O3</f>
        <v/>
      </c>
      <c r="Z3" s="41">
        <f>K3/$O3</f>
        <v/>
      </c>
      <c r="AA3" s="41">
        <f>L3/$O3</f>
        <v/>
      </c>
      <c r="AB3" s="41">
        <f>M3/$O3</f>
        <v/>
      </c>
      <c r="AC3" s="41">
        <f>N3/$O3</f>
        <v/>
      </c>
      <c r="AD3" s="41">
        <f>SUM(Q3:T3)</f>
        <v/>
      </c>
      <c r="AE3" s="41">
        <f>SUM(V3:Y3)</f>
        <v/>
      </c>
      <c r="AF3" s="41">
        <f>AC3+AD3+AE3</f>
        <v/>
      </c>
      <c r="AG3" s="41" t="n"/>
    </row>
    <row r="4" hidden="1" ht="15.75" customHeight="1" s="259">
      <c r="A4" s="66" t="n">
        <v>44865</v>
      </c>
      <c r="B4" s="2" t="n">
        <v>0.82</v>
      </c>
      <c r="C4" s="2" t="n">
        <v>0.28</v>
      </c>
      <c r="D4" s="2" t="n">
        <v>0.9399999999999999</v>
      </c>
      <c r="E4" s="2" t="n">
        <v>0.82</v>
      </c>
      <c r="F4" s="2" t="n">
        <v>13.88</v>
      </c>
      <c r="G4" s="2" t="n">
        <v>0.3</v>
      </c>
      <c r="H4" s="2" t="n"/>
      <c r="I4" s="2" t="n">
        <v>0.24</v>
      </c>
      <c r="J4" s="2" t="n">
        <v>0.2</v>
      </c>
      <c r="K4" s="2" t="n"/>
      <c r="L4" s="2" t="n">
        <v>0.2</v>
      </c>
      <c r="M4" s="2" t="n"/>
      <c r="N4" s="2" t="n">
        <v>1.52</v>
      </c>
      <c r="O4" s="2">
        <f>SUM(B4:N4)</f>
        <v/>
      </c>
      <c r="Q4" s="41">
        <f>B4/$O4</f>
        <v/>
      </c>
      <c r="R4" s="41">
        <f>C4/$O4</f>
        <v/>
      </c>
      <c r="S4" s="41">
        <f>D4/$O4</f>
        <v/>
      </c>
      <c r="T4" s="41">
        <f>E4/$O4</f>
        <v/>
      </c>
      <c r="U4" s="41">
        <f>F4/$O4</f>
        <v/>
      </c>
      <c r="V4" s="41">
        <f>G4/$O4</f>
        <v/>
      </c>
      <c r="W4" s="41">
        <f>H4/$O4</f>
        <v/>
      </c>
      <c r="X4" s="41">
        <f>I4/$O4</f>
        <v/>
      </c>
      <c r="Y4" s="41">
        <f>J4/$O4</f>
        <v/>
      </c>
      <c r="Z4" s="41">
        <f>K4/$O4</f>
        <v/>
      </c>
      <c r="AA4" s="41">
        <f>L4/$O4</f>
        <v/>
      </c>
      <c r="AB4" s="41">
        <f>M4/$O4</f>
        <v/>
      </c>
      <c r="AC4" s="41">
        <f>N4/$O4</f>
        <v/>
      </c>
      <c r="AD4" s="41">
        <f>SUM(Q4:T4)</f>
        <v/>
      </c>
      <c r="AE4" s="41">
        <f>SUM(V4:Y4)</f>
        <v/>
      </c>
      <c r="AF4" s="41">
        <f>AC4+AD4+AE4</f>
        <v/>
      </c>
      <c r="AG4" s="41" t="n"/>
    </row>
    <row r="5" hidden="1" ht="15.75" customHeight="1" s="259">
      <c r="A5" s="66" t="n">
        <v>44873</v>
      </c>
      <c r="B5" s="2" t="n">
        <v>0.44</v>
      </c>
      <c r="C5" t="n">
        <v>0.06</v>
      </c>
      <c r="D5" s="2" t="n">
        <v>1.12</v>
      </c>
      <c r="E5" s="2" t="n">
        <v>1.86</v>
      </c>
      <c r="F5" s="2" t="n">
        <v>12.64</v>
      </c>
      <c r="G5" s="2" t="n">
        <v>0.5</v>
      </c>
      <c r="I5" s="2" t="n">
        <v>0.26</v>
      </c>
      <c r="J5" s="2" t="n">
        <v>0.16</v>
      </c>
      <c r="L5" s="2" t="n">
        <v>0.02</v>
      </c>
      <c r="N5" s="2" t="n">
        <v>1.46</v>
      </c>
      <c r="O5" s="2">
        <f>SUM(B5:N5)</f>
        <v/>
      </c>
      <c r="Q5" s="41">
        <f>B5/$O5</f>
        <v/>
      </c>
      <c r="R5" s="41">
        <f>C5/$O5</f>
        <v/>
      </c>
      <c r="S5" s="41">
        <f>D5/$O5</f>
        <v/>
      </c>
      <c r="T5" s="41">
        <f>E5/$O5</f>
        <v/>
      </c>
      <c r="U5" s="41">
        <f>F5/$O5</f>
        <v/>
      </c>
      <c r="V5" s="41">
        <f>G5/$O5</f>
        <v/>
      </c>
      <c r="W5" s="41">
        <f>H5/$O5</f>
        <v/>
      </c>
      <c r="X5" s="41">
        <f>I5/$O5</f>
        <v/>
      </c>
      <c r="Y5" s="41">
        <f>J5/$O5</f>
        <v/>
      </c>
      <c r="Z5" s="41">
        <f>K5/$O5</f>
        <v/>
      </c>
      <c r="AA5" s="41">
        <f>L5/$O5</f>
        <v/>
      </c>
      <c r="AB5" s="41">
        <f>M5/$O5</f>
        <v/>
      </c>
      <c r="AC5" s="41">
        <f>N5/$O5</f>
        <v/>
      </c>
      <c r="AD5" s="41">
        <f>SUM(Q5:T5)</f>
        <v/>
      </c>
      <c r="AE5" s="41">
        <f>SUM(V5:Y5)</f>
        <v/>
      </c>
      <c r="AF5" s="41">
        <f>AC5+AD5+AE5</f>
        <v/>
      </c>
      <c r="AG5" s="41" t="n"/>
    </row>
    <row r="6" hidden="1" ht="15.75" customHeight="1" s="259">
      <c r="A6" s="66" t="n">
        <v>44880</v>
      </c>
      <c r="B6" s="2" t="n">
        <v>0.72</v>
      </c>
      <c r="C6" s="2" t="n">
        <v>0.44</v>
      </c>
      <c r="D6" s="2" t="n">
        <v>1.4</v>
      </c>
      <c r="E6" s="2" t="n">
        <v>2.24</v>
      </c>
      <c r="F6" s="2" t="n">
        <v>17.94</v>
      </c>
      <c r="I6" s="2" t="n">
        <v>0.18</v>
      </c>
      <c r="L6" s="2" t="n">
        <v>0.02</v>
      </c>
      <c r="N6" s="2" t="n">
        <v>2.64</v>
      </c>
      <c r="O6" s="2">
        <f>SUM(B6:N6)</f>
        <v/>
      </c>
      <c r="Q6" s="41">
        <f>B6/$O6</f>
        <v/>
      </c>
      <c r="R6" s="41">
        <f>C6/$O6</f>
        <v/>
      </c>
      <c r="S6" s="41">
        <f>D6/$O6</f>
        <v/>
      </c>
      <c r="T6" s="41">
        <f>E6/$O6</f>
        <v/>
      </c>
      <c r="U6" s="41">
        <f>F6/$O6</f>
        <v/>
      </c>
      <c r="V6" s="41">
        <f>G6/$O6</f>
        <v/>
      </c>
      <c r="W6" s="41">
        <f>H6/$O6</f>
        <v/>
      </c>
      <c r="X6" s="41">
        <f>I6/$O6</f>
        <v/>
      </c>
      <c r="Y6" s="41">
        <f>J6/$O6</f>
        <v/>
      </c>
      <c r="Z6" s="41">
        <f>K6/$O6</f>
        <v/>
      </c>
      <c r="AA6" s="41">
        <f>L6/$O6</f>
        <v/>
      </c>
      <c r="AB6" s="41">
        <f>M6/$O6</f>
        <v/>
      </c>
      <c r="AC6" s="41">
        <f>N6/$O6</f>
        <v/>
      </c>
      <c r="AD6" s="41">
        <f>SUM(Q6:T6)</f>
        <v/>
      </c>
      <c r="AE6" s="41">
        <f>SUM(V6:Y6)</f>
        <v/>
      </c>
      <c r="AF6" s="41">
        <f>AC6+AD6+AE6</f>
        <v/>
      </c>
      <c r="AG6" s="41" t="n"/>
    </row>
    <row r="7" hidden="1" ht="15.75" customHeight="1" s="259">
      <c r="A7" s="66" t="n">
        <v>44882</v>
      </c>
      <c r="B7" s="2" t="n">
        <v>0.32</v>
      </c>
      <c r="C7" s="2" t="n">
        <v>0.58</v>
      </c>
      <c r="D7" s="2" t="n">
        <v>1.12</v>
      </c>
      <c r="E7" s="2" t="n">
        <v>2.34</v>
      </c>
      <c r="F7" s="2" t="n">
        <v>9.699999999999999</v>
      </c>
      <c r="G7" s="2" t="n">
        <v>0.44</v>
      </c>
      <c r="I7" s="2" t="n">
        <v>0.32</v>
      </c>
      <c r="J7" s="2" t="n">
        <v>0.4</v>
      </c>
      <c r="N7" s="2" t="n">
        <v>1.54</v>
      </c>
      <c r="O7" s="2">
        <f>SUM(B7:N7)</f>
        <v/>
      </c>
      <c r="Q7" s="41">
        <f>B7/$O7</f>
        <v/>
      </c>
      <c r="R7" s="41">
        <f>C7/$O7</f>
        <v/>
      </c>
      <c r="S7" s="41">
        <f>D7/$O7</f>
        <v/>
      </c>
      <c r="T7" s="41">
        <f>E7/$O7</f>
        <v/>
      </c>
      <c r="U7" s="41">
        <f>F7/$O7</f>
        <v/>
      </c>
      <c r="V7" s="41">
        <f>G7/$O7</f>
        <v/>
      </c>
      <c r="W7" s="41">
        <f>H7/$O7</f>
        <v/>
      </c>
      <c r="X7" s="41">
        <f>I7/$O7</f>
        <v/>
      </c>
      <c r="Y7" s="41">
        <f>J7/$O7</f>
        <v/>
      </c>
      <c r="Z7" s="41">
        <f>K7/$O7</f>
        <v/>
      </c>
      <c r="AA7" s="41">
        <f>L7/$O7</f>
        <v/>
      </c>
      <c r="AB7" s="41">
        <f>M7/$O7</f>
        <v/>
      </c>
      <c r="AC7" s="41">
        <f>N7/$O7</f>
        <v/>
      </c>
      <c r="AD7" s="41">
        <f>SUM(Q7:T7)</f>
        <v/>
      </c>
      <c r="AE7" s="41">
        <f>SUM(V7:Y7)</f>
        <v/>
      </c>
      <c r="AF7" s="41">
        <f>AC7+AD7+AE7</f>
        <v/>
      </c>
      <c r="AG7" s="41" t="n"/>
    </row>
    <row r="8" hidden="1" ht="15.75" customHeight="1" s="259">
      <c r="A8" s="66" t="n">
        <v>44888</v>
      </c>
      <c r="B8" s="2" t="n">
        <v>0.18</v>
      </c>
      <c r="C8" s="2" t="n">
        <v>0.48</v>
      </c>
      <c r="D8" s="2" t="n">
        <v>1.28</v>
      </c>
      <c r="E8" s="2" t="n">
        <v>1.58</v>
      </c>
      <c r="F8" s="2" t="n">
        <v>15.16</v>
      </c>
      <c r="G8" s="2" t="n">
        <v>0.44</v>
      </c>
      <c r="I8" s="2" t="n">
        <v>0.34</v>
      </c>
      <c r="J8" s="2" t="n">
        <v>0.12</v>
      </c>
      <c r="L8" s="2" t="n">
        <v>0.02</v>
      </c>
      <c r="N8" s="2" t="n">
        <v>1.66</v>
      </c>
      <c r="O8" s="2">
        <f>SUM(B8:N8)</f>
        <v/>
      </c>
      <c r="Q8" s="41">
        <f>B8/$O8</f>
        <v/>
      </c>
      <c r="R8" s="41">
        <f>C8/$O8</f>
        <v/>
      </c>
      <c r="S8" s="41">
        <f>D8/$O8</f>
        <v/>
      </c>
      <c r="T8" s="41">
        <f>E8/$O8</f>
        <v/>
      </c>
      <c r="U8" s="41">
        <f>F8/$O8</f>
        <v/>
      </c>
      <c r="V8" s="41">
        <f>G8/$O8</f>
        <v/>
      </c>
      <c r="W8" s="41">
        <f>H8/$O8</f>
        <v/>
      </c>
      <c r="X8" s="41">
        <f>I8/$O8</f>
        <v/>
      </c>
      <c r="Y8" s="41">
        <f>J8/$O8</f>
        <v/>
      </c>
      <c r="Z8" s="41">
        <f>K8/$O8</f>
        <v/>
      </c>
      <c r="AA8" s="41">
        <f>L8/$O8</f>
        <v/>
      </c>
      <c r="AB8" s="41">
        <f>M8/$O8</f>
        <v/>
      </c>
      <c r="AC8" s="41">
        <f>N8/$O8</f>
        <v/>
      </c>
      <c r="AD8" s="41">
        <f>SUM(Q8:T8)</f>
        <v/>
      </c>
      <c r="AE8" s="41">
        <f>SUM(V8:Y8)</f>
        <v/>
      </c>
      <c r="AF8" s="41">
        <f>AC8+AD8+AE8</f>
        <v/>
      </c>
      <c r="AG8" s="41" t="n"/>
    </row>
    <row r="9" hidden="1" ht="15.75" customHeight="1" s="259">
      <c r="A9" s="66" t="n">
        <v>44902</v>
      </c>
      <c r="B9" s="2" t="n">
        <v>0.82</v>
      </c>
      <c r="C9" s="2" t="n">
        <v>0.62</v>
      </c>
      <c r="D9" s="2" t="n">
        <v>2.56</v>
      </c>
      <c r="E9" s="2" t="n">
        <v>1.7</v>
      </c>
      <c r="F9" s="2" t="n">
        <v>18.22</v>
      </c>
      <c r="G9" s="2" t="n">
        <v>0.76</v>
      </c>
      <c r="I9" s="2" t="n">
        <v>0.42</v>
      </c>
      <c r="J9" s="2" t="n">
        <v>0.18</v>
      </c>
      <c r="N9" s="2" t="n">
        <v>2.28</v>
      </c>
      <c r="O9" s="2">
        <f>SUM(B9:N9)</f>
        <v/>
      </c>
      <c r="Q9" s="41">
        <f>B9/$O9</f>
        <v/>
      </c>
      <c r="R9" s="41">
        <f>C9/$O9</f>
        <v/>
      </c>
      <c r="S9" s="41">
        <f>D9/$O9</f>
        <v/>
      </c>
      <c r="T9" s="41">
        <f>E9/$O9</f>
        <v/>
      </c>
      <c r="U9" s="41">
        <f>F9/$O9</f>
        <v/>
      </c>
      <c r="V9" s="41">
        <f>G9/$O9</f>
        <v/>
      </c>
      <c r="W9" s="41">
        <f>H9/$O9</f>
        <v/>
      </c>
      <c r="X9" s="41">
        <f>I9/$O9</f>
        <v/>
      </c>
      <c r="Y9" s="41">
        <f>J9/$O9</f>
        <v/>
      </c>
      <c r="Z9" s="41">
        <f>K9/$O9</f>
        <v/>
      </c>
      <c r="AA9" s="41">
        <f>L9/$O9</f>
        <v/>
      </c>
      <c r="AB9" s="41">
        <f>M9/$O9</f>
        <v/>
      </c>
      <c r="AC9" s="41">
        <f>N9/$O9</f>
        <v/>
      </c>
      <c r="AD9" s="41">
        <f>SUM(Q9:T9)</f>
        <v/>
      </c>
      <c r="AE9" s="41">
        <f>SUM(V9:Y9)</f>
        <v/>
      </c>
      <c r="AF9" s="41">
        <f>AC9+AD9+AE9</f>
        <v/>
      </c>
      <c r="AG9" s="41" t="n"/>
    </row>
    <row r="10" hidden="1" ht="15.75" customHeight="1" s="259">
      <c r="A10" s="66" t="n">
        <v>44909</v>
      </c>
      <c r="B10" s="2" t="n">
        <v>0.34</v>
      </c>
      <c r="C10" s="2" t="n">
        <v>0.72</v>
      </c>
      <c r="D10" s="2" t="n">
        <v>2.08</v>
      </c>
      <c r="E10" s="2" t="n">
        <v>1.7</v>
      </c>
      <c r="F10" s="2" t="n">
        <v>18.3</v>
      </c>
      <c r="G10" s="2" t="n">
        <v>0.6</v>
      </c>
      <c r="I10" s="2" t="n">
        <v>0.42</v>
      </c>
      <c r="J10" s="2" t="n">
        <v>0.34</v>
      </c>
      <c r="L10" s="2" t="n">
        <v>0.04</v>
      </c>
      <c r="N10" s="2" t="n">
        <v>1.66</v>
      </c>
      <c r="O10" s="2">
        <f>SUM(B10:N10)</f>
        <v/>
      </c>
      <c r="Q10" s="41">
        <f>B10/$O10</f>
        <v/>
      </c>
      <c r="R10" s="41">
        <f>C10/$O10</f>
        <v/>
      </c>
      <c r="S10" s="41">
        <f>D10/$O10</f>
        <v/>
      </c>
      <c r="T10" s="41">
        <f>E10/$O10</f>
        <v/>
      </c>
      <c r="U10" s="41">
        <f>F10/$O10</f>
        <v/>
      </c>
      <c r="V10" s="41">
        <f>G10/$O10</f>
        <v/>
      </c>
      <c r="W10" s="41">
        <f>H10/$O10</f>
        <v/>
      </c>
      <c r="X10" s="41">
        <f>I10/$O10</f>
        <v/>
      </c>
      <c r="Y10" s="41">
        <f>J10/$O10</f>
        <v/>
      </c>
      <c r="Z10" s="41">
        <f>K10/$O10</f>
        <v/>
      </c>
      <c r="AA10" s="41">
        <f>L10/$O10</f>
        <v/>
      </c>
      <c r="AB10" s="41">
        <f>M10/$O10</f>
        <v/>
      </c>
      <c r="AC10" s="41">
        <f>N10/$O10</f>
        <v/>
      </c>
      <c r="AD10" s="41">
        <f>SUM(Q10:T10)</f>
        <v/>
      </c>
      <c r="AE10" s="41">
        <f>SUM(V10:Y10)</f>
        <v/>
      </c>
      <c r="AF10" s="41">
        <f>AC10+AD10+AE10</f>
        <v/>
      </c>
      <c r="AG10" s="41" t="n"/>
    </row>
    <row r="11" hidden="1" ht="15.75" customHeight="1" s="259">
      <c r="A11" s="66" t="n">
        <v>44915</v>
      </c>
      <c r="B11" s="2" t="n">
        <v>0.12</v>
      </c>
      <c r="C11" s="2" t="n">
        <v>0.12</v>
      </c>
      <c r="D11" s="2" t="n">
        <v>1.52</v>
      </c>
      <c r="E11" s="2" t="n">
        <v>1.88</v>
      </c>
      <c r="F11" s="2" t="n">
        <v>18.82</v>
      </c>
      <c r="G11" s="2" t="n">
        <v>0.8</v>
      </c>
      <c r="I11" s="2" t="n">
        <v>0.46</v>
      </c>
      <c r="J11" s="2" t="n">
        <v>0.18</v>
      </c>
      <c r="L11" t="n">
        <v>0.02</v>
      </c>
      <c r="N11" s="2" t="n">
        <v>1.84</v>
      </c>
      <c r="O11" s="2">
        <f>SUM(B11:N11)</f>
        <v/>
      </c>
      <c r="Q11" s="41">
        <f>B11/$O11</f>
        <v/>
      </c>
      <c r="R11" s="41">
        <f>C11/$O11</f>
        <v/>
      </c>
      <c r="S11" s="41">
        <f>D11/$O11</f>
        <v/>
      </c>
      <c r="T11" s="41">
        <f>E11/$O11</f>
        <v/>
      </c>
      <c r="U11" s="41">
        <f>F11/$O11</f>
        <v/>
      </c>
      <c r="V11" s="41">
        <f>G11/$O11</f>
        <v/>
      </c>
      <c r="W11" s="41">
        <f>H11/$O11</f>
        <v/>
      </c>
      <c r="X11" s="41">
        <f>I11/$O11</f>
        <v/>
      </c>
      <c r="Y11" s="41">
        <f>J11/$O11</f>
        <v/>
      </c>
      <c r="Z11" s="41">
        <f>K11/$O11</f>
        <v/>
      </c>
      <c r="AA11" s="41">
        <f>L11/$O11</f>
        <v/>
      </c>
      <c r="AB11" s="41">
        <f>M11/$O11</f>
        <v/>
      </c>
      <c r="AC11" s="41">
        <f>N11/$O11</f>
        <v/>
      </c>
      <c r="AD11" s="41">
        <f>SUM(Q11:T11)</f>
        <v/>
      </c>
      <c r="AE11" s="41">
        <f>SUM(V11:Y11)</f>
        <v/>
      </c>
      <c r="AF11" s="41">
        <f>AC11+AD11+AE11</f>
        <v/>
      </c>
      <c r="AG11" s="41" t="n"/>
    </row>
    <row r="12" hidden="1" ht="15.75" customHeight="1" s="259">
      <c r="A12" s="66" t="n">
        <v>45117</v>
      </c>
      <c r="B12" s="2" t="n">
        <v>0.52</v>
      </c>
      <c r="C12" s="2" t="n">
        <v>1.7</v>
      </c>
      <c r="D12" s="2" t="n">
        <v>0.95</v>
      </c>
      <c r="E12" s="2" t="n">
        <v>1.22</v>
      </c>
      <c r="F12" s="2" t="n">
        <v>19.02</v>
      </c>
      <c r="G12" s="2" t="n">
        <v>0.02</v>
      </c>
      <c r="I12" s="2" t="n">
        <v>0.36</v>
      </c>
      <c r="J12" s="2" t="n">
        <v>0.08</v>
      </c>
      <c r="K12" s="2" t="n">
        <v>0.02</v>
      </c>
      <c r="L12" s="2" t="n">
        <v>0.04</v>
      </c>
      <c r="N12" s="2" t="n">
        <v>0.64</v>
      </c>
      <c r="O12" s="2">
        <f>SUM(B12:N12)</f>
        <v/>
      </c>
      <c r="Q12" s="41">
        <f>B12/$O12</f>
        <v/>
      </c>
      <c r="R12" s="41">
        <f>C12/$O12</f>
        <v/>
      </c>
      <c r="S12" s="41">
        <f>D12/$O12</f>
        <v/>
      </c>
      <c r="T12" s="41">
        <f>E12/$O12</f>
        <v/>
      </c>
      <c r="U12" s="41">
        <f>F12/$O12</f>
        <v/>
      </c>
      <c r="V12" s="41">
        <f>G12/$O12</f>
        <v/>
      </c>
      <c r="W12" s="41">
        <f>H12/$O12</f>
        <v/>
      </c>
      <c r="X12" s="41">
        <f>I12/$O12</f>
        <v/>
      </c>
      <c r="Y12" s="41">
        <f>J12/$O12</f>
        <v/>
      </c>
      <c r="Z12" s="41">
        <f>K12/$O12</f>
        <v/>
      </c>
      <c r="AA12" s="41">
        <f>L12/$O12</f>
        <v/>
      </c>
      <c r="AB12" s="41">
        <f>M12/$O12</f>
        <v/>
      </c>
      <c r="AC12" s="41">
        <f>N12/$O12</f>
        <v/>
      </c>
      <c r="AD12" s="41">
        <f>SUM(Q12:T12)</f>
        <v/>
      </c>
      <c r="AE12" s="41">
        <f>SUM(V12:Y12)</f>
        <v/>
      </c>
      <c r="AF12" s="41">
        <f>AC12+AD12+AE12</f>
        <v/>
      </c>
      <c r="AG12" s="41" t="n"/>
    </row>
    <row r="13" hidden="1" ht="15.75" customHeight="1" s="259">
      <c r="A13" s="66" t="n">
        <v>45131</v>
      </c>
      <c r="B13" s="2" t="n">
        <v>0.34</v>
      </c>
      <c r="C13" s="2" t="n">
        <v>0.6</v>
      </c>
      <c r="D13" s="2" t="n">
        <v>0.46</v>
      </c>
      <c r="E13" s="2" t="n">
        <v>0.72</v>
      </c>
      <c r="F13" s="2" t="n">
        <v>21.68</v>
      </c>
      <c r="G13" s="2" t="n">
        <v>0</v>
      </c>
      <c r="H13" s="2" t="n">
        <v>0</v>
      </c>
      <c r="I13" s="2" t="n">
        <v>0.38</v>
      </c>
      <c r="J13" s="2" t="n">
        <v>0.08</v>
      </c>
      <c r="K13" s="2" t="n">
        <v>0</v>
      </c>
      <c r="L13" s="2" t="n">
        <v>0</v>
      </c>
      <c r="M13" s="2" t="n">
        <v>0</v>
      </c>
      <c r="N13" s="2" t="n">
        <v>0.52</v>
      </c>
      <c r="O13" s="2">
        <f>SUM(B13:N13)</f>
        <v/>
      </c>
      <c r="Q13" s="41">
        <f>B13/$O13</f>
        <v/>
      </c>
      <c r="R13" s="41">
        <f>C13/$O13</f>
        <v/>
      </c>
      <c r="S13" s="41">
        <f>D13/$O13</f>
        <v/>
      </c>
      <c r="T13" s="41">
        <f>E13/$O13</f>
        <v/>
      </c>
      <c r="U13" s="41">
        <f>F13/$O13</f>
        <v/>
      </c>
      <c r="V13" s="41">
        <f>G13/$O13</f>
        <v/>
      </c>
      <c r="W13" s="41">
        <f>H13/$O13</f>
        <v/>
      </c>
      <c r="X13" s="41">
        <f>I13/$O13</f>
        <v/>
      </c>
      <c r="Y13" s="41">
        <f>J13/$O13</f>
        <v/>
      </c>
      <c r="Z13" s="41">
        <f>K13/$O13</f>
        <v/>
      </c>
      <c r="AA13" s="41">
        <f>L13/$O13</f>
        <v/>
      </c>
      <c r="AB13" s="41">
        <f>M13/$O13</f>
        <v/>
      </c>
      <c r="AC13" s="41">
        <f>N13/$O13</f>
        <v/>
      </c>
      <c r="AD13" s="41">
        <f>SUM(Q13:T13)</f>
        <v/>
      </c>
      <c r="AE13" s="41">
        <f>SUM(V13:Y13)</f>
        <v/>
      </c>
      <c r="AF13" s="41">
        <f>AC13+AD13+AE13</f>
        <v/>
      </c>
      <c r="AG13" s="41" t="n"/>
    </row>
    <row r="14" hidden="1" ht="15.75" customHeight="1" s="259">
      <c r="A14" s="66" t="n">
        <v>45138</v>
      </c>
      <c r="B14" s="2" t="n">
        <v>1.32</v>
      </c>
      <c r="C14" s="2" t="n">
        <v>2</v>
      </c>
      <c r="D14" s="2" t="n">
        <v>1.06</v>
      </c>
      <c r="E14" s="2" t="n">
        <v>1.52</v>
      </c>
      <c r="F14" s="2" t="n">
        <v>28.02</v>
      </c>
      <c r="G14" s="2" t="n">
        <v>0</v>
      </c>
      <c r="H14" s="2" t="n">
        <v>0</v>
      </c>
      <c r="I14" s="2" t="n">
        <v>0.58</v>
      </c>
      <c r="J14" s="2" t="n">
        <v>0.04</v>
      </c>
      <c r="K14" s="2" t="n">
        <v>0</v>
      </c>
      <c r="L14" s="2" t="n">
        <v>0.08</v>
      </c>
      <c r="M14" s="2" t="n">
        <v>0.04</v>
      </c>
      <c r="N14" s="2" t="n">
        <v>0.86</v>
      </c>
      <c r="O14" s="2">
        <f>SUM(B14:N14)</f>
        <v/>
      </c>
      <c r="Q14" s="41">
        <f>B14/$O14</f>
        <v/>
      </c>
      <c r="R14" s="41">
        <f>C14/$O14</f>
        <v/>
      </c>
      <c r="S14" s="41">
        <f>D14/$O14</f>
        <v/>
      </c>
      <c r="T14" s="41">
        <f>E14/$O14</f>
        <v/>
      </c>
      <c r="U14" s="41">
        <f>F14/$O14</f>
        <v/>
      </c>
      <c r="V14" s="41">
        <f>G14/$O14</f>
        <v/>
      </c>
      <c r="W14" s="41">
        <f>H14/$O14</f>
        <v/>
      </c>
      <c r="X14" s="41">
        <f>I14/$O14</f>
        <v/>
      </c>
      <c r="Y14" s="41">
        <f>J14/$O14</f>
        <v/>
      </c>
      <c r="Z14" s="41">
        <f>K14/$O14</f>
        <v/>
      </c>
      <c r="AA14" s="41">
        <f>L14/$O14</f>
        <v/>
      </c>
      <c r="AB14" s="41">
        <f>M14/$O14</f>
        <v/>
      </c>
      <c r="AC14" s="41">
        <f>N14/$O14</f>
        <v/>
      </c>
      <c r="AD14" s="41">
        <f>SUM(Q14:T14)</f>
        <v/>
      </c>
      <c r="AE14" s="41">
        <f>SUM(V14:Y14)</f>
        <v/>
      </c>
      <c r="AF14" s="41">
        <f>AC14+AD14+AE14</f>
        <v/>
      </c>
      <c r="AG14" s="41" t="n"/>
    </row>
    <row r="15" hidden="1" ht="15.75" customHeight="1" s="259">
      <c r="A15" s="66" t="n">
        <v>45171</v>
      </c>
      <c r="B15" s="2" t="n">
        <v>0.06</v>
      </c>
      <c r="C15" s="2" t="n">
        <v>1</v>
      </c>
      <c r="D15" s="2" t="n">
        <v>1.02</v>
      </c>
      <c r="E15" s="2" t="n">
        <v>0.88</v>
      </c>
      <c r="F15" s="2" t="n">
        <v>19.77</v>
      </c>
      <c r="G15" s="2" t="n">
        <v>0</v>
      </c>
      <c r="H15" s="2" t="n">
        <v>0</v>
      </c>
      <c r="I15" s="2" t="n">
        <v>0.26</v>
      </c>
      <c r="J15" s="2" t="n">
        <v>0.06</v>
      </c>
      <c r="K15" s="2" t="n">
        <v>0</v>
      </c>
      <c r="L15" s="2" t="n">
        <v>0</v>
      </c>
      <c r="M15" s="2" t="n">
        <v>0.04</v>
      </c>
      <c r="N15" s="2" t="n">
        <v>0.76</v>
      </c>
      <c r="O15">
        <f>SUM(B15:N15)</f>
        <v/>
      </c>
      <c r="Q15" s="41">
        <f>B15/$O15</f>
        <v/>
      </c>
      <c r="R15" s="41">
        <f>C15/$O15</f>
        <v/>
      </c>
      <c r="S15" s="41">
        <f>D15/$O15</f>
        <v/>
      </c>
      <c r="T15" s="41">
        <f>E15/$O15</f>
        <v/>
      </c>
      <c r="U15" s="41">
        <f>F15/$O15</f>
        <v/>
      </c>
      <c r="V15" s="41">
        <f>G15/$O15</f>
        <v/>
      </c>
      <c r="W15" s="41">
        <f>H15/$O15</f>
        <v/>
      </c>
      <c r="X15" s="41">
        <f>I15/$O15</f>
        <v/>
      </c>
      <c r="Y15" s="41">
        <f>J15/$O15</f>
        <v/>
      </c>
      <c r="Z15" s="41">
        <f>K15/$O15</f>
        <v/>
      </c>
      <c r="AA15" s="41">
        <f>L15/$O15</f>
        <v/>
      </c>
      <c r="AB15" s="41">
        <f>M15/$O15</f>
        <v/>
      </c>
      <c r="AC15" s="41">
        <f>N15/$O15</f>
        <v/>
      </c>
      <c r="AD15" s="41">
        <f>SUM(Q15:T15)</f>
        <v/>
      </c>
      <c r="AE15" s="41">
        <f>SUM(V15:Y15)</f>
        <v/>
      </c>
      <c r="AF15" s="41">
        <f>AC15+AD15+AE15</f>
        <v/>
      </c>
      <c r="AG15" s="41" t="n"/>
    </row>
    <row r="16" hidden="1" ht="15.75" customHeight="1" s="259">
      <c r="A16" s="66" t="n">
        <v>45188</v>
      </c>
      <c r="B16" s="2" t="n">
        <v>0.32</v>
      </c>
      <c r="C16" s="2" t="n">
        <v>0.54</v>
      </c>
      <c r="D16" s="2" t="n">
        <v>0.6</v>
      </c>
      <c r="E16" s="2" t="n">
        <v>0.68</v>
      </c>
      <c r="F16" s="2" t="n">
        <v>19.82</v>
      </c>
      <c r="G16" s="2" t="n">
        <v>0</v>
      </c>
      <c r="H16" s="2" t="n">
        <v>0</v>
      </c>
      <c r="I16" s="2" t="n">
        <v>0.22</v>
      </c>
      <c r="J16" s="2" t="n">
        <v>0.02</v>
      </c>
      <c r="K16" s="2" t="n">
        <v>0</v>
      </c>
      <c r="L16" s="2" t="n">
        <v>0</v>
      </c>
      <c r="M16" s="2" t="n">
        <v>0</v>
      </c>
      <c r="N16" s="2" t="n">
        <v>0.58</v>
      </c>
      <c r="O16">
        <f>SUM(B16:N16)</f>
        <v/>
      </c>
      <c r="Q16" s="41">
        <f>B16/$O16</f>
        <v/>
      </c>
      <c r="R16" s="41">
        <f>C16/$O16</f>
        <v/>
      </c>
      <c r="S16" s="41">
        <f>D16/$O16</f>
        <v/>
      </c>
      <c r="T16" s="41">
        <f>E16/$O16</f>
        <v/>
      </c>
      <c r="U16" s="41">
        <f>F16/$O16</f>
        <v/>
      </c>
      <c r="V16" s="41">
        <f>G16/$O16</f>
        <v/>
      </c>
      <c r="W16" s="41">
        <f>H16/$O16</f>
        <v/>
      </c>
      <c r="X16" s="41">
        <f>I16/$O16</f>
        <v/>
      </c>
      <c r="Y16" s="41">
        <f>J16/$O16</f>
        <v/>
      </c>
      <c r="Z16" s="41">
        <f>K16/$O16</f>
        <v/>
      </c>
      <c r="AA16" s="41">
        <f>L16/$O16</f>
        <v/>
      </c>
      <c r="AB16" s="41">
        <f>M16/$O16</f>
        <v/>
      </c>
      <c r="AC16" s="41">
        <f>N16/$O16</f>
        <v/>
      </c>
      <c r="AD16" s="41">
        <f>SUM(Q16:T16)</f>
        <v/>
      </c>
      <c r="AE16" s="41">
        <f>SUM(V16:Y16)</f>
        <v/>
      </c>
      <c r="AF16" s="41">
        <f>AC16+AD16+AE16</f>
        <v/>
      </c>
      <c r="AG16" s="41" t="n"/>
    </row>
    <row r="17" hidden="1" ht="15.75" customHeight="1" s="259">
      <c r="A17" s="66" t="n">
        <v>45230</v>
      </c>
      <c r="B17" s="2" t="n">
        <v>0.44</v>
      </c>
      <c r="C17" s="2" t="n">
        <v>0.9</v>
      </c>
      <c r="D17" s="2" t="n">
        <v>0.38</v>
      </c>
      <c r="E17" s="2" t="n">
        <v>1.12</v>
      </c>
      <c r="F17" s="2" t="n">
        <v>21.4</v>
      </c>
      <c r="G17" s="2" t="n">
        <v>0.04</v>
      </c>
      <c r="H17" s="2" t="n">
        <v>0</v>
      </c>
      <c r="I17" s="2" t="n">
        <v>0.32</v>
      </c>
      <c r="J17" s="2" t="n">
        <v>0.06</v>
      </c>
      <c r="K17" s="2" t="n">
        <v>0</v>
      </c>
      <c r="L17" s="2" t="n">
        <v>0.04</v>
      </c>
      <c r="M17" s="2" t="n">
        <v>0</v>
      </c>
      <c r="N17" s="2" t="n">
        <v>0.58</v>
      </c>
      <c r="O17">
        <f>SUM(B17:N17)</f>
        <v/>
      </c>
      <c r="Q17" s="41">
        <f>B17/$O17</f>
        <v/>
      </c>
      <c r="R17" s="41">
        <f>C17/$O17</f>
        <v/>
      </c>
      <c r="S17" s="41">
        <f>D17/$O17</f>
        <v/>
      </c>
      <c r="T17" s="41">
        <f>E17/$O17</f>
        <v/>
      </c>
      <c r="U17" s="41">
        <f>F17/$O17</f>
        <v/>
      </c>
      <c r="V17" s="41">
        <f>G17/$O17</f>
        <v/>
      </c>
      <c r="W17" s="41">
        <f>H17/$O17</f>
        <v/>
      </c>
      <c r="X17" s="41">
        <f>I17/$O17</f>
        <v/>
      </c>
      <c r="Y17" s="41">
        <f>J17/$O17</f>
        <v/>
      </c>
      <c r="Z17" s="41">
        <f>K17/$O17</f>
        <v/>
      </c>
      <c r="AA17" s="41">
        <f>L17/$O17</f>
        <v/>
      </c>
      <c r="AB17" s="41">
        <f>M17/$O17</f>
        <v/>
      </c>
      <c r="AC17" s="41">
        <f>N17/$O17</f>
        <v/>
      </c>
      <c r="AD17" s="41">
        <f>SUM(Q17:T17)</f>
        <v/>
      </c>
      <c r="AE17" s="41">
        <f>SUM(V17:Y17)</f>
        <v/>
      </c>
      <c r="AF17" s="41">
        <f>AC17+AD17+AE17</f>
        <v/>
      </c>
      <c r="AG17" s="41" t="n"/>
    </row>
    <row r="18" hidden="1" ht="15.75" customHeight="1" s="259">
      <c r="A18" s="66" t="n">
        <v>45286</v>
      </c>
      <c r="B18" s="2" t="n">
        <v>0.16</v>
      </c>
      <c r="C18" s="2" t="n">
        <v>0.6</v>
      </c>
      <c r="D18" s="2" t="n">
        <v>0.5600000000000001</v>
      </c>
      <c r="E18" s="2" t="n">
        <v>0.5</v>
      </c>
      <c r="F18" s="2" t="n">
        <v>26.92</v>
      </c>
      <c r="G18" s="2" t="n">
        <v>0.04</v>
      </c>
      <c r="H18" s="2" t="n">
        <v>0</v>
      </c>
      <c r="I18" s="2" t="n">
        <v>0.58</v>
      </c>
      <c r="J18" s="2" t="n">
        <v>0.04</v>
      </c>
      <c r="K18" s="2" t="n">
        <v>0.06</v>
      </c>
      <c r="L18" s="2" t="n">
        <v>0</v>
      </c>
      <c r="M18" s="2" t="n">
        <v>0</v>
      </c>
      <c r="N18" s="2" t="n">
        <v>0.72</v>
      </c>
      <c r="O18">
        <f>SUM(B18:N18)</f>
        <v/>
      </c>
      <c r="Q18" s="41">
        <f>B18/$O18</f>
        <v/>
      </c>
      <c r="R18" s="41">
        <f>C18/$O18</f>
        <v/>
      </c>
      <c r="S18" s="41">
        <f>D18/$O18</f>
        <v/>
      </c>
      <c r="T18" s="41">
        <f>E18/$O18</f>
        <v/>
      </c>
      <c r="U18" s="41">
        <f>F18/$O18</f>
        <v/>
      </c>
      <c r="V18" s="41">
        <f>G18/$O18</f>
        <v/>
      </c>
      <c r="W18" s="41">
        <f>H18/$O18</f>
        <v/>
      </c>
      <c r="X18" s="41">
        <f>I18/$O18</f>
        <v/>
      </c>
      <c r="Y18" s="41">
        <f>J18/$O18</f>
        <v/>
      </c>
      <c r="Z18" s="41">
        <f>K18/$O18</f>
        <v/>
      </c>
      <c r="AA18" s="41">
        <f>L18/$O18</f>
        <v/>
      </c>
      <c r="AB18" s="41">
        <f>M18/$O18</f>
        <v/>
      </c>
      <c r="AC18" s="41">
        <f>N18/$O18</f>
        <v/>
      </c>
      <c r="AD18" s="41">
        <f>SUM(Q18:T18)</f>
        <v/>
      </c>
      <c r="AE18" s="41">
        <f>SUM(V18:Y18)</f>
        <v/>
      </c>
      <c r="AF18" s="41">
        <f>AC18+AD18+AE18</f>
        <v/>
      </c>
      <c r="AG18" s="41" t="n"/>
    </row>
    <row r="19" hidden="1" ht="15.75" customHeight="1" s="259">
      <c r="A19" s="64" t="n">
        <v>45394</v>
      </c>
      <c r="B19" s="2" t="n">
        <v>0.3</v>
      </c>
      <c r="C19" s="2" t="n">
        <v>0.22</v>
      </c>
      <c r="D19" s="2" t="n">
        <v>0.36</v>
      </c>
      <c r="E19" s="2" t="n">
        <v>0.36</v>
      </c>
      <c r="F19" s="2" t="n">
        <v>6.28</v>
      </c>
      <c r="G19" s="2" t="n">
        <v>0.12</v>
      </c>
      <c r="H19" s="2" t="n">
        <v>0</v>
      </c>
      <c r="I19" s="2" t="n">
        <v>0</v>
      </c>
      <c r="J19" s="2" t="n">
        <v>0</v>
      </c>
      <c r="K19" s="2" t="n">
        <v>0</v>
      </c>
      <c r="L19" s="2" t="n">
        <v>0.02</v>
      </c>
      <c r="N19" s="2" t="n">
        <v>1.2</v>
      </c>
      <c r="O19">
        <f>SUM(B19:N19)</f>
        <v/>
      </c>
      <c r="Q19" s="41">
        <f>B19/$O19</f>
        <v/>
      </c>
      <c r="R19" s="41">
        <f>C19/$O19</f>
        <v/>
      </c>
      <c r="S19" s="41">
        <f>D19/$O19</f>
        <v/>
      </c>
      <c r="T19" s="41">
        <f>E19/$O19</f>
        <v/>
      </c>
      <c r="U19" s="41">
        <f>F19/$O19</f>
        <v/>
      </c>
      <c r="V19" s="41">
        <f>G19/$O19</f>
        <v/>
      </c>
      <c r="W19" s="41">
        <f>H19/$O19</f>
        <v/>
      </c>
      <c r="X19" s="41">
        <f>I19/$O19</f>
        <v/>
      </c>
      <c r="Y19" s="41">
        <f>J19/$O19</f>
        <v/>
      </c>
      <c r="Z19" s="41">
        <f>K19/$O19</f>
        <v/>
      </c>
      <c r="AA19" s="41">
        <f>L19/$O19</f>
        <v/>
      </c>
      <c r="AB19" s="41">
        <f>M19/$O19</f>
        <v/>
      </c>
      <c r="AC19" s="41">
        <f>N19/$O19</f>
        <v/>
      </c>
      <c r="AD19" s="41">
        <f>SUM(Q19:T19)</f>
        <v/>
      </c>
      <c r="AE19" s="41">
        <f>SUM(V19:Y19)</f>
        <v/>
      </c>
      <c r="AF19" s="41">
        <f>AC19+AD19+AE19</f>
        <v/>
      </c>
      <c r="AG19" s="41">
        <f>SUM(AC19,AE19)</f>
        <v/>
      </c>
      <c r="AH19">
        <f>YEAR(A19)</f>
        <v/>
      </c>
      <c r="AI19">
        <f>MONTH(A19)</f>
        <v/>
      </c>
      <c r="AJ19" t="n">
        <v>1</v>
      </c>
    </row>
    <row r="20" hidden="1" ht="15.75" customHeight="1" s="259">
      <c r="A20" s="66" t="n">
        <v>45398</v>
      </c>
      <c r="B20" s="2" t="n">
        <v>0.16</v>
      </c>
      <c r="C20" s="2" t="n">
        <v>0.26</v>
      </c>
      <c r="D20" s="2" t="n">
        <v>0.98</v>
      </c>
      <c r="E20" s="2" t="n">
        <v>0.88</v>
      </c>
      <c r="F20" s="2" t="n">
        <v>15.96</v>
      </c>
      <c r="G20" s="2" t="n">
        <v>0.36</v>
      </c>
      <c r="H20" s="2" t="n">
        <v>0</v>
      </c>
      <c r="I20" s="2" t="n">
        <v>0.02</v>
      </c>
      <c r="J20" s="2" t="n">
        <v>0</v>
      </c>
      <c r="K20" s="2" t="n">
        <v>0</v>
      </c>
      <c r="L20" s="2" t="n">
        <v>0.02</v>
      </c>
      <c r="M20" s="2" t="n">
        <v>0</v>
      </c>
      <c r="N20" s="2" t="n">
        <v>1</v>
      </c>
      <c r="O20">
        <f>SUM(B20:N20)</f>
        <v/>
      </c>
      <c r="Q20" s="41">
        <f>B20/$O20</f>
        <v/>
      </c>
      <c r="R20" s="41">
        <f>C20/$O20</f>
        <v/>
      </c>
      <c r="S20" s="41">
        <f>D20/$O20</f>
        <v/>
      </c>
      <c r="T20" s="41">
        <f>E20/$O20</f>
        <v/>
      </c>
      <c r="U20" s="41">
        <f>F20/$O20</f>
        <v/>
      </c>
      <c r="V20" s="41">
        <f>G20/$O20</f>
        <v/>
      </c>
      <c r="W20" s="41">
        <f>H20/$O20</f>
        <v/>
      </c>
      <c r="X20" s="41">
        <f>I20/$O20</f>
        <v/>
      </c>
      <c r="Y20" s="41">
        <f>J20/$O20</f>
        <v/>
      </c>
      <c r="Z20" s="41">
        <f>K20/$O20</f>
        <v/>
      </c>
      <c r="AA20" s="41">
        <f>L20/$O20</f>
        <v/>
      </c>
      <c r="AB20" s="41">
        <f>M20/$O20</f>
        <v/>
      </c>
      <c r="AC20" s="41">
        <f>N20/$O20</f>
        <v/>
      </c>
      <c r="AD20" s="41">
        <f>SUM(Q20:T20)</f>
        <v/>
      </c>
      <c r="AE20" s="41">
        <f>SUM(V20:Y20)</f>
        <v/>
      </c>
      <c r="AF20" s="41">
        <f>AC20+AD20+AE20</f>
        <v/>
      </c>
      <c r="AG20" s="41">
        <f>SUM(AC20,AE20)</f>
        <v/>
      </c>
      <c r="AH20">
        <f>YEAR(A20)</f>
        <v/>
      </c>
      <c r="AI20">
        <f>MONTH(A20)</f>
        <v/>
      </c>
      <c r="AJ20">
        <f>AJ19+1</f>
        <v/>
      </c>
    </row>
    <row r="21" hidden="1" ht="15.75" customHeight="1" s="259">
      <c r="A21" s="61" t="n">
        <v>45404</v>
      </c>
      <c r="B21" s="2" t="n">
        <v>0.14</v>
      </c>
      <c r="C21" s="2" t="n">
        <v>0.18</v>
      </c>
      <c r="D21" s="2" t="n">
        <v>0.9</v>
      </c>
      <c r="E21" s="2" t="n">
        <v>1.24</v>
      </c>
      <c r="F21" s="2" t="n">
        <v>9.539999999999999</v>
      </c>
      <c r="G21" s="2" t="n">
        <v>0.12</v>
      </c>
      <c r="H21" s="2" t="n">
        <v>0</v>
      </c>
      <c r="I21" s="2" t="n">
        <v>0.02</v>
      </c>
      <c r="J21" s="2" t="n">
        <v>0.06</v>
      </c>
      <c r="K21" s="2" t="n">
        <v>0</v>
      </c>
      <c r="L21" s="2" t="n">
        <v>0.02</v>
      </c>
      <c r="M21" s="2" t="n">
        <v>0</v>
      </c>
      <c r="N21" s="2" t="n">
        <v>1.1</v>
      </c>
      <c r="O21">
        <f>SUM(B21:N21)</f>
        <v/>
      </c>
      <c r="Q21" s="41">
        <f>B21/$O21</f>
        <v/>
      </c>
      <c r="R21" s="41">
        <f>C21/$O21</f>
        <v/>
      </c>
      <c r="S21" s="41">
        <f>D21/$O21</f>
        <v/>
      </c>
      <c r="T21" s="41">
        <f>E21/$O21</f>
        <v/>
      </c>
      <c r="U21" s="41">
        <f>F21/$O21</f>
        <v/>
      </c>
      <c r="V21" s="41">
        <f>G21/$O21</f>
        <v/>
      </c>
      <c r="W21" s="41">
        <f>H21/$O21</f>
        <v/>
      </c>
      <c r="X21" s="41">
        <f>I21/$O21</f>
        <v/>
      </c>
      <c r="Y21" s="41">
        <f>J21/$O21</f>
        <v/>
      </c>
      <c r="Z21" s="41">
        <f>K21/$O21</f>
        <v/>
      </c>
      <c r="AA21" s="41">
        <f>L21/$O21</f>
        <v/>
      </c>
      <c r="AB21" s="41">
        <f>M21/$O21</f>
        <v/>
      </c>
      <c r="AC21" s="41">
        <f>N21/$O21</f>
        <v/>
      </c>
      <c r="AD21" s="41">
        <f>SUM(Q21:T21)</f>
        <v/>
      </c>
      <c r="AE21" s="41">
        <f>SUM(V21:Y21)</f>
        <v/>
      </c>
      <c r="AF21" s="41">
        <f>AC21+AD21+AE21</f>
        <v/>
      </c>
      <c r="AG21" s="41">
        <f>SUM(AC21,AE21)</f>
        <v/>
      </c>
      <c r="AH21">
        <f>YEAR(A21)</f>
        <v/>
      </c>
      <c r="AI21">
        <f>MONTH(A21)</f>
        <v/>
      </c>
      <c r="AJ21">
        <f>AJ20+1</f>
        <v/>
      </c>
    </row>
    <row r="22" hidden="1" ht="15.75" customHeight="1" s="259">
      <c r="A22" s="64" t="n">
        <v>45412</v>
      </c>
      <c r="B22" s="2" t="n">
        <v>0.82</v>
      </c>
      <c r="C22" s="2" t="n">
        <v>0.68</v>
      </c>
      <c r="D22" s="2" t="n">
        <v>1.18</v>
      </c>
      <c r="E22" s="2" t="n">
        <v>1.66</v>
      </c>
      <c r="F22" s="2" t="n">
        <v>19.04</v>
      </c>
      <c r="G22" s="2" t="n">
        <v>0.28</v>
      </c>
      <c r="H22" s="2" t="n">
        <v>0</v>
      </c>
      <c r="I22" s="2" t="n">
        <v>0.08</v>
      </c>
      <c r="J22" s="2" t="n">
        <v>0</v>
      </c>
      <c r="K22" s="2" t="n">
        <v>0</v>
      </c>
      <c r="L22" s="2" t="n">
        <v>0.06</v>
      </c>
      <c r="M22" s="2" t="n">
        <v>0</v>
      </c>
      <c r="N22" s="2" t="n">
        <v>2.84</v>
      </c>
      <c r="O22">
        <f>SUM(B22:N22)</f>
        <v/>
      </c>
      <c r="Q22" s="41">
        <f>B22/$O22</f>
        <v/>
      </c>
      <c r="R22" s="41">
        <f>C22/$O22</f>
        <v/>
      </c>
      <c r="S22" s="41">
        <f>D22/$O22</f>
        <v/>
      </c>
      <c r="T22" s="41">
        <f>E22/$O22</f>
        <v/>
      </c>
      <c r="U22" s="41">
        <f>F22/$O22</f>
        <v/>
      </c>
      <c r="V22" s="41">
        <f>G22/$O22</f>
        <v/>
      </c>
      <c r="W22" s="41">
        <f>H22/$O22</f>
        <v/>
      </c>
      <c r="X22" s="41">
        <f>I22/$O22</f>
        <v/>
      </c>
      <c r="Y22" s="41">
        <f>J22/$O22</f>
        <v/>
      </c>
      <c r="Z22" s="41">
        <f>K22/$O22</f>
        <v/>
      </c>
      <c r="AA22" s="41">
        <f>L22/$O22</f>
        <v/>
      </c>
      <c r="AB22" s="41">
        <f>M22/$O22</f>
        <v/>
      </c>
      <c r="AC22" s="41">
        <f>N22/$O22</f>
        <v/>
      </c>
      <c r="AD22" s="41">
        <f>SUM(Q22:T22)</f>
        <v/>
      </c>
      <c r="AE22" s="41">
        <f>SUM(V22:Y22)</f>
        <v/>
      </c>
      <c r="AF22" s="41">
        <f>AC22+AD22+AE22</f>
        <v/>
      </c>
      <c r="AG22" s="41">
        <f>SUM(AC22,AE22)</f>
        <v/>
      </c>
      <c r="AH22">
        <f>YEAR(A22)</f>
        <v/>
      </c>
      <c r="AI22">
        <f>MONTH(A22)</f>
        <v/>
      </c>
      <c r="AJ22">
        <f>AJ21+1</f>
        <v/>
      </c>
    </row>
    <row r="23" ht="15.75" customHeight="1" s="259">
      <c r="A23" s="61" t="n"/>
      <c r="O23">
        <f>SUM(B23:N23)</f>
        <v/>
      </c>
      <c r="Q23" s="41">
        <f>B23/$O23</f>
        <v/>
      </c>
      <c r="R23" s="41">
        <f>C23/$O23</f>
        <v/>
      </c>
      <c r="S23" s="41">
        <f>D23/$O23</f>
        <v/>
      </c>
      <c r="T23" s="41">
        <f>E23/$O23</f>
        <v/>
      </c>
      <c r="U23" s="41">
        <f>F23/$O23</f>
        <v/>
      </c>
      <c r="V23" s="41">
        <f>G23/$O23</f>
        <v/>
      </c>
      <c r="W23" s="41">
        <f>H23/$O23</f>
        <v/>
      </c>
      <c r="X23" s="41">
        <f>I23/$O23</f>
        <v/>
      </c>
      <c r="Y23" s="41">
        <f>J23/$O23</f>
        <v/>
      </c>
      <c r="Z23" s="41">
        <f>K23/$O23</f>
        <v/>
      </c>
      <c r="AA23" s="41">
        <f>L23/$O23</f>
        <v/>
      </c>
      <c r="AB23" s="41">
        <f>M23/$O23</f>
        <v/>
      </c>
      <c r="AC23" s="41">
        <f>N23/$O23</f>
        <v/>
      </c>
      <c r="AD23" s="41">
        <f>SUM(Q23:T23)</f>
        <v/>
      </c>
      <c r="AE23" s="41">
        <f>SUM(V23:Y23)</f>
        <v/>
      </c>
      <c r="AF23" s="41">
        <f>AC23+AD23+AE23</f>
        <v/>
      </c>
      <c r="AG23" s="41">
        <f>SUM(AC23,AE23)</f>
        <v/>
      </c>
      <c r="AH23">
        <f>YEAR(A23)</f>
        <v/>
      </c>
      <c r="AI23">
        <f>MONTH(A23)</f>
        <v/>
      </c>
      <c r="AJ23">
        <f>AJ22+1</f>
        <v/>
      </c>
    </row>
    <row r="24" ht="15.75" customHeight="1" s="259">
      <c r="A24" s="29" t="n"/>
      <c r="O24">
        <f>SUM(B24:N24)</f>
        <v/>
      </c>
      <c r="Q24" s="41">
        <f>B24/$O24</f>
        <v/>
      </c>
      <c r="R24" s="41">
        <f>C24/$O24</f>
        <v/>
      </c>
      <c r="S24" s="41">
        <f>D24/$O24</f>
        <v/>
      </c>
      <c r="T24" s="41">
        <f>E24/$O24</f>
        <v/>
      </c>
      <c r="U24" s="41">
        <f>F24/$O24</f>
        <v/>
      </c>
      <c r="V24" s="41">
        <f>G24/$O24</f>
        <v/>
      </c>
      <c r="W24" s="41">
        <f>H24/$O24</f>
        <v/>
      </c>
      <c r="X24" s="41">
        <f>I24/$O24</f>
        <v/>
      </c>
      <c r="Y24" s="41">
        <f>J24/$O24</f>
        <v/>
      </c>
      <c r="Z24" s="41">
        <f>K24/$O24</f>
        <v/>
      </c>
      <c r="AA24" s="41">
        <f>L24/$O24</f>
        <v/>
      </c>
      <c r="AB24" s="41">
        <f>M24/$O24</f>
        <v/>
      </c>
      <c r="AC24" s="41">
        <f>N24/$O24</f>
        <v/>
      </c>
      <c r="AD24" s="41">
        <f>SUM(Q24:T24)</f>
        <v/>
      </c>
      <c r="AE24" s="41">
        <f>SUM(V24:Y24)</f>
        <v/>
      </c>
      <c r="AF24" s="41">
        <f>AC24+AD24+AE24</f>
        <v/>
      </c>
      <c r="AG24" s="41">
        <f>SUM(AC24,AE24)</f>
        <v/>
      </c>
      <c r="AH24">
        <f>YEAR(A24)</f>
        <v/>
      </c>
      <c r="AI24">
        <f>MONTH(A24)</f>
        <v/>
      </c>
      <c r="AJ24">
        <f>AJ23+1</f>
        <v/>
      </c>
    </row>
    <row r="25" ht="15.75" customHeight="1" s="259">
      <c r="A25" s="29" t="n"/>
      <c r="O25">
        <f>SUM(B25:N25)</f>
        <v/>
      </c>
      <c r="Q25" s="41">
        <f>B25/$O25</f>
        <v/>
      </c>
      <c r="R25" s="41">
        <f>C25/$O25</f>
        <v/>
      </c>
      <c r="S25" s="41">
        <f>D25/$O25</f>
        <v/>
      </c>
      <c r="T25" s="41">
        <f>E25/$O25</f>
        <v/>
      </c>
      <c r="U25" s="41">
        <f>F25/$O25</f>
        <v/>
      </c>
      <c r="V25" s="41">
        <f>G25/$O25</f>
        <v/>
      </c>
      <c r="W25" s="41">
        <f>H25/$O25</f>
        <v/>
      </c>
      <c r="X25" s="41">
        <f>I25/$O25</f>
        <v/>
      </c>
      <c r="Y25" s="41">
        <f>J25/$O25</f>
        <v/>
      </c>
      <c r="Z25" s="41">
        <f>K25/$O25</f>
        <v/>
      </c>
      <c r="AA25" s="41">
        <f>L25/$O25</f>
        <v/>
      </c>
      <c r="AB25" s="41">
        <f>M25/$O25</f>
        <v/>
      </c>
      <c r="AC25" s="41">
        <f>N25/$O25</f>
        <v/>
      </c>
      <c r="AD25" s="41">
        <f>SUM(Q25:T25)</f>
        <v/>
      </c>
      <c r="AE25" s="41">
        <f>SUM(V25:Y25)</f>
        <v/>
      </c>
      <c r="AF25" s="41">
        <f>AC25+AD25+AE25</f>
        <v/>
      </c>
      <c r="AG25" s="41">
        <f>SUM(AC25,AE25)</f>
        <v/>
      </c>
      <c r="AH25">
        <f>YEAR(A25)</f>
        <v/>
      </c>
      <c r="AI25">
        <f>MONTH(A25)</f>
        <v/>
      </c>
      <c r="AJ25">
        <f>AJ24+1</f>
        <v/>
      </c>
    </row>
    <row r="26" ht="15.75" customHeight="1" s="259">
      <c r="A26" s="29" t="n"/>
      <c r="O26">
        <f>SUM(B26:N26)</f>
        <v/>
      </c>
      <c r="Q26" s="41">
        <f>B26/$O26</f>
        <v/>
      </c>
      <c r="R26" s="41">
        <f>C26/$O26</f>
        <v/>
      </c>
      <c r="S26" s="41">
        <f>D26/$O26</f>
        <v/>
      </c>
      <c r="T26" s="41">
        <f>E26/$O26</f>
        <v/>
      </c>
      <c r="U26" s="41">
        <f>F26/$O26</f>
        <v/>
      </c>
      <c r="V26" s="41">
        <f>G26/$O26</f>
        <v/>
      </c>
      <c r="W26" s="41">
        <f>H26/$O26</f>
        <v/>
      </c>
      <c r="X26" s="41">
        <f>I26/$O26</f>
        <v/>
      </c>
      <c r="Y26" s="41">
        <f>J26/$O26</f>
        <v/>
      </c>
      <c r="Z26" s="41">
        <f>K26/$O26</f>
        <v/>
      </c>
      <c r="AA26" s="41">
        <f>L26/$O26</f>
        <v/>
      </c>
      <c r="AB26" s="41">
        <f>M26/$O26</f>
        <v/>
      </c>
      <c r="AC26" s="41">
        <f>N26/$O26</f>
        <v/>
      </c>
      <c r="AD26" s="41">
        <f>SUM(Q26:T26)</f>
        <v/>
      </c>
      <c r="AE26" s="41">
        <f>SUM(V26:Y26)</f>
        <v/>
      </c>
      <c r="AF26" s="41">
        <f>AC26+AD26+AE26</f>
        <v/>
      </c>
      <c r="AG26" s="41">
        <f>SUM(AC26,AE26)</f>
        <v/>
      </c>
      <c r="AH26">
        <f>YEAR(A26)</f>
        <v/>
      </c>
      <c r="AI26">
        <f>MONTH(A26)</f>
        <v/>
      </c>
      <c r="AJ26">
        <f>AJ25+1</f>
        <v/>
      </c>
    </row>
    <row r="27" ht="15.75" customHeight="1" s="259">
      <c r="A27" s="29" t="n"/>
      <c r="O27">
        <f>SUM(B27:N27)</f>
        <v/>
      </c>
      <c r="Q27" s="41">
        <f>B27/$O27</f>
        <v/>
      </c>
      <c r="R27" s="41">
        <f>C27/$O27</f>
        <v/>
      </c>
      <c r="S27" s="41">
        <f>D27/$O27</f>
        <v/>
      </c>
      <c r="T27" s="41">
        <f>E27/$O27</f>
        <v/>
      </c>
      <c r="U27" s="41">
        <f>F27/$O27</f>
        <v/>
      </c>
      <c r="V27" s="41">
        <f>G27/$O27</f>
        <v/>
      </c>
      <c r="W27" s="41">
        <f>H27/$O27</f>
        <v/>
      </c>
      <c r="X27" s="41">
        <f>I27/$O27</f>
        <v/>
      </c>
      <c r="Y27" s="41">
        <f>J27/$O27</f>
        <v/>
      </c>
      <c r="Z27" s="41">
        <f>K27/$O27</f>
        <v/>
      </c>
      <c r="AA27" s="41">
        <f>L27/$O27</f>
        <v/>
      </c>
      <c r="AB27" s="41">
        <f>M27/$O27</f>
        <v/>
      </c>
      <c r="AC27" s="41">
        <f>N27/$O27</f>
        <v/>
      </c>
      <c r="AD27" s="41">
        <f>SUM(Q27:T27)</f>
        <v/>
      </c>
      <c r="AE27" s="41">
        <f>SUM(V27:Y27)</f>
        <v/>
      </c>
      <c r="AF27" s="41">
        <f>AC27+AD27+AE27</f>
        <v/>
      </c>
      <c r="AG27" s="41">
        <f>SUM(AC27,AE27)</f>
        <v/>
      </c>
      <c r="AH27">
        <f>YEAR(A27)</f>
        <v/>
      </c>
      <c r="AI27">
        <f>MONTH(A27)</f>
        <v/>
      </c>
      <c r="AJ27">
        <f>AJ26+1</f>
        <v/>
      </c>
    </row>
    <row r="28" ht="15.75" customHeight="1" s="259">
      <c r="A28" s="29" t="n"/>
      <c r="O28">
        <f>SUM(B28:N28)</f>
        <v/>
      </c>
      <c r="Q28" s="41">
        <f>B28/$O28</f>
        <v/>
      </c>
      <c r="R28" s="41">
        <f>C28/$O28</f>
        <v/>
      </c>
      <c r="S28" s="41">
        <f>D28/$O28</f>
        <v/>
      </c>
      <c r="T28" s="41">
        <f>E28/$O28</f>
        <v/>
      </c>
      <c r="U28" s="41">
        <f>F28/$O28</f>
        <v/>
      </c>
      <c r="V28" s="41">
        <f>G28/$O28</f>
        <v/>
      </c>
      <c r="W28" s="41">
        <f>H28/$O28</f>
        <v/>
      </c>
      <c r="X28" s="41">
        <f>I28/$O28</f>
        <v/>
      </c>
      <c r="Y28" s="41">
        <f>J28/$O28</f>
        <v/>
      </c>
      <c r="Z28" s="41">
        <f>K28/$O28</f>
        <v/>
      </c>
      <c r="AA28" s="41">
        <f>L28/$O28</f>
        <v/>
      </c>
      <c r="AB28" s="41">
        <f>M28/$O28</f>
        <v/>
      </c>
      <c r="AC28" s="41">
        <f>N28/$O28</f>
        <v/>
      </c>
      <c r="AD28" s="41">
        <f>SUM(Q28:T28)</f>
        <v/>
      </c>
      <c r="AE28" s="41">
        <f>SUM(V28:Y28)</f>
        <v/>
      </c>
      <c r="AF28" s="41">
        <f>AC28+AD28+AE28</f>
        <v/>
      </c>
      <c r="AG28" s="41">
        <f>SUM(AC28,AE28)</f>
        <v/>
      </c>
      <c r="AH28">
        <f>YEAR(A28)</f>
        <v/>
      </c>
      <c r="AI28">
        <f>MONTH(A28)</f>
        <v/>
      </c>
      <c r="AJ28">
        <f>AJ27+1</f>
        <v/>
      </c>
    </row>
    <row r="29" ht="15.75" customHeight="1" s="259">
      <c r="A29" s="29" t="n"/>
      <c r="O29">
        <f>SUM(B29:N29)</f>
        <v/>
      </c>
      <c r="Q29" s="41">
        <f>B29/$O29</f>
        <v/>
      </c>
      <c r="R29" s="41">
        <f>C29/$O29</f>
        <v/>
      </c>
      <c r="S29" s="41">
        <f>D29/$O29</f>
        <v/>
      </c>
      <c r="T29" s="41">
        <f>E29/$O29</f>
        <v/>
      </c>
      <c r="U29" s="41">
        <f>F29/$O29</f>
        <v/>
      </c>
      <c r="V29" s="41">
        <f>G29/$O29</f>
        <v/>
      </c>
      <c r="W29" s="41">
        <f>H29/$O29</f>
        <v/>
      </c>
      <c r="X29" s="41">
        <f>I29/$O29</f>
        <v/>
      </c>
      <c r="Y29" s="41">
        <f>J29/$O29</f>
        <v/>
      </c>
      <c r="Z29" s="41">
        <f>K29/$O29</f>
        <v/>
      </c>
      <c r="AA29" s="41">
        <f>L29/$O29</f>
        <v/>
      </c>
      <c r="AB29" s="41">
        <f>M29/$O29</f>
        <v/>
      </c>
      <c r="AC29" s="41">
        <f>N29/$O29</f>
        <v/>
      </c>
      <c r="AD29" s="41">
        <f>SUM(Q29:T29)</f>
        <v/>
      </c>
      <c r="AE29" s="41">
        <f>SUM(V29:Y29)</f>
        <v/>
      </c>
      <c r="AF29" s="41">
        <f>AC29+AD29+AE29</f>
        <v/>
      </c>
      <c r="AG29" s="41">
        <f>SUM(AC29,AE29)</f>
        <v/>
      </c>
      <c r="AH29">
        <f>YEAR(A29)</f>
        <v/>
      </c>
      <c r="AI29">
        <f>MONTH(A29)</f>
        <v/>
      </c>
      <c r="AJ29">
        <f>AJ28+1</f>
        <v/>
      </c>
    </row>
    <row r="30" ht="15.75" customHeight="1" s="259">
      <c r="A30" s="29" t="n"/>
      <c r="O30">
        <f>SUM(B30:N30)</f>
        <v/>
      </c>
      <c r="Q30" s="41">
        <f>B30/$O30</f>
        <v/>
      </c>
      <c r="R30" s="41">
        <f>C30/$O30</f>
        <v/>
      </c>
      <c r="S30" s="41">
        <f>D30/$O30</f>
        <v/>
      </c>
      <c r="T30" s="41">
        <f>E30/$O30</f>
        <v/>
      </c>
      <c r="U30" s="41">
        <f>F30/$O30</f>
        <v/>
      </c>
      <c r="V30" s="41">
        <f>G30/$O30</f>
        <v/>
      </c>
      <c r="W30" s="41">
        <f>H30/$O30</f>
        <v/>
      </c>
      <c r="X30" s="41">
        <f>I30/$O30</f>
        <v/>
      </c>
      <c r="Y30" s="41">
        <f>J30/$O30</f>
        <v/>
      </c>
      <c r="Z30" s="41">
        <f>K30/$O30</f>
        <v/>
      </c>
      <c r="AA30" s="41">
        <f>L30/$O30</f>
        <v/>
      </c>
      <c r="AB30" s="41">
        <f>M30/$O30</f>
        <v/>
      </c>
      <c r="AC30" s="41">
        <f>N30/$O30</f>
        <v/>
      </c>
      <c r="AD30" s="41">
        <f>SUM(Q30:T30)</f>
        <v/>
      </c>
      <c r="AE30" s="41">
        <f>SUM(V30:Y30)</f>
        <v/>
      </c>
      <c r="AF30" s="41">
        <f>AC30+AD30+AE30</f>
        <v/>
      </c>
      <c r="AG30" s="41">
        <f>SUM(AC30,AE30)</f>
        <v/>
      </c>
      <c r="AH30">
        <f>YEAR(A30)</f>
        <v/>
      </c>
      <c r="AI30">
        <f>MONTH(A30)</f>
        <v/>
      </c>
      <c r="AJ30">
        <f>AJ29+1</f>
        <v/>
      </c>
    </row>
    <row r="34" ht="15.75" customHeight="1" s="259">
      <c r="P34" s="38" t="inlineStr">
        <is>
          <t>ELA</t>
        </is>
      </c>
      <c r="Q34" s="46">
        <f>AVERAGE(Q2:Q22)</f>
        <v/>
      </c>
      <c r="R34" s="46">
        <f>AVERAGE(R2:R22)</f>
        <v/>
      </c>
      <c r="S34" s="46">
        <f>AVERAGE(S2:S22)</f>
        <v/>
      </c>
      <c r="T34" s="46">
        <f>AVERAGE(T2:T22)</f>
        <v/>
      </c>
      <c r="U34" s="48">
        <f>AVERAGE(U2:U22)</f>
        <v/>
      </c>
      <c r="V34" s="47">
        <f>AVERAGE(V2:V22)</f>
        <v/>
      </c>
      <c r="W34" s="47">
        <f>AVERAGE(W2:W22)</f>
        <v/>
      </c>
      <c r="X34" s="47">
        <f>AVERAGE(X2:X22)</f>
        <v/>
      </c>
      <c r="Y34" s="47">
        <f>AVERAGE(Y2:Y22)</f>
        <v/>
      </c>
      <c r="Z34" s="46">
        <f>AVERAGE(Z2:Z22)</f>
        <v/>
      </c>
      <c r="AA34" s="46">
        <f>AVERAGE(AA2:AA22)</f>
        <v/>
      </c>
      <c r="AB34" s="46">
        <f>AVERAGE(AB2:AB22)</f>
        <v/>
      </c>
      <c r="AC34" s="49">
        <f>AVERAGE(AC2:AC22)</f>
        <v/>
      </c>
      <c r="AD34" s="55">
        <f>AVERAGE(AD2:AD22)</f>
        <v/>
      </c>
      <c r="AE34" s="50">
        <f>AVERAGE(AE2:AE22)</f>
        <v/>
      </c>
      <c r="AF34" s="53">
        <f>AVERAGE(AF2:AF22)</f>
        <v/>
      </c>
    </row>
    <row r="35" ht="15.75" customHeight="1" s="259"/>
    <row r="36" ht="15.75" customHeight="1" s="259">
      <c r="P36" s="38" t="n">
        <v>2024</v>
      </c>
      <c r="Q36" s="91">
        <f>AVERAGE(Q19:Q22)</f>
        <v/>
      </c>
      <c r="R36" s="91">
        <f>AVERAGE(R19:R22)</f>
        <v/>
      </c>
      <c r="S36" s="91">
        <f>AVERAGE(S19:S22)</f>
        <v/>
      </c>
      <c r="T36" s="91">
        <f>AVERAGE(T19:T22)</f>
        <v/>
      </c>
      <c r="U36" s="91">
        <f>AVERAGE(U19:U22)</f>
        <v/>
      </c>
      <c r="V36" s="91">
        <f>AVERAGE(V19:V22)</f>
        <v/>
      </c>
      <c r="W36" s="91">
        <f>AVERAGE(W19:W22)</f>
        <v/>
      </c>
      <c r="X36" s="91">
        <f>AVERAGE(X19:X22)</f>
        <v/>
      </c>
      <c r="Y36" s="91">
        <f>AVERAGE(Y19:Y22)</f>
        <v/>
      </c>
      <c r="Z36" s="91">
        <f>AVERAGE(Z19:Z22)</f>
        <v/>
      </c>
      <c r="AA36" s="91">
        <f>AVERAGE(AA19:AA22)</f>
        <v/>
      </c>
      <c r="AB36" s="91">
        <f>AVERAGE(AB19:AB22)</f>
        <v/>
      </c>
      <c r="AC36" s="91">
        <f>AVERAGE(AC19:AC22)</f>
        <v/>
      </c>
      <c r="AD36" s="91">
        <f>AVERAGE(AD19:AD22)</f>
        <v/>
      </c>
      <c r="AE36" s="91">
        <f>AVERAGE(AE19:AE22)</f>
        <v/>
      </c>
      <c r="AF36" s="91">
        <f>AVERAGE(AF19:AF22)</f>
        <v/>
      </c>
    </row>
    <row r="37" ht="15.75" customHeight="1" s="259">
      <c r="P37" s="90" t="inlineStr">
        <is>
          <t>Janvier</t>
        </is>
      </c>
      <c r="Q37" s="98" t="inlineStr">
        <is>
          <t>/</t>
        </is>
      </c>
      <c r="R37" s="98" t="inlineStr">
        <is>
          <t>/</t>
        </is>
      </c>
      <c r="S37" s="98" t="inlineStr">
        <is>
          <t>/</t>
        </is>
      </c>
      <c r="T37" s="98" t="inlineStr">
        <is>
          <t>/</t>
        </is>
      </c>
      <c r="U37" s="98" t="inlineStr">
        <is>
          <t>/</t>
        </is>
      </c>
      <c r="V37" s="98" t="inlineStr">
        <is>
          <t>/</t>
        </is>
      </c>
      <c r="W37" s="98" t="inlineStr">
        <is>
          <t>/</t>
        </is>
      </c>
      <c r="X37" s="98" t="inlineStr">
        <is>
          <t>/</t>
        </is>
      </c>
      <c r="Y37" s="98" t="inlineStr">
        <is>
          <t>/</t>
        </is>
      </c>
      <c r="Z37" s="98" t="inlineStr">
        <is>
          <t>/</t>
        </is>
      </c>
      <c r="AA37" s="98" t="inlineStr">
        <is>
          <t>/</t>
        </is>
      </c>
      <c r="AB37" s="98" t="inlineStr">
        <is>
          <t>/</t>
        </is>
      </c>
      <c r="AC37" s="98" t="inlineStr">
        <is>
          <t>/</t>
        </is>
      </c>
      <c r="AD37" s="98" t="inlineStr">
        <is>
          <t>/</t>
        </is>
      </c>
      <c r="AE37" s="98" t="inlineStr">
        <is>
          <t>/</t>
        </is>
      </c>
      <c r="AF37" s="98" t="inlineStr">
        <is>
          <t>/</t>
        </is>
      </c>
    </row>
    <row r="38" ht="15.75" customHeight="1" s="259">
      <c r="P38" s="90" t="inlineStr">
        <is>
          <t>Février</t>
        </is>
      </c>
      <c r="Q38" s="98" t="inlineStr">
        <is>
          <t>/</t>
        </is>
      </c>
      <c r="R38" s="98" t="inlineStr">
        <is>
          <t>/</t>
        </is>
      </c>
      <c r="S38" s="98" t="inlineStr">
        <is>
          <t>/</t>
        </is>
      </c>
      <c r="T38" s="98" t="inlineStr">
        <is>
          <t>/</t>
        </is>
      </c>
      <c r="U38" s="98" t="inlineStr">
        <is>
          <t>/</t>
        </is>
      </c>
      <c r="V38" s="98" t="inlineStr">
        <is>
          <t>/</t>
        </is>
      </c>
      <c r="W38" s="98" t="inlineStr">
        <is>
          <t>/</t>
        </is>
      </c>
      <c r="X38" s="98" t="inlineStr">
        <is>
          <t>/</t>
        </is>
      </c>
      <c r="Y38" s="98" t="inlineStr">
        <is>
          <t>/</t>
        </is>
      </c>
      <c r="Z38" s="98" t="inlineStr">
        <is>
          <t>/</t>
        </is>
      </c>
      <c r="AA38" s="98" t="inlineStr">
        <is>
          <t>/</t>
        </is>
      </c>
      <c r="AB38" s="98" t="inlineStr">
        <is>
          <t>/</t>
        </is>
      </c>
      <c r="AC38" s="98" t="inlineStr">
        <is>
          <t>/</t>
        </is>
      </c>
      <c r="AD38" s="98" t="inlineStr">
        <is>
          <t>/</t>
        </is>
      </c>
      <c r="AE38" s="98" t="inlineStr">
        <is>
          <t>/</t>
        </is>
      </c>
      <c r="AF38" s="98" t="inlineStr">
        <is>
          <t>/</t>
        </is>
      </c>
    </row>
    <row r="39" ht="15.75" customHeight="1" s="259">
      <c r="P39" s="90" t="inlineStr">
        <is>
          <t>Mars</t>
        </is>
      </c>
    </row>
    <row r="40" ht="15.75" customHeight="1" s="259">
      <c r="P40" s="90" t="inlineStr">
        <is>
          <t>Avril</t>
        </is>
      </c>
      <c r="Q40" s="108">
        <f>AVERAGE(Q19:Q22)</f>
        <v/>
      </c>
      <c r="R40" s="108">
        <f>AVERAGE(R19:R22)</f>
        <v/>
      </c>
      <c r="S40" s="108">
        <f>AVERAGE(S19:S22)</f>
        <v/>
      </c>
      <c r="T40" s="108">
        <f>AVERAGE(T19:T22)</f>
        <v/>
      </c>
      <c r="U40" s="108">
        <f>AVERAGE(U19:U22)</f>
        <v/>
      </c>
      <c r="V40" s="108">
        <f>AVERAGE(V19:V22)</f>
        <v/>
      </c>
      <c r="W40" s="108">
        <f>AVERAGE(W19:W22)</f>
        <v/>
      </c>
      <c r="X40" s="108">
        <f>AVERAGE(X19:X22)</f>
        <v/>
      </c>
      <c r="Y40" s="108">
        <f>AVERAGE(Y19:Y22)</f>
        <v/>
      </c>
      <c r="Z40" s="108">
        <f>AVERAGE(Z19:Z22)</f>
        <v/>
      </c>
      <c r="AA40" s="108">
        <f>AVERAGE(AA19:AA22)</f>
        <v/>
      </c>
      <c r="AB40" s="108">
        <f>AVERAGE(AB19:AB22)</f>
        <v/>
      </c>
      <c r="AC40" s="108">
        <f>AVERAGE(AC19:AC22)</f>
        <v/>
      </c>
      <c r="AD40" s="108">
        <f>AVERAGE(AD19:AD22)</f>
        <v/>
      </c>
      <c r="AE40" s="108">
        <f>AVERAGE(AE19:AE22)</f>
        <v/>
      </c>
      <c r="AF40" s="108">
        <f>AVERAGE(AF19:AF22)</f>
        <v/>
      </c>
    </row>
    <row r="41" ht="15.75" customHeight="1" s="259">
      <c r="P41" s="90" t="inlineStr">
        <is>
          <t>Juin</t>
        </is>
      </c>
      <c r="Q41" s="98" t="inlineStr">
        <is>
          <t>/</t>
        </is>
      </c>
      <c r="R41" s="98" t="inlineStr">
        <is>
          <t>/</t>
        </is>
      </c>
      <c r="S41" s="98" t="inlineStr">
        <is>
          <t>/</t>
        </is>
      </c>
      <c r="T41" s="98" t="inlineStr">
        <is>
          <t>/</t>
        </is>
      </c>
      <c r="U41" s="98" t="inlineStr">
        <is>
          <t>/</t>
        </is>
      </c>
      <c r="V41" s="98" t="inlineStr">
        <is>
          <t>/</t>
        </is>
      </c>
      <c r="W41" s="98" t="inlineStr">
        <is>
          <t>/</t>
        </is>
      </c>
      <c r="X41" s="98" t="inlineStr">
        <is>
          <t>/</t>
        </is>
      </c>
      <c r="Y41" s="98" t="inlineStr">
        <is>
          <t>/</t>
        </is>
      </c>
      <c r="Z41" s="98" t="inlineStr">
        <is>
          <t>/</t>
        </is>
      </c>
      <c r="AA41" s="98" t="inlineStr">
        <is>
          <t>/</t>
        </is>
      </c>
      <c r="AB41" s="98" t="inlineStr">
        <is>
          <t>/</t>
        </is>
      </c>
      <c r="AC41" s="98" t="inlineStr">
        <is>
          <t>/</t>
        </is>
      </c>
      <c r="AD41" s="98" t="inlineStr">
        <is>
          <t>/</t>
        </is>
      </c>
      <c r="AE41" s="98" t="inlineStr">
        <is>
          <t>/</t>
        </is>
      </c>
      <c r="AF41" s="98" t="inlineStr">
        <is>
          <t>/</t>
        </is>
      </c>
    </row>
    <row r="42" ht="15.75" customHeight="1" s="259">
      <c r="P42" s="90" t="inlineStr">
        <is>
          <t>Juillet</t>
        </is>
      </c>
      <c r="Q42" s="98" t="inlineStr">
        <is>
          <t>/</t>
        </is>
      </c>
      <c r="R42" s="98" t="inlineStr">
        <is>
          <t>/</t>
        </is>
      </c>
      <c r="S42" s="98" t="inlineStr">
        <is>
          <t>/</t>
        </is>
      </c>
      <c r="T42" s="98" t="inlineStr">
        <is>
          <t>/</t>
        </is>
      </c>
      <c r="U42" s="98" t="inlineStr">
        <is>
          <t>/</t>
        </is>
      </c>
      <c r="V42" s="98" t="inlineStr">
        <is>
          <t>/</t>
        </is>
      </c>
      <c r="W42" s="98" t="inlineStr">
        <is>
          <t>/</t>
        </is>
      </c>
      <c r="X42" s="98" t="inlineStr">
        <is>
          <t>/</t>
        </is>
      </c>
      <c r="Y42" s="98" t="inlineStr">
        <is>
          <t>/</t>
        </is>
      </c>
      <c r="Z42" s="98" t="inlineStr">
        <is>
          <t>/</t>
        </is>
      </c>
      <c r="AA42" s="98" t="inlineStr">
        <is>
          <t>/</t>
        </is>
      </c>
      <c r="AB42" s="98" t="inlineStr">
        <is>
          <t>/</t>
        </is>
      </c>
      <c r="AC42" s="98" t="inlineStr">
        <is>
          <t>/</t>
        </is>
      </c>
      <c r="AD42" s="98" t="inlineStr">
        <is>
          <t>/</t>
        </is>
      </c>
      <c r="AE42" s="98" t="inlineStr">
        <is>
          <t>/</t>
        </is>
      </c>
      <c r="AF42" s="98" t="inlineStr">
        <is>
          <t>/</t>
        </is>
      </c>
    </row>
    <row r="43" ht="15.75" customHeight="1" s="259">
      <c r="P43" s="90" t="inlineStr">
        <is>
          <t>Aout</t>
        </is>
      </c>
      <c r="Q43" s="98" t="inlineStr">
        <is>
          <t>/</t>
        </is>
      </c>
      <c r="R43" s="98" t="inlineStr">
        <is>
          <t>/</t>
        </is>
      </c>
      <c r="S43" s="98" t="inlineStr">
        <is>
          <t>/</t>
        </is>
      </c>
      <c r="T43" s="98" t="inlineStr">
        <is>
          <t>/</t>
        </is>
      </c>
      <c r="U43" s="98" t="inlineStr">
        <is>
          <t>/</t>
        </is>
      </c>
      <c r="V43" s="98" t="inlineStr">
        <is>
          <t>/</t>
        </is>
      </c>
      <c r="W43" s="98" t="inlineStr">
        <is>
          <t>/</t>
        </is>
      </c>
      <c r="X43" s="98" t="inlineStr">
        <is>
          <t>/</t>
        </is>
      </c>
      <c r="Y43" s="98" t="inlineStr">
        <is>
          <t>/</t>
        </is>
      </c>
      <c r="Z43" s="98" t="inlineStr">
        <is>
          <t>/</t>
        </is>
      </c>
      <c r="AA43" s="98" t="inlineStr">
        <is>
          <t>/</t>
        </is>
      </c>
      <c r="AB43" s="98" t="inlineStr">
        <is>
          <t>/</t>
        </is>
      </c>
      <c r="AC43" s="98" t="inlineStr">
        <is>
          <t>/</t>
        </is>
      </c>
      <c r="AD43" s="98" t="inlineStr">
        <is>
          <t>/</t>
        </is>
      </c>
      <c r="AE43" s="98" t="inlineStr">
        <is>
          <t>/</t>
        </is>
      </c>
      <c r="AF43" s="98" t="inlineStr">
        <is>
          <t>/</t>
        </is>
      </c>
    </row>
    <row r="44" ht="15.75" customHeight="1" s="259">
      <c r="P44" s="90" t="inlineStr">
        <is>
          <t>Septembre</t>
        </is>
      </c>
      <c r="Q44" s="98" t="inlineStr">
        <is>
          <t>/</t>
        </is>
      </c>
      <c r="R44" s="98" t="inlineStr">
        <is>
          <t>/</t>
        </is>
      </c>
      <c r="S44" s="98" t="inlineStr">
        <is>
          <t>/</t>
        </is>
      </c>
      <c r="T44" s="98" t="inlineStr">
        <is>
          <t>/</t>
        </is>
      </c>
      <c r="U44" s="98" t="inlineStr">
        <is>
          <t>/</t>
        </is>
      </c>
      <c r="V44" s="98" t="inlineStr">
        <is>
          <t>/</t>
        </is>
      </c>
      <c r="W44" s="98" t="inlineStr">
        <is>
          <t>/</t>
        </is>
      </c>
      <c r="X44" s="98" t="inlineStr">
        <is>
          <t>/</t>
        </is>
      </c>
      <c r="Y44" s="98" t="inlineStr">
        <is>
          <t>/</t>
        </is>
      </c>
      <c r="Z44" s="98" t="inlineStr">
        <is>
          <t>/</t>
        </is>
      </c>
      <c r="AA44" s="98" t="inlineStr">
        <is>
          <t>/</t>
        </is>
      </c>
      <c r="AB44" s="98" t="inlineStr">
        <is>
          <t>/</t>
        </is>
      </c>
      <c r="AC44" s="98" t="inlineStr">
        <is>
          <t>/</t>
        </is>
      </c>
      <c r="AD44" s="98" t="inlineStr">
        <is>
          <t>/</t>
        </is>
      </c>
      <c r="AE44" s="98" t="inlineStr">
        <is>
          <t>/</t>
        </is>
      </c>
      <c r="AF44" s="98" t="inlineStr">
        <is>
          <t>/</t>
        </is>
      </c>
    </row>
    <row r="45" ht="15.75" customHeight="1" s="259">
      <c r="P45" s="90" t="inlineStr">
        <is>
          <t>Octobre</t>
        </is>
      </c>
      <c r="Q45" s="108" t="n"/>
      <c r="R45" s="108" t="n"/>
      <c r="S45" s="108" t="n"/>
      <c r="T45" s="108" t="n"/>
      <c r="U45" s="108" t="n"/>
      <c r="V45" s="108" t="n"/>
      <c r="W45" s="108" t="n"/>
      <c r="X45" s="108" t="n"/>
      <c r="Y45" s="108" t="n"/>
      <c r="Z45" s="108" t="n"/>
      <c r="AA45" s="108" t="n"/>
      <c r="AB45" s="108" t="n"/>
      <c r="AC45" s="108" t="n"/>
      <c r="AD45" s="108" t="n"/>
      <c r="AE45" s="108" t="n"/>
      <c r="AF45" s="108" t="n"/>
    </row>
    <row r="46" ht="15.75" customHeight="1" s="259">
      <c r="P46" s="90" t="inlineStr">
        <is>
          <t>Novembre</t>
        </is>
      </c>
      <c r="Q46" s="108" t="n"/>
      <c r="R46" s="108" t="n"/>
      <c r="S46" s="108" t="n"/>
      <c r="T46" s="108" t="n"/>
      <c r="U46" s="108" t="n"/>
      <c r="V46" s="108" t="n"/>
      <c r="W46" s="108" t="n"/>
      <c r="X46" s="108" t="n"/>
      <c r="Y46" s="108" t="n"/>
      <c r="Z46" s="108" t="n"/>
      <c r="AA46" s="108" t="n"/>
      <c r="AB46" s="108" t="n"/>
      <c r="AC46" s="108" t="n"/>
      <c r="AD46" s="108" t="n"/>
      <c r="AE46" s="108" t="n"/>
      <c r="AF46" s="108" t="n"/>
    </row>
    <row r="47" ht="15.75" customHeight="1" s="259">
      <c r="P47" s="90" t="inlineStr">
        <is>
          <t>Decembre</t>
        </is>
      </c>
      <c r="Q47" s="108" t="n"/>
      <c r="R47" s="108" t="n"/>
      <c r="S47" s="108" t="n"/>
      <c r="T47" s="108" t="n"/>
      <c r="U47" s="108" t="n"/>
      <c r="V47" s="108" t="n"/>
      <c r="W47" s="108" t="n"/>
      <c r="X47" s="108" t="n"/>
      <c r="Y47" s="108" t="n"/>
      <c r="Z47" s="108" t="n"/>
      <c r="AA47" s="108" t="n"/>
      <c r="AB47" s="108" t="n"/>
      <c r="AC47" s="108" t="n"/>
      <c r="AD47" s="108" t="n"/>
      <c r="AE47" s="108" t="n"/>
      <c r="AF47" s="108" t="n"/>
    </row>
  </sheetData>
  <autoFilter ref="A1:AF30">
    <filterColumn colId="0" hiddenButton="0" showButton="1">
      <filters blank="1"/>
    </filterColumn>
  </autoFilter>
  <pageMargins left="0.7086614173228347" right="0.7086614173228347" top="0.7480314960629921" bottom="0.7480314960629921" header="0.3149606299212598" footer="0.3149606299212598"/>
  <pageSetup orientation="landscape" paperSize="9" scale="27"/>
</worksheet>
</file>

<file path=xl/worksheets/sheet16.xml><?xml version="1.0" encoding="utf-8"?>
<worksheet xmlns="http://schemas.openxmlformats.org/spreadsheetml/2006/main">
  <sheetPr codeName="Feuil14" filterMode="1">
    <tabColor rgb="FFFF0000"/>
    <outlinePr summaryBelow="1" summaryRight="1"/>
    <pageSetUpPr fitToPage="1"/>
  </sheetPr>
  <dimension ref="A1:AI45"/>
  <sheetViews>
    <sheetView zoomScale="55" zoomScaleNormal="55" workbookViewId="0">
      <pane ySplit="1" topLeftCell="A29" activePane="bottomLeft" state="frozen"/>
      <selection activeCell="H12" sqref="H12"/>
      <selection pane="bottomLeft" activeCell="H12" sqref="H12"/>
    </sheetView>
  </sheetViews>
  <sheetFormatPr baseColWidth="10" defaultRowHeight="20.25"/>
  <cols>
    <col width="17" customWidth="1" style="259" min="1" max="1"/>
    <col width="13.42578125" bestFit="1" customWidth="1" style="259" min="2" max="2"/>
    <col width="14.28515625" customWidth="1" style="259" min="3" max="3"/>
    <col width="13.28515625" customWidth="1" style="259" min="4" max="4"/>
    <col width="11.7109375" bestFit="1" customWidth="1" style="259" min="5" max="6"/>
    <col width="17.28515625" customWidth="1" style="259" min="7" max="7"/>
    <col width="15.42578125" customWidth="1" style="259" min="8" max="8"/>
    <col width="13.42578125" customWidth="1" style="259" min="9" max="9"/>
    <col width="11.7109375" bestFit="1" customWidth="1" style="259" min="10" max="13"/>
    <col width="13.7109375" bestFit="1" customWidth="1" style="259" min="14" max="14"/>
    <col width="11.42578125" bestFit="1" customWidth="1" style="259" min="15" max="15"/>
    <col width="13.42578125" customWidth="1" style="38" min="16" max="16"/>
    <col width="11.42578125" bestFit="1" customWidth="1" style="259" min="17" max="17"/>
    <col width="14.28515625" customWidth="1" style="259" min="18" max="18"/>
    <col width="13.28515625" customWidth="1" style="259" min="19" max="19"/>
    <col width="11.42578125" bestFit="1" customWidth="1" style="259" min="20" max="21"/>
    <col width="17.28515625" customWidth="1" style="259" min="22" max="25"/>
    <col width="11.42578125" bestFit="1" customWidth="1" style="259" min="26" max="29"/>
    <col width="11.7109375" bestFit="1" customWidth="1" style="259" min="30" max="30"/>
    <col width="11.42578125" bestFit="1" customWidth="1" style="259" min="31" max="31"/>
    <col width="11.42578125" customWidth="1" style="259" min="32" max="32"/>
  </cols>
  <sheetData>
    <row r="1" ht="90" customHeight="1" s="259">
      <c r="A1" s="93" t="inlineStr">
        <is>
          <t>Date</t>
        </is>
      </c>
      <c r="B1" s="58" t="inlineStr">
        <is>
          <t>JRM</t>
        </is>
      </c>
      <c r="C1" s="58" t="inlineStr">
        <is>
          <t>Cartons 1.05</t>
        </is>
      </c>
      <c r="D1" s="58" t="inlineStr">
        <is>
          <t>Cartons 1.04</t>
        </is>
      </c>
      <c r="E1" s="58" t="inlineStr">
        <is>
          <t>GM</t>
        </is>
      </c>
      <c r="F1" s="37" t="inlineStr">
        <is>
          <t>ELA</t>
        </is>
      </c>
      <c r="G1" s="37" t="inlineStr">
        <is>
          <t>PET Q7</t>
        </is>
      </c>
      <c r="H1" s="37" t="inlineStr">
        <is>
          <t xml:space="preserve">PET Q8 </t>
        </is>
      </c>
      <c r="I1" s="37" t="inlineStr">
        <is>
          <t>PEPPPS</t>
        </is>
      </c>
      <c r="J1" s="37" t="inlineStr">
        <is>
          <t>films</t>
        </is>
      </c>
      <c r="K1" s="37" t="inlineStr">
        <is>
          <t>acier</t>
        </is>
      </c>
      <c r="L1" s="37" t="inlineStr">
        <is>
          <t>alu</t>
        </is>
      </c>
      <c r="M1" s="37" t="inlineStr">
        <is>
          <t>petits alu</t>
        </is>
      </c>
      <c r="N1" s="33" t="inlineStr">
        <is>
          <t>refus indésirables</t>
        </is>
      </c>
      <c r="O1" s="5" t="inlineStr">
        <is>
          <t>TOTAL</t>
        </is>
      </c>
      <c r="Q1" s="58" t="inlineStr">
        <is>
          <t>JRM</t>
        </is>
      </c>
      <c r="R1" s="58" t="inlineStr">
        <is>
          <t>Cartons 1.05</t>
        </is>
      </c>
      <c r="S1" s="58" t="inlineStr">
        <is>
          <t>Cartons 1.04</t>
        </is>
      </c>
      <c r="T1" s="58" t="inlineStr">
        <is>
          <t>GM</t>
        </is>
      </c>
      <c r="U1" s="37" t="inlineStr">
        <is>
          <t>ELA</t>
        </is>
      </c>
      <c r="V1" s="37" t="inlineStr">
        <is>
          <t>PET Q7</t>
        </is>
      </c>
      <c r="W1" s="37" t="inlineStr">
        <is>
          <t xml:space="preserve">PET Q8 </t>
        </is>
      </c>
      <c r="X1" s="37" t="inlineStr">
        <is>
          <t>PEPPPS</t>
        </is>
      </c>
      <c r="Y1" s="37" t="inlineStr">
        <is>
          <t>films</t>
        </is>
      </c>
      <c r="Z1" s="37" t="inlineStr">
        <is>
          <t>acier</t>
        </is>
      </c>
      <c r="AA1" s="37" t="inlineStr">
        <is>
          <t>alu</t>
        </is>
      </c>
      <c r="AB1" s="37" t="inlineStr">
        <is>
          <t>petits alu</t>
        </is>
      </c>
      <c r="AC1" s="33" t="inlineStr">
        <is>
          <t>refus indésirables</t>
        </is>
      </c>
      <c r="AD1" s="58" t="inlineStr">
        <is>
          <t>TOTAL fibreux valorisables</t>
        </is>
      </c>
      <c r="AE1" s="31" t="inlineStr">
        <is>
          <t>TOTAL non fibreux valorisables</t>
        </is>
      </c>
      <c r="AF1" s="90" t="inlineStr">
        <is>
          <t>Total Valo</t>
        </is>
      </c>
      <c r="AG1" s="90" t="inlineStr">
        <is>
          <t>Annee</t>
        </is>
      </c>
      <c r="AH1" s="90" t="inlineStr">
        <is>
          <t>Mois</t>
        </is>
      </c>
      <c r="AI1" s="90" t="inlineStr">
        <is>
          <t>Nb caract</t>
        </is>
      </c>
    </row>
    <row r="2" hidden="1" ht="15.75" customHeight="1" s="259">
      <c r="A2" s="8" t="n">
        <v>44622</v>
      </c>
      <c r="B2" t="n">
        <v>2.08</v>
      </c>
      <c r="C2" t="n">
        <v>1.14</v>
      </c>
      <c r="D2" t="n">
        <v>1.3</v>
      </c>
      <c r="E2" t="n">
        <v>1</v>
      </c>
      <c r="F2" t="n">
        <v>0.12</v>
      </c>
      <c r="G2" t="n">
        <v>1.7</v>
      </c>
      <c r="H2" t="n">
        <v>0.36</v>
      </c>
      <c r="I2" t="n">
        <v>0.25</v>
      </c>
      <c r="J2" t="n">
        <v>0.42</v>
      </c>
      <c r="K2" t="n">
        <v>0.66</v>
      </c>
      <c r="L2" t="n">
        <v>0.4</v>
      </c>
      <c r="M2" t="n">
        <v>0.24</v>
      </c>
      <c r="N2" t="n">
        <v>13.74</v>
      </c>
      <c r="O2">
        <f>SUM(B2:N2)</f>
        <v/>
      </c>
      <c r="Q2" s="41">
        <f>B2/$O2</f>
        <v/>
      </c>
      <c r="R2" s="41">
        <f>C2/$O2</f>
        <v/>
      </c>
      <c r="S2" s="41">
        <f>D2/$O2</f>
        <v/>
      </c>
      <c r="T2" s="41">
        <f>E2/$O2</f>
        <v/>
      </c>
      <c r="U2" s="41">
        <f>F2/$O2</f>
        <v/>
      </c>
      <c r="V2" s="41">
        <f>G2/$O2</f>
        <v/>
      </c>
      <c r="W2" s="41">
        <f>H2/$O2</f>
        <v/>
      </c>
      <c r="X2" s="41">
        <f>I2/$O2</f>
        <v/>
      </c>
      <c r="Y2" s="41">
        <f>J2/$O2</f>
        <v/>
      </c>
      <c r="Z2" s="41">
        <f>K2/$O2</f>
        <v/>
      </c>
      <c r="AA2" s="41">
        <f>L2/$O2</f>
        <v/>
      </c>
      <c r="AB2" s="41">
        <f>M2/$O2</f>
        <v/>
      </c>
      <c r="AC2" s="41">
        <f>N2/$O2</f>
        <v/>
      </c>
      <c r="AD2" s="45">
        <f>SUM(Q2:T2)</f>
        <v/>
      </c>
      <c r="AE2" s="45">
        <f>SUM(U2:AB2)</f>
        <v/>
      </c>
      <c r="AF2" s="45" t="n"/>
    </row>
    <row r="3" hidden="1" ht="15.75" customHeight="1" s="259">
      <c r="A3" s="8" t="n">
        <v>44624</v>
      </c>
      <c r="B3" t="n">
        <v>3.5</v>
      </c>
      <c r="C3" t="n">
        <v>1.66</v>
      </c>
      <c r="D3" t="n">
        <v>0.93</v>
      </c>
      <c r="E3" t="n">
        <v>1.7</v>
      </c>
      <c r="F3" t="n">
        <v>0.2</v>
      </c>
      <c r="G3" t="n">
        <v>1.92</v>
      </c>
      <c r="H3" t="n">
        <v>0.16</v>
      </c>
      <c r="I3" t="n">
        <v>0.58</v>
      </c>
      <c r="J3" t="n">
        <v>0.62</v>
      </c>
      <c r="K3" t="n">
        <v>0.62</v>
      </c>
      <c r="L3" t="n">
        <v>0.62</v>
      </c>
      <c r="M3" t="n">
        <v>0.33</v>
      </c>
      <c r="N3" t="n">
        <v>12.1</v>
      </c>
      <c r="O3">
        <f>SUM(B3:N3)</f>
        <v/>
      </c>
      <c r="Q3" s="41">
        <f>B3/$O3</f>
        <v/>
      </c>
      <c r="R3" s="41">
        <f>C3/$O3</f>
        <v/>
      </c>
      <c r="S3" s="41">
        <f>D3/$O3</f>
        <v/>
      </c>
      <c r="T3" s="41">
        <f>E3/$O3</f>
        <v/>
      </c>
      <c r="U3" s="41">
        <f>F3/$O3</f>
        <v/>
      </c>
      <c r="V3" s="41">
        <f>G3/$O3</f>
        <v/>
      </c>
      <c r="W3" s="41">
        <f>H3/$O3</f>
        <v/>
      </c>
      <c r="X3" s="41">
        <f>I3/$O3</f>
        <v/>
      </c>
      <c r="Y3" s="41">
        <f>J3/$O3</f>
        <v/>
      </c>
      <c r="Z3" s="41">
        <f>K3/$O3</f>
        <v/>
      </c>
      <c r="AA3" s="41">
        <f>L3/$O3</f>
        <v/>
      </c>
      <c r="AB3" s="41">
        <f>M3/$O3</f>
        <v/>
      </c>
      <c r="AC3" s="41">
        <f>N3/$O3</f>
        <v/>
      </c>
      <c r="AD3" s="45">
        <f>SUM(Q3:T3)</f>
        <v/>
      </c>
      <c r="AE3" s="45">
        <f>SUM(U3:AB3)</f>
        <v/>
      </c>
      <c r="AF3" s="45" t="n"/>
    </row>
    <row r="4" hidden="1" ht="15.75" customHeight="1" s="259">
      <c r="A4" s="10" t="n">
        <v>44632</v>
      </c>
      <c r="B4" t="n">
        <v>1.29</v>
      </c>
      <c r="C4" t="n">
        <v>1.84</v>
      </c>
      <c r="D4" t="n">
        <v>2.94</v>
      </c>
      <c r="E4" t="n">
        <v>0.74</v>
      </c>
      <c r="F4" t="n">
        <v>0.28</v>
      </c>
      <c r="G4" t="n">
        <v>1.48</v>
      </c>
      <c r="H4" t="n">
        <v>0.42</v>
      </c>
      <c r="I4" t="n">
        <v>0.2</v>
      </c>
      <c r="J4" t="n">
        <v>1.14</v>
      </c>
      <c r="K4" t="n">
        <v>0.44</v>
      </c>
      <c r="L4" t="n">
        <v>0.7</v>
      </c>
      <c r="M4" t="n">
        <v>0.12</v>
      </c>
      <c r="N4" t="n">
        <v>29.75</v>
      </c>
      <c r="O4">
        <f>SUM(B4:N4)</f>
        <v/>
      </c>
      <c r="Q4" s="41">
        <f>B4/$O4</f>
        <v/>
      </c>
      <c r="R4" s="41">
        <f>C4/$O4</f>
        <v/>
      </c>
      <c r="S4" s="41">
        <f>D4/$O4</f>
        <v/>
      </c>
      <c r="T4" s="41">
        <f>E4/$O4</f>
        <v/>
      </c>
      <c r="U4" s="41">
        <f>F4/$O4</f>
        <v/>
      </c>
      <c r="V4" s="41">
        <f>G4/$O4</f>
        <v/>
      </c>
      <c r="W4" s="41">
        <f>H4/$O4</f>
        <v/>
      </c>
      <c r="X4" s="41">
        <f>I4/$O4</f>
        <v/>
      </c>
      <c r="Y4" s="41">
        <f>J4/$O4</f>
        <v/>
      </c>
      <c r="Z4" s="41">
        <f>K4/$O4</f>
        <v/>
      </c>
      <c r="AA4" s="41">
        <f>L4/$O4</f>
        <v/>
      </c>
      <c r="AB4" s="41">
        <f>M4/$O4</f>
        <v/>
      </c>
      <c r="AC4" s="41">
        <f>N4/$O4</f>
        <v/>
      </c>
      <c r="AD4" s="45">
        <f>SUM(Q4:T4)</f>
        <v/>
      </c>
      <c r="AE4" s="45">
        <f>SUM(U4:AB4)</f>
        <v/>
      </c>
      <c r="AF4" s="45" t="n"/>
    </row>
    <row r="5" hidden="1" ht="15.75" customHeight="1" s="259">
      <c r="A5" s="8" t="n">
        <v>44646</v>
      </c>
      <c r="B5" t="n">
        <v>2.02</v>
      </c>
      <c r="C5" t="n">
        <v>3.5</v>
      </c>
      <c r="D5" t="n">
        <v>1.76</v>
      </c>
      <c r="E5" t="n">
        <v>0.58</v>
      </c>
      <c r="F5" t="n">
        <v>0.16</v>
      </c>
      <c r="G5" t="n">
        <v>1.92</v>
      </c>
      <c r="H5" t="n">
        <v>0.28</v>
      </c>
      <c r="I5" t="n">
        <v>0.22</v>
      </c>
      <c r="J5" t="n">
        <v>0.9399999999999999</v>
      </c>
      <c r="K5" t="n">
        <v>0.08</v>
      </c>
      <c r="L5" t="n">
        <v>0.06</v>
      </c>
      <c r="M5" t="n">
        <v>0.06</v>
      </c>
      <c r="N5" t="n">
        <v>29.12</v>
      </c>
      <c r="O5">
        <f>SUM(B5:N5)</f>
        <v/>
      </c>
      <c r="Q5" s="41">
        <f>B5/$O5</f>
        <v/>
      </c>
      <c r="R5" s="41">
        <f>C5/$O5</f>
        <v/>
      </c>
      <c r="S5" s="41">
        <f>D5/$O5</f>
        <v/>
      </c>
      <c r="T5" s="41">
        <f>E5/$O5</f>
        <v/>
      </c>
      <c r="U5" s="41">
        <f>F5/$O5</f>
        <v/>
      </c>
      <c r="V5" s="41">
        <f>G5/$O5</f>
        <v/>
      </c>
      <c r="W5" s="41">
        <f>H5/$O5</f>
        <v/>
      </c>
      <c r="X5" s="41">
        <f>I5/$O5</f>
        <v/>
      </c>
      <c r="Y5" s="41">
        <f>J5/$O5</f>
        <v/>
      </c>
      <c r="Z5" s="41">
        <f>K5/$O5</f>
        <v/>
      </c>
      <c r="AA5" s="41">
        <f>L5/$O5</f>
        <v/>
      </c>
      <c r="AB5" s="41">
        <f>M5/$O5</f>
        <v/>
      </c>
      <c r="AC5" s="41">
        <f>N5/$O5</f>
        <v/>
      </c>
      <c r="AD5" s="45">
        <f>SUM(Q5:T5)</f>
        <v/>
      </c>
      <c r="AE5" s="45">
        <f>SUM(U5:AB5)</f>
        <v/>
      </c>
      <c r="AF5" s="45" t="n"/>
    </row>
    <row r="6" hidden="1" ht="15.75" customHeight="1" s="259">
      <c r="A6" s="10" t="n">
        <v>44665</v>
      </c>
      <c r="B6" t="n">
        <v>6.1</v>
      </c>
      <c r="C6" t="n">
        <v>1.34</v>
      </c>
      <c r="D6" t="n">
        <v>2.58</v>
      </c>
      <c r="E6" t="n">
        <v>1.08</v>
      </c>
      <c r="F6" t="n">
        <v>0.5600000000000001</v>
      </c>
      <c r="G6" t="n">
        <v>2.22</v>
      </c>
      <c r="H6" t="n">
        <v>0.22</v>
      </c>
      <c r="I6" t="n">
        <v>0.32</v>
      </c>
      <c r="J6" t="n">
        <v>1.38</v>
      </c>
      <c r="K6" t="n">
        <v>0.22</v>
      </c>
      <c r="L6" t="n">
        <v>0.24</v>
      </c>
      <c r="M6" t="n">
        <v>0.24</v>
      </c>
      <c r="N6" t="n">
        <v>34.92</v>
      </c>
      <c r="O6">
        <f>SUM(B6:N6)</f>
        <v/>
      </c>
      <c r="Q6" s="41">
        <f>B6/$O6</f>
        <v/>
      </c>
      <c r="R6" s="41">
        <f>C6/$O6</f>
        <v/>
      </c>
      <c r="S6" s="41">
        <f>D6/$O6</f>
        <v/>
      </c>
      <c r="T6" s="41">
        <f>E6/$O6</f>
        <v/>
      </c>
      <c r="U6" s="41">
        <f>F6/$O6</f>
        <v/>
      </c>
      <c r="V6" s="41">
        <f>G6/$O6</f>
        <v/>
      </c>
      <c r="W6" s="41">
        <f>H6/$O6</f>
        <v/>
      </c>
      <c r="X6" s="41">
        <f>I6/$O6</f>
        <v/>
      </c>
      <c r="Y6" s="41">
        <f>J6/$O6</f>
        <v/>
      </c>
      <c r="Z6" s="41">
        <f>K6/$O6</f>
        <v/>
      </c>
      <c r="AA6" s="41">
        <f>L6/$O6</f>
        <v/>
      </c>
      <c r="AB6" s="41">
        <f>M6/$O6</f>
        <v/>
      </c>
      <c r="AC6" s="41">
        <f>N6/$O6</f>
        <v/>
      </c>
      <c r="AD6" s="45">
        <f>SUM(Q6:T6)</f>
        <v/>
      </c>
      <c r="AE6" s="45">
        <f>SUM(U6:AB6)</f>
        <v/>
      </c>
      <c r="AF6" s="45" t="n"/>
    </row>
    <row r="7" hidden="1" ht="15.75" customHeight="1" s="259">
      <c r="A7" s="8" t="n">
        <v>44679</v>
      </c>
      <c r="B7" t="n">
        <v>2.58</v>
      </c>
      <c r="C7" t="n">
        <v>2.18</v>
      </c>
      <c r="D7" t="n">
        <v>1.1</v>
      </c>
      <c r="E7" t="n">
        <v>0.26</v>
      </c>
      <c r="F7" t="n">
        <v>0.5</v>
      </c>
      <c r="G7" t="n">
        <v>1.86</v>
      </c>
      <c r="H7" t="n">
        <v>0.42</v>
      </c>
      <c r="I7" t="n">
        <v>0.32</v>
      </c>
      <c r="J7" t="n">
        <v>1.34</v>
      </c>
      <c r="K7" t="n">
        <v>0.08</v>
      </c>
      <c r="L7" t="n">
        <v>0.52</v>
      </c>
      <c r="M7" t="n">
        <v>0.12</v>
      </c>
      <c r="N7" t="n">
        <v>21.06</v>
      </c>
      <c r="O7">
        <f>SUM(B7:N7)</f>
        <v/>
      </c>
      <c r="Q7" s="41">
        <f>B7/$O7</f>
        <v/>
      </c>
      <c r="R7" s="41">
        <f>C7/$O7</f>
        <v/>
      </c>
      <c r="S7" s="41">
        <f>D7/$O7</f>
        <v/>
      </c>
      <c r="T7" s="41">
        <f>E7/$O7</f>
        <v/>
      </c>
      <c r="U7" s="41">
        <f>F7/$O7</f>
        <v/>
      </c>
      <c r="V7" s="41">
        <f>G7/$O7</f>
        <v/>
      </c>
      <c r="W7" s="41">
        <f>H7/$O7</f>
        <v/>
      </c>
      <c r="X7" s="41">
        <f>I7/$O7</f>
        <v/>
      </c>
      <c r="Y7" s="41">
        <f>J7/$O7</f>
        <v/>
      </c>
      <c r="Z7" s="41">
        <f>K7/$O7</f>
        <v/>
      </c>
      <c r="AA7" s="41">
        <f>L7/$O7</f>
        <v/>
      </c>
      <c r="AB7" s="41">
        <f>M7/$O7</f>
        <v/>
      </c>
      <c r="AC7" s="41">
        <f>N7/$O7</f>
        <v/>
      </c>
      <c r="AD7" s="45">
        <f>SUM(Q7:T7)</f>
        <v/>
      </c>
      <c r="AE7" s="45">
        <f>SUM(U7:AB7)</f>
        <v/>
      </c>
      <c r="AF7" s="45" t="n"/>
    </row>
    <row r="8" hidden="1" ht="15.75" customHeight="1" s="259">
      <c r="A8" s="8" t="n">
        <v>44706</v>
      </c>
      <c r="B8" t="n">
        <v>0.9399999999999999</v>
      </c>
      <c r="C8" t="n">
        <v>0.76</v>
      </c>
      <c r="D8" t="n">
        <v>1.68</v>
      </c>
      <c r="E8" t="n">
        <v>0.66</v>
      </c>
      <c r="G8" t="n">
        <v>1.2</v>
      </c>
      <c r="H8" t="n">
        <v>0.14</v>
      </c>
      <c r="I8" t="n">
        <v>0.36</v>
      </c>
      <c r="J8" t="n">
        <v>0.84</v>
      </c>
      <c r="K8" t="n">
        <v>0.16</v>
      </c>
      <c r="L8" t="n">
        <v>0.44</v>
      </c>
      <c r="M8" t="n">
        <v>0.04</v>
      </c>
      <c r="N8" t="n">
        <v>8.57</v>
      </c>
      <c r="O8">
        <f>SUM(B8:N8)</f>
        <v/>
      </c>
      <c r="Q8" s="41">
        <f>B8/$O8</f>
        <v/>
      </c>
      <c r="R8" s="41">
        <f>C8/$O8</f>
        <v/>
      </c>
      <c r="S8" s="41">
        <f>D8/$O8</f>
        <v/>
      </c>
      <c r="T8" s="41">
        <f>E8/$O8</f>
        <v/>
      </c>
      <c r="U8" s="41">
        <f>F8/$O8</f>
        <v/>
      </c>
      <c r="V8" s="41">
        <f>G8/$O8</f>
        <v/>
      </c>
      <c r="W8" s="41">
        <f>H8/$O8</f>
        <v/>
      </c>
      <c r="X8" s="41">
        <f>I8/$O8</f>
        <v/>
      </c>
      <c r="Y8" s="41">
        <f>J8/$O8</f>
        <v/>
      </c>
      <c r="Z8" s="41">
        <f>K8/$O8</f>
        <v/>
      </c>
      <c r="AA8" s="41">
        <f>L8/$O8</f>
        <v/>
      </c>
      <c r="AB8" s="41">
        <f>M8/$O8</f>
        <v/>
      </c>
      <c r="AC8" s="41">
        <f>N8/$O8</f>
        <v/>
      </c>
      <c r="AD8" s="45">
        <f>SUM(Q8:T8)</f>
        <v/>
      </c>
      <c r="AE8" s="45">
        <f>SUM(U8:AB8)</f>
        <v/>
      </c>
      <c r="AF8" s="45" t="n"/>
    </row>
    <row r="9" hidden="1" ht="15.75" customHeight="1" s="259">
      <c r="A9" s="8" t="n">
        <v>44712</v>
      </c>
      <c r="B9" t="n">
        <v>1.76</v>
      </c>
      <c r="C9" t="n">
        <v>1.14</v>
      </c>
      <c r="D9" t="n">
        <v>0.8</v>
      </c>
      <c r="E9" t="n">
        <v>0.08</v>
      </c>
      <c r="F9" t="n">
        <v>0.38</v>
      </c>
      <c r="G9" t="n">
        <v>2.26</v>
      </c>
      <c r="H9" t="n">
        <v>0.5</v>
      </c>
      <c r="I9" t="n">
        <v>0.5</v>
      </c>
      <c r="J9" t="n">
        <v>0.74</v>
      </c>
      <c r="K9" t="n">
        <v>0.08</v>
      </c>
      <c r="L9" t="n">
        <v>0.12</v>
      </c>
      <c r="M9" t="n">
        <v>0.14</v>
      </c>
      <c r="N9" t="n">
        <v>27.9</v>
      </c>
      <c r="O9">
        <f>SUM(B9:N9)</f>
        <v/>
      </c>
      <c r="Q9" s="41">
        <f>B9/$O9</f>
        <v/>
      </c>
      <c r="R9" s="41">
        <f>C9/$O9</f>
        <v/>
      </c>
      <c r="S9" s="41">
        <f>D9/$O9</f>
        <v/>
      </c>
      <c r="T9" s="41">
        <f>E9/$O9</f>
        <v/>
      </c>
      <c r="U9" s="41">
        <f>F9/$O9</f>
        <v/>
      </c>
      <c r="V9" s="41">
        <f>G9/$O9</f>
        <v/>
      </c>
      <c r="W9" s="41">
        <f>H9/$O9</f>
        <v/>
      </c>
      <c r="X9" s="41">
        <f>I9/$O9</f>
        <v/>
      </c>
      <c r="Y9" s="41">
        <f>J9/$O9</f>
        <v/>
      </c>
      <c r="Z9" s="41">
        <f>K9/$O9</f>
        <v/>
      </c>
      <c r="AA9" s="41">
        <f>L9/$O9</f>
        <v/>
      </c>
      <c r="AB9" s="41">
        <f>M9/$O9</f>
        <v/>
      </c>
      <c r="AC9" s="41">
        <f>N9/$O9</f>
        <v/>
      </c>
      <c r="AD9" s="45">
        <f>SUM(Q9:T9)</f>
        <v/>
      </c>
      <c r="AE9" s="45">
        <f>SUM(U9:AB9)</f>
        <v/>
      </c>
      <c r="AF9" s="45" t="n"/>
    </row>
    <row r="10" hidden="1" ht="15.75" customHeight="1" s="259">
      <c r="A10" s="8" t="n">
        <v>44771</v>
      </c>
      <c r="B10" t="n">
        <v>1.64</v>
      </c>
      <c r="C10" t="n">
        <v>2.22</v>
      </c>
      <c r="D10" t="n">
        <v>1.64</v>
      </c>
      <c r="E10" t="n">
        <v>1.04</v>
      </c>
      <c r="F10" t="n">
        <v>0.08</v>
      </c>
      <c r="G10" t="n">
        <v>1.74</v>
      </c>
      <c r="H10" t="n">
        <v>0.06</v>
      </c>
      <c r="I10" t="n">
        <v>0.8</v>
      </c>
      <c r="J10" t="n">
        <v>0.92</v>
      </c>
      <c r="K10" t="n">
        <v>0.24</v>
      </c>
      <c r="L10" t="n">
        <v>0.4</v>
      </c>
      <c r="M10" t="n">
        <v>0.12</v>
      </c>
      <c r="N10" t="n">
        <v>24.34</v>
      </c>
      <c r="O10">
        <f>SUM(B10:N10)</f>
        <v/>
      </c>
      <c r="Q10" s="41">
        <f>B10/$O10</f>
        <v/>
      </c>
      <c r="R10" s="41">
        <f>C10/$O10</f>
        <v/>
      </c>
      <c r="S10" s="41">
        <f>D10/$O10</f>
        <v/>
      </c>
      <c r="T10" s="41">
        <f>E10/$O10</f>
        <v/>
      </c>
      <c r="U10" s="41">
        <f>F10/$O10</f>
        <v/>
      </c>
      <c r="V10" s="41">
        <f>G10/$O10</f>
        <v/>
      </c>
      <c r="W10" s="41">
        <f>H10/$O10</f>
        <v/>
      </c>
      <c r="X10" s="41">
        <f>I10/$O10</f>
        <v/>
      </c>
      <c r="Y10" s="41">
        <f>J10/$O10</f>
        <v/>
      </c>
      <c r="Z10" s="41">
        <f>K10/$O10</f>
        <v/>
      </c>
      <c r="AA10" s="41">
        <f>L10/$O10</f>
        <v/>
      </c>
      <c r="AB10" s="41">
        <f>M10/$O10</f>
        <v/>
      </c>
      <c r="AC10" s="41">
        <f>N10/$O10</f>
        <v/>
      </c>
      <c r="AD10" s="45">
        <f>SUM(Q10:T10)</f>
        <v/>
      </c>
      <c r="AE10" s="45">
        <f>SUM(U10:AB10)</f>
        <v/>
      </c>
      <c r="AF10" s="45" t="n"/>
    </row>
    <row r="11" hidden="1" ht="15.75" customHeight="1" s="259">
      <c r="A11" s="8" t="n">
        <v>44848</v>
      </c>
      <c r="B11" t="n">
        <v>2.7</v>
      </c>
      <c r="C11" t="n">
        <v>1</v>
      </c>
      <c r="D11" t="n">
        <v>1.52</v>
      </c>
      <c r="E11" t="n">
        <v>1.64</v>
      </c>
      <c r="F11" t="n">
        <v>0.18</v>
      </c>
      <c r="G11" t="n">
        <v>1.04</v>
      </c>
      <c r="H11" t="n">
        <v>0.4</v>
      </c>
      <c r="I11" t="n">
        <v>0.46</v>
      </c>
      <c r="J11" t="n">
        <v>0.64</v>
      </c>
      <c r="K11" t="n">
        <v>0.42</v>
      </c>
      <c r="L11" t="n">
        <v>1.16</v>
      </c>
      <c r="N11" t="n">
        <v>12.08</v>
      </c>
      <c r="O11">
        <f>SUM(B11:N11)</f>
        <v/>
      </c>
      <c r="Q11" s="41">
        <f>B11/$O11</f>
        <v/>
      </c>
      <c r="R11" s="41">
        <f>C11/$O11</f>
        <v/>
      </c>
      <c r="S11" s="41">
        <f>D11/$O11</f>
        <v/>
      </c>
      <c r="T11" s="41">
        <f>E11/$O11</f>
        <v/>
      </c>
      <c r="U11" s="41">
        <f>F11/$O11</f>
        <v/>
      </c>
      <c r="V11" s="41">
        <f>G11/$O11</f>
        <v/>
      </c>
      <c r="W11" s="41">
        <f>H11/$O11</f>
        <v/>
      </c>
      <c r="X11" s="41">
        <f>I11/$O11</f>
        <v/>
      </c>
      <c r="Y11" s="41">
        <f>J11/$O11</f>
        <v/>
      </c>
      <c r="Z11" s="41">
        <f>K11/$O11</f>
        <v/>
      </c>
      <c r="AA11" s="41">
        <f>L11/$O11</f>
        <v/>
      </c>
      <c r="AB11" s="41">
        <f>M11/$O11</f>
        <v/>
      </c>
      <c r="AC11" s="41">
        <f>N11/$O11</f>
        <v/>
      </c>
      <c r="AD11" s="45">
        <f>SUM(Q11:T11)</f>
        <v/>
      </c>
      <c r="AE11" s="45">
        <f>SUM(U11:AB11)</f>
        <v/>
      </c>
      <c r="AF11" s="45" t="n"/>
    </row>
    <row r="12" hidden="1" ht="15.75" customHeight="1" s="259">
      <c r="A12" s="8" t="n">
        <v>44870</v>
      </c>
      <c r="B12" t="n">
        <v>1.56</v>
      </c>
      <c r="C12" t="n">
        <v>1.26</v>
      </c>
      <c r="D12" t="n">
        <v>0.76</v>
      </c>
      <c r="E12" t="n">
        <v>1.42</v>
      </c>
      <c r="F12" t="n">
        <v>0.04</v>
      </c>
      <c r="G12" t="n">
        <v>1.08</v>
      </c>
      <c r="H12" t="n">
        <v>0.1</v>
      </c>
      <c r="I12" t="n">
        <v>0.14</v>
      </c>
      <c r="J12" t="n">
        <v>0.4</v>
      </c>
      <c r="K12" t="n">
        <v>0.38</v>
      </c>
      <c r="L12" t="n">
        <v>0.2</v>
      </c>
      <c r="N12" t="n">
        <v>12.62</v>
      </c>
      <c r="O12">
        <f>SUM(B12:N12)</f>
        <v/>
      </c>
      <c r="Q12" s="41">
        <f>B12/$O12</f>
        <v/>
      </c>
      <c r="R12" s="41">
        <f>C12/$O12</f>
        <v/>
      </c>
      <c r="S12" s="41">
        <f>D12/$O12</f>
        <v/>
      </c>
      <c r="T12" s="41">
        <f>E12/$O12</f>
        <v/>
      </c>
      <c r="U12" s="41">
        <f>F12/$O12</f>
        <v/>
      </c>
      <c r="V12" s="41">
        <f>G12/$O12</f>
        <v/>
      </c>
      <c r="W12" s="41">
        <f>H12/$O12</f>
        <v/>
      </c>
      <c r="X12" s="41">
        <f>I12/$O12</f>
        <v/>
      </c>
      <c r="Y12" s="41">
        <f>J12/$O12</f>
        <v/>
      </c>
      <c r="Z12" s="41">
        <f>K12/$O12</f>
        <v/>
      </c>
      <c r="AA12" s="41">
        <f>L12/$O12</f>
        <v/>
      </c>
      <c r="AB12" s="41">
        <f>M12/$O12</f>
        <v/>
      </c>
      <c r="AC12" s="41">
        <f>N12/$O12</f>
        <v/>
      </c>
      <c r="AD12" s="45">
        <f>SUM(Q12:T12)</f>
        <v/>
      </c>
      <c r="AE12" s="45">
        <f>SUM(U12:AB12)</f>
        <v/>
      </c>
      <c r="AF12" s="45" t="n"/>
    </row>
    <row r="13" hidden="1" ht="15.75" customHeight="1" s="259">
      <c r="A13" s="8" t="n">
        <v>44884</v>
      </c>
      <c r="B13" t="n">
        <v>1.64</v>
      </c>
      <c r="C13" t="n">
        <v>3.1</v>
      </c>
      <c r="D13" t="n">
        <v>1.14</v>
      </c>
      <c r="E13" t="n">
        <v>0.8</v>
      </c>
      <c r="G13" t="n">
        <v>1.08</v>
      </c>
      <c r="H13" t="n">
        <v>0.08</v>
      </c>
      <c r="I13" t="n">
        <v>0.36</v>
      </c>
      <c r="J13" t="n">
        <v>0.62</v>
      </c>
      <c r="K13" t="n">
        <v>0.16</v>
      </c>
      <c r="L13" t="n">
        <v>0.26</v>
      </c>
      <c r="M13" t="n">
        <v>0.04</v>
      </c>
      <c r="N13" t="n">
        <v>12.58</v>
      </c>
      <c r="O13">
        <f>SUM(B13:N13)</f>
        <v/>
      </c>
      <c r="Q13" s="41">
        <f>B13/$O13</f>
        <v/>
      </c>
      <c r="R13" s="41">
        <f>C13/$O13</f>
        <v/>
      </c>
      <c r="S13" s="41">
        <f>D13/$O13</f>
        <v/>
      </c>
      <c r="T13" s="41">
        <f>E13/$O13</f>
        <v/>
      </c>
      <c r="U13" s="41">
        <f>F13/$O13</f>
        <v/>
      </c>
      <c r="V13" s="41">
        <f>G13/$O13</f>
        <v/>
      </c>
      <c r="W13" s="41">
        <f>H13/$O13</f>
        <v/>
      </c>
      <c r="X13" s="41">
        <f>I13/$O13</f>
        <v/>
      </c>
      <c r="Y13" s="41">
        <f>J13/$O13</f>
        <v/>
      </c>
      <c r="Z13" s="41">
        <f>K13/$O13</f>
        <v/>
      </c>
      <c r="AA13" s="41">
        <f>L13/$O13</f>
        <v/>
      </c>
      <c r="AB13" s="41">
        <f>M13/$O13</f>
        <v/>
      </c>
      <c r="AC13" s="41">
        <f>N13/$O13</f>
        <v/>
      </c>
      <c r="AD13" s="45">
        <f>SUM(Q13:T13)</f>
        <v/>
      </c>
      <c r="AE13" s="45">
        <f>SUM(U13:AB13)</f>
        <v/>
      </c>
      <c r="AF13" s="45" t="n"/>
    </row>
    <row r="14" hidden="1" ht="15.75" customHeight="1" s="259">
      <c r="A14" s="8" t="n">
        <v>44912</v>
      </c>
      <c r="B14" t="n">
        <v>0.6</v>
      </c>
      <c r="C14" t="n">
        <v>1.9</v>
      </c>
      <c r="D14" t="n">
        <v>1.68</v>
      </c>
      <c r="E14" t="n">
        <v>0.3</v>
      </c>
      <c r="F14" t="n">
        <v>0.6</v>
      </c>
      <c r="G14" t="n">
        <v>1.96</v>
      </c>
      <c r="H14" t="n">
        <v>0.14</v>
      </c>
      <c r="I14" t="n">
        <v>0.72</v>
      </c>
      <c r="J14" t="n">
        <v>0.66</v>
      </c>
      <c r="K14" t="n">
        <v>0.32</v>
      </c>
      <c r="L14" t="n">
        <v>0.38</v>
      </c>
      <c r="N14" t="n">
        <v>20.48</v>
      </c>
      <c r="O14">
        <f>SUM(B14:N14)</f>
        <v/>
      </c>
      <c r="Q14" s="41">
        <f>B14/$O14</f>
        <v/>
      </c>
      <c r="R14" s="41">
        <f>C14/$O14</f>
        <v/>
      </c>
      <c r="S14" s="41">
        <f>D14/$O14</f>
        <v/>
      </c>
      <c r="T14" s="41">
        <f>E14/$O14</f>
        <v/>
      </c>
      <c r="U14" s="41">
        <f>F14/$O14</f>
        <v/>
      </c>
      <c r="V14" s="41">
        <f>G14/$O14</f>
        <v/>
      </c>
      <c r="W14" s="41">
        <f>H14/$O14</f>
        <v/>
      </c>
      <c r="X14" s="41">
        <f>I14/$O14</f>
        <v/>
      </c>
      <c r="Y14" s="41">
        <f>J14/$O14</f>
        <v/>
      </c>
      <c r="Z14" s="41">
        <f>K14/$O14</f>
        <v/>
      </c>
      <c r="AA14" s="41">
        <f>L14/$O14</f>
        <v/>
      </c>
      <c r="AB14" s="41">
        <f>M14/$O14</f>
        <v/>
      </c>
      <c r="AC14" s="41">
        <f>N14/$O14</f>
        <v/>
      </c>
      <c r="AD14" s="45">
        <f>SUM(Q14:T14)</f>
        <v/>
      </c>
      <c r="AE14" s="45">
        <f>SUM(U14:AB14)</f>
        <v/>
      </c>
      <c r="AF14" s="45" t="n"/>
    </row>
    <row r="15" hidden="1" ht="15.75" customHeight="1" s="259">
      <c r="A15" s="8" t="n">
        <v>44918</v>
      </c>
      <c r="B15" t="n">
        <v>1.52</v>
      </c>
      <c r="C15" t="n">
        <v>1.62</v>
      </c>
      <c r="D15" t="n">
        <v>1.5</v>
      </c>
      <c r="E15" t="n">
        <v>0.78</v>
      </c>
      <c r="F15" t="n">
        <v>0.28</v>
      </c>
      <c r="G15" t="n">
        <v>1.56</v>
      </c>
      <c r="H15" t="n">
        <v>0.04</v>
      </c>
      <c r="I15" t="n">
        <v>0.42</v>
      </c>
      <c r="J15" t="n">
        <v>0.92</v>
      </c>
      <c r="K15" t="n">
        <v>0.38</v>
      </c>
      <c r="L15" t="n">
        <v>0.2</v>
      </c>
      <c r="N15" t="n">
        <v>19.56</v>
      </c>
      <c r="O15">
        <f>SUM(B15:N15)</f>
        <v/>
      </c>
      <c r="Q15" s="41">
        <f>B15/$O15</f>
        <v/>
      </c>
      <c r="R15" s="41">
        <f>C15/$O15</f>
        <v/>
      </c>
      <c r="S15" s="41">
        <f>D15/$O15</f>
        <v/>
      </c>
      <c r="T15" s="41">
        <f>E15/$O15</f>
        <v/>
      </c>
      <c r="U15" s="41">
        <f>F15/$O15</f>
        <v/>
      </c>
      <c r="V15" s="41">
        <f>G15/$O15</f>
        <v/>
      </c>
      <c r="W15" s="41">
        <f>H15/$O15</f>
        <v/>
      </c>
      <c r="X15" s="41">
        <f>I15/$O15</f>
        <v/>
      </c>
      <c r="Y15" s="41">
        <f>J15/$O15</f>
        <v/>
      </c>
      <c r="Z15" s="41">
        <f>K15/$O15</f>
        <v/>
      </c>
      <c r="AA15" s="41">
        <f>L15/$O15</f>
        <v/>
      </c>
      <c r="AB15" s="41">
        <f>M15/$O15</f>
        <v/>
      </c>
      <c r="AC15" s="41">
        <f>N15/$O15</f>
        <v/>
      </c>
      <c r="AD15" s="45">
        <f>SUM(Q15:T15)</f>
        <v/>
      </c>
      <c r="AE15" s="45">
        <f>SUM(U15:AB15)</f>
        <v/>
      </c>
      <c r="AF15" s="45" t="n"/>
    </row>
    <row r="16" hidden="1" ht="15.75" customHeight="1" s="259">
      <c r="A16" s="8" t="n">
        <v>45121</v>
      </c>
      <c r="B16" t="n">
        <v>2.8</v>
      </c>
      <c r="C16" t="n">
        <v>0.98</v>
      </c>
      <c r="D16" t="n">
        <v>0.92</v>
      </c>
      <c r="E16" t="n">
        <v>0.5</v>
      </c>
      <c r="F16" t="n">
        <v>0.1</v>
      </c>
      <c r="G16" t="n">
        <v>0.88</v>
      </c>
      <c r="H16" t="n">
        <v>0.12</v>
      </c>
      <c r="I16" t="n">
        <v>0.74</v>
      </c>
      <c r="J16" t="n">
        <v>0.9</v>
      </c>
      <c r="K16" t="n">
        <v>0.08</v>
      </c>
      <c r="L16" t="n">
        <v>0.14</v>
      </c>
      <c r="M16" t="n">
        <v>0.1</v>
      </c>
      <c r="N16" t="n">
        <v>8.640000000000001</v>
      </c>
      <c r="O16">
        <f>SUM(B16:N16)</f>
        <v/>
      </c>
      <c r="Q16" s="41">
        <f>B16/$O16</f>
        <v/>
      </c>
      <c r="R16" s="41">
        <f>C16/$O16</f>
        <v/>
      </c>
      <c r="S16" s="41">
        <f>D16/$O16</f>
        <v/>
      </c>
      <c r="T16" s="41">
        <f>E16/$O16</f>
        <v/>
      </c>
      <c r="U16" s="41">
        <f>F16/$O16</f>
        <v/>
      </c>
      <c r="V16" s="41">
        <f>G16/$O16</f>
        <v/>
      </c>
      <c r="W16" s="41">
        <f>H16/$O16</f>
        <v/>
      </c>
      <c r="X16" s="41">
        <f>I16/$O16</f>
        <v/>
      </c>
      <c r="Y16" s="41">
        <f>J16/$O16</f>
        <v/>
      </c>
      <c r="Z16" s="41">
        <f>K16/$O16</f>
        <v/>
      </c>
      <c r="AA16" s="41">
        <f>L16/$O16</f>
        <v/>
      </c>
      <c r="AB16" s="41">
        <f>M16/$O16</f>
        <v/>
      </c>
      <c r="AC16" s="41">
        <f>N16/$O16</f>
        <v/>
      </c>
      <c r="AD16" s="45">
        <f>SUM(Q16:T16)</f>
        <v/>
      </c>
      <c r="AE16" s="45">
        <f>SUM(U16:AB16)</f>
        <v/>
      </c>
      <c r="AF16" s="45" t="n"/>
    </row>
    <row r="17" hidden="1" ht="15.75" customHeight="1" s="259">
      <c r="A17" s="8" t="n">
        <v>45139</v>
      </c>
      <c r="B17" t="n">
        <v>2.76</v>
      </c>
      <c r="C17" t="n">
        <v>1</v>
      </c>
      <c r="D17" t="n">
        <v>0.88</v>
      </c>
      <c r="E17" t="n">
        <v>0.4</v>
      </c>
      <c r="F17" t="n">
        <v>0.06</v>
      </c>
      <c r="G17" t="n">
        <v>0.36</v>
      </c>
      <c r="H17" t="n">
        <v>0.04</v>
      </c>
      <c r="I17" t="n">
        <v>0.36</v>
      </c>
      <c r="J17" t="n">
        <v>0.84</v>
      </c>
      <c r="K17" t="n">
        <v>0.1</v>
      </c>
      <c r="L17" t="n">
        <v>0.24</v>
      </c>
      <c r="M17" t="n">
        <v>0.14</v>
      </c>
      <c r="N17" t="n">
        <v>16.8</v>
      </c>
      <c r="O17">
        <f>SUM(B17:N17)</f>
        <v/>
      </c>
      <c r="Q17" s="41">
        <f>B17/$O17</f>
        <v/>
      </c>
      <c r="R17" s="41">
        <f>C17/$O17</f>
        <v/>
      </c>
      <c r="S17" s="41">
        <f>D17/$O17</f>
        <v/>
      </c>
      <c r="T17" s="41">
        <f>E17/$O17</f>
        <v/>
      </c>
      <c r="U17" s="41">
        <f>F17/$O17</f>
        <v/>
      </c>
      <c r="V17" s="41">
        <f>G17/$O17</f>
        <v/>
      </c>
      <c r="W17" s="41">
        <f>H17/$O17</f>
        <v/>
      </c>
      <c r="X17" s="41">
        <f>I17/$O17</f>
        <v/>
      </c>
      <c r="Y17" s="41">
        <f>J17/$O17</f>
        <v/>
      </c>
      <c r="Z17" s="41">
        <f>K17/$O17</f>
        <v/>
      </c>
      <c r="AA17" s="41">
        <f>L17/$O17</f>
        <v/>
      </c>
      <c r="AB17" s="41">
        <f>M17/$O17</f>
        <v/>
      </c>
      <c r="AC17" s="41">
        <f>N17/$O17</f>
        <v/>
      </c>
      <c r="AD17" s="45">
        <f>SUM(Q17:T17)</f>
        <v/>
      </c>
      <c r="AE17" s="45">
        <f>SUM(U17:AB17)</f>
        <v/>
      </c>
      <c r="AF17" s="45" t="n"/>
    </row>
    <row r="18" hidden="1" ht="15.75" customHeight="1" s="259">
      <c r="A18" s="8" t="n">
        <v>45147</v>
      </c>
      <c r="B18" t="n">
        <v>2.04</v>
      </c>
      <c r="C18" t="n">
        <v>1.3</v>
      </c>
      <c r="D18" t="n">
        <v>1.34</v>
      </c>
      <c r="E18" t="n">
        <v>1.44</v>
      </c>
      <c r="F18" t="n">
        <v>0</v>
      </c>
      <c r="G18" t="n">
        <v>0.78</v>
      </c>
      <c r="H18" t="n">
        <v>0.12</v>
      </c>
      <c r="I18" t="n">
        <v>0.38</v>
      </c>
      <c r="J18" t="n">
        <v>1.2</v>
      </c>
      <c r="K18" t="n">
        <v>0.02</v>
      </c>
      <c r="L18" t="n">
        <v>0.3</v>
      </c>
      <c r="M18" t="n">
        <v>0.08</v>
      </c>
      <c r="N18" t="n">
        <v>18.38</v>
      </c>
      <c r="O18">
        <f>SUM(B18:N18)</f>
        <v/>
      </c>
      <c r="Q18" s="41">
        <f>B18/$O18</f>
        <v/>
      </c>
      <c r="R18" s="41">
        <f>C18/$O18</f>
        <v/>
      </c>
      <c r="S18" s="41">
        <f>D18/$O18</f>
        <v/>
      </c>
      <c r="T18" s="41">
        <f>E18/$O18</f>
        <v/>
      </c>
      <c r="U18" s="41">
        <f>F18/$O18</f>
        <v/>
      </c>
      <c r="V18" s="41">
        <f>G18/$O18</f>
        <v/>
      </c>
      <c r="W18" s="41">
        <f>H18/$O18</f>
        <v/>
      </c>
      <c r="X18" s="41">
        <f>I18/$O18</f>
        <v/>
      </c>
      <c r="Y18" s="41">
        <f>J18/$O18</f>
        <v/>
      </c>
      <c r="Z18" s="41">
        <f>K18/$O18</f>
        <v/>
      </c>
      <c r="AA18" s="41">
        <f>L18/$O18</f>
        <v/>
      </c>
      <c r="AB18" s="41">
        <f>M18/$O18</f>
        <v/>
      </c>
      <c r="AC18" s="41">
        <f>N18/$O18</f>
        <v/>
      </c>
      <c r="AD18" s="45">
        <f>SUM(Q18:T18)</f>
        <v/>
      </c>
      <c r="AE18" s="45">
        <f>SUM(U18:AB18)</f>
        <v/>
      </c>
      <c r="AF18" s="45" t="n"/>
    </row>
    <row r="19" hidden="1" ht="15.75" customHeight="1" s="259">
      <c r="A19" s="8" t="n">
        <v>45197</v>
      </c>
      <c r="B19" t="n">
        <v>1.3</v>
      </c>
      <c r="C19" t="n">
        <v>1.4</v>
      </c>
      <c r="D19" t="n">
        <v>1.06</v>
      </c>
      <c r="E19" t="n">
        <v>0.72</v>
      </c>
      <c r="F19" t="n">
        <v>1.3</v>
      </c>
      <c r="G19" t="n">
        <v>0.66</v>
      </c>
      <c r="H19" t="n">
        <v>0.41</v>
      </c>
      <c r="I19" t="n">
        <v>0.28</v>
      </c>
      <c r="J19" t="n">
        <v>0.58</v>
      </c>
      <c r="K19" t="n">
        <v>0</v>
      </c>
      <c r="L19" t="n">
        <v>0.18</v>
      </c>
      <c r="M19" t="n">
        <v>0.04</v>
      </c>
      <c r="N19" t="n">
        <v>18.96</v>
      </c>
      <c r="O19">
        <f>SUM(B19:N19)</f>
        <v/>
      </c>
      <c r="Q19" s="41">
        <f>B19/$O19</f>
        <v/>
      </c>
      <c r="R19" s="41">
        <f>C19/$O19</f>
        <v/>
      </c>
      <c r="S19" s="41">
        <f>D19/$O19</f>
        <v/>
      </c>
      <c r="T19" s="41">
        <f>E19/$O19</f>
        <v/>
      </c>
      <c r="U19" s="41">
        <f>F19/$O19</f>
        <v/>
      </c>
      <c r="V19" s="41">
        <f>G19/$O19</f>
        <v/>
      </c>
      <c r="W19" s="41">
        <f>H19/$O19</f>
        <v/>
      </c>
      <c r="X19" s="41">
        <f>I19/$O19</f>
        <v/>
      </c>
      <c r="Y19" s="41">
        <f>J19/$O19</f>
        <v/>
      </c>
      <c r="Z19" s="41">
        <f>K19/$O19</f>
        <v/>
      </c>
      <c r="AA19" s="41">
        <f>L19/$O19</f>
        <v/>
      </c>
      <c r="AB19" s="41">
        <f>M19/$O19</f>
        <v/>
      </c>
      <c r="AC19" s="41">
        <f>N19/$O19</f>
        <v/>
      </c>
      <c r="AD19" s="45">
        <f>SUM(Q19:T19)</f>
        <v/>
      </c>
      <c r="AE19" s="45">
        <f>SUM(U19:AB19)</f>
        <v/>
      </c>
      <c r="AF19" s="45" t="n"/>
    </row>
    <row r="20" hidden="1" ht="15.75" customHeight="1" s="259">
      <c r="A20" s="8" t="n">
        <v>45210</v>
      </c>
      <c r="B20" t="n">
        <v>2.66</v>
      </c>
      <c r="C20" t="n">
        <v>1.7</v>
      </c>
      <c r="D20" t="n">
        <v>0.68</v>
      </c>
      <c r="E20" t="n">
        <v>0.54</v>
      </c>
      <c r="F20" t="n">
        <v>0.14</v>
      </c>
      <c r="G20" t="n">
        <v>0.8</v>
      </c>
      <c r="H20" t="n">
        <v>0.16</v>
      </c>
      <c r="I20" t="n">
        <v>0.9399999999999999</v>
      </c>
      <c r="J20" t="n">
        <v>0.7</v>
      </c>
      <c r="K20" t="n">
        <v>0.16</v>
      </c>
      <c r="L20" t="n">
        <v>0.28</v>
      </c>
      <c r="M20" t="n">
        <v>0.08</v>
      </c>
      <c r="N20" t="n">
        <v>15.14</v>
      </c>
      <c r="O20">
        <f>SUM(B20:N20)</f>
        <v/>
      </c>
      <c r="Q20" s="41">
        <f>B20/$O20</f>
        <v/>
      </c>
      <c r="R20" s="41">
        <f>C20/$O20</f>
        <v/>
      </c>
      <c r="S20" s="41">
        <f>D20/$O20</f>
        <v/>
      </c>
      <c r="T20" s="41">
        <f>E20/$O20</f>
        <v/>
      </c>
      <c r="U20" s="41">
        <f>F20/$O20</f>
        <v/>
      </c>
      <c r="V20" s="41">
        <f>G20/$O20</f>
        <v/>
      </c>
      <c r="W20" s="41">
        <f>H20/$O20</f>
        <v/>
      </c>
      <c r="X20" s="41">
        <f>I20/$O20</f>
        <v/>
      </c>
      <c r="Y20" s="41">
        <f>J20/$O20</f>
        <v/>
      </c>
      <c r="Z20" s="41">
        <f>K20/$O20</f>
        <v/>
      </c>
      <c r="AA20" s="41">
        <f>L20/$O20</f>
        <v/>
      </c>
      <c r="AB20" s="41">
        <f>M20/$O20</f>
        <v/>
      </c>
      <c r="AC20" s="41">
        <f>N20/$O20</f>
        <v/>
      </c>
      <c r="AD20" s="45">
        <f>SUM(Q20:T20)</f>
        <v/>
      </c>
      <c r="AE20" s="45">
        <f>SUM(U20:AB20)</f>
        <v/>
      </c>
      <c r="AF20" s="45" t="n"/>
    </row>
    <row r="21" hidden="1" ht="15.75" customHeight="1" s="259">
      <c r="A21" s="8" t="n">
        <v>45227</v>
      </c>
      <c r="B21" t="n">
        <v>2.42</v>
      </c>
      <c r="C21" t="n">
        <v>0.48</v>
      </c>
      <c r="D21" t="n">
        <v>0.98</v>
      </c>
      <c r="E21" t="n">
        <v>0.3</v>
      </c>
      <c r="F21" t="n">
        <v>0.86</v>
      </c>
      <c r="G21" t="n">
        <v>1.06</v>
      </c>
      <c r="H21" t="n">
        <v>0.32</v>
      </c>
      <c r="I21" t="n">
        <v>1.08</v>
      </c>
      <c r="J21" t="n">
        <v>0.48</v>
      </c>
      <c r="K21" t="n">
        <v>0.2</v>
      </c>
      <c r="L21" t="n">
        <v>0.24</v>
      </c>
      <c r="M21" t="n">
        <v>0.24</v>
      </c>
      <c r="N21" t="n">
        <v>23.2</v>
      </c>
      <c r="O21">
        <f>SUM(B21:N21)</f>
        <v/>
      </c>
      <c r="Q21" s="41">
        <f>B21/$O21</f>
        <v/>
      </c>
      <c r="R21" s="41">
        <f>C21/$O21</f>
        <v/>
      </c>
      <c r="S21" s="41">
        <f>D21/$O21</f>
        <v/>
      </c>
      <c r="T21" s="41">
        <f>E21/$O21</f>
        <v/>
      </c>
      <c r="U21" s="41">
        <f>F21/$O21</f>
        <v/>
      </c>
      <c r="V21" s="41">
        <f>G21/$O21</f>
        <v/>
      </c>
      <c r="W21" s="41">
        <f>H21/$O21</f>
        <v/>
      </c>
      <c r="X21" s="41">
        <f>I21/$O21</f>
        <v/>
      </c>
      <c r="Y21" s="41">
        <f>J21/$O21</f>
        <v/>
      </c>
      <c r="Z21" s="41">
        <f>K21/$O21</f>
        <v/>
      </c>
      <c r="AA21" s="41">
        <f>L21/$O21</f>
        <v/>
      </c>
      <c r="AB21" s="41">
        <f>M21/$O21</f>
        <v/>
      </c>
      <c r="AC21" s="41">
        <f>N21/$O21</f>
        <v/>
      </c>
      <c r="AD21" s="45">
        <f>SUM(Q21:T21)</f>
        <v/>
      </c>
      <c r="AE21" s="45">
        <f>SUM(U21:AB21)</f>
        <v/>
      </c>
      <c r="AF21" s="45" t="n"/>
    </row>
    <row r="22" hidden="1" ht="15.75" customHeight="1" s="259">
      <c r="A22" s="8" t="n">
        <v>45234</v>
      </c>
      <c r="B22" t="n">
        <v>1.38</v>
      </c>
      <c r="C22" t="n">
        <v>0.92</v>
      </c>
      <c r="D22" t="n">
        <v>0.64</v>
      </c>
      <c r="E22" t="n">
        <v>0.38</v>
      </c>
      <c r="F22" t="n">
        <v>0.08</v>
      </c>
      <c r="G22" t="n">
        <v>0.96</v>
      </c>
      <c r="H22" t="n">
        <v>0.06</v>
      </c>
      <c r="I22" t="n">
        <v>1.3</v>
      </c>
      <c r="J22" t="n">
        <v>0.5</v>
      </c>
      <c r="K22" t="n">
        <v>0.28</v>
      </c>
      <c r="L22" t="n">
        <v>0.26</v>
      </c>
      <c r="M22" t="n">
        <v>0.22</v>
      </c>
      <c r="N22" t="n">
        <v>28.22</v>
      </c>
      <c r="O22">
        <f>SUM(B22:N22)</f>
        <v/>
      </c>
      <c r="Q22" s="41">
        <f>B22/$O22</f>
        <v/>
      </c>
      <c r="R22" s="41">
        <f>C22/$O22</f>
        <v/>
      </c>
      <c r="S22" s="41">
        <f>D22/$O22</f>
        <v/>
      </c>
      <c r="T22" s="41">
        <f>E22/$O22</f>
        <v/>
      </c>
      <c r="U22" s="41">
        <f>F22/$O22</f>
        <v/>
      </c>
      <c r="V22" s="41">
        <f>G22/$O22</f>
        <v/>
      </c>
      <c r="W22" s="41">
        <f>H22/$O22</f>
        <v/>
      </c>
      <c r="X22" s="41">
        <f>I22/$O22</f>
        <v/>
      </c>
      <c r="Y22" s="41">
        <f>J22/$O22</f>
        <v/>
      </c>
      <c r="Z22" s="41">
        <f>K22/$O22</f>
        <v/>
      </c>
      <c r="AA22" s="41">
        <f>L22/$O22</f>
        <v/>
      </c>
      <c r="AB22" s="41">
        <f>M22/$O22</f>
        <v/>
      </c>
      <c r="AC22" s="41">
        <f>N22/$O22</f>
        <v/>
      </c>
      <c r="AD22" s="45">
        <f>SUM(Q22:T22)</f>
        <v/>
      </c>
      <c r="AE22" s="45">
        <f>SUM(U22:AB22)</f>
        <v/>
      </c>
      <c r="AF22" s="45" t="n"/>
    </row>
    <row r="23" hidden="1" ht="15.75" customHeight="1" s="259">
      <c r="A23" s="8" t="n">
        <v>45328</v>
      </c>
      <c r="B23" t="n">
        <v>3.1</v>
      </c>
      <c r="C23" t="n">
        <v>1.6</v>
      </c>
      <c r="D23" t="n">
        <v>1.18</v>
      </c>
      <c r="E23" t="n">
        <v>0.6</v>
      </c>
      <c r="F23" t="n">
        <v>0.04</v>
      </c>
      <c r="G23" t="n">
        <v>0.5</v>
      </c>
      <c r="H23" t="n">
        <v>0.18</v>
      </c>
      <c r="I23" t="n">
        <v>0.44</v>
      </c>
      <c r="J23" t="n">
        <v>0.62</v>
      </c>
      <c r="K23" t="n">
        <v>0.6</v>
      </c>
      <c r="L23" t="n">
        <v>0.5</v>
      </c>
      <c r="M23" t="n">
        <v>0.16</v>
      </c>
      <c r="N23" t="n">
        <v>33.68</v>
      </c>
      <c r="O23">
        <f>SUM(B23:N23)</f>
        <v/>
      </c>
      <c r="Q23" s="41">
        <f>B23/$O23</f>
        <v/>
      </c>
      <c r="R23" s="41">
        <f>C23/$O23</f>
        <v/>
      </c>
      <c r="S23" s="41">
        <f>D23/$O23</f>
        <v/>
      </c>
      <c r="T23" s="41">
        <f>E23/$O23</f>
        <v/>
      </c>
      <c r="U23" s="41">
        <f>F23/$O23</f>
        <v/>
      </c>
      <c r="V23" s="41">
        <f>G23/$O23</f>
        <v/>
      </c>
      <c r="W23" s="41">
        <f>H23/$O23</f>
        <v/>
      </c>
      <c r="X23" s="41">
        <f>I23/$O23</f>
        <v/>
      </c>
      <c r="Y23" s="41">
        <f>J23/$O23</f>
        <v/>
      </c>
      <c r="Z23" s="41">
        <f>K23/$O23</f>
        <v/>
      </c>
      <c r="AA23" s="41">
        <f>L23/$O23</f>
        <v/>
      </c>
      <c r="AB23" s="41">
        <f>M23/$O23</f>
        <v/>
      </c>
      <c r="AC23" s="41">
        <f>N23/$O23</f>
        <v/>
      </c>
      <c r="AD23" s="45">
        <f>SUM(Q23:T23)</f>
        <v/>
      </c>
      <c r="AE23" s="45">
        <f>SUM(U23:AB23)</f>
        <v/>
      </c>
      <c r="AF23" s="45">
        <f>SUM(AD23:AE23)</f>
        <v/>
      </c>
      <c r="AG23">
        <f>YEAR(A23)</f>
        <v/>
      </c>
      <c r="AH23">
        <f>MONTH(A23)</f>
        <v/>
      </c>
      <c r="AI23" t="n">
        <v>1</v>
      </c>
    </row>
    <row r="24" hidden="1" ht="15.75" customHeight="1" s="259">
      <c r="A24" s="8" t="n">
        <v>45341</v>
      </c>
      <c r="B24" t="n">
        <v>1.6</v>
      </c>
      <c r="C24" t="n">
        <v>0.82</v>
      </c>
      <c r="D24" t="n">
        <v>1.04</v>
      </c>
      <c r="E24" t="n">
        <v>0.2</v>
      </c>
      <c r="F24" t="n">
        <v>0.28</v>
      </c>
      <c r="G24" t="n">
        <v>0.22</v>
      </c>
      <c r="H24" t="n">
        <v>0.06</v>
      </c>
      <c r="I24" t="n">
        <v>0.26</v>
      </c>
      <c r="J24" t="n">
        <v>0.32</v>
      </c>
      <c r="K24" t="n">
        <v>0.19</v>
      </c>
      <c r="L24" t="n">
        <v>0.06</v>
      </c>
      <c r="M24" t="n">
        <v>0.08</v>
      </c>
      <c r="N24" t="n">
        <v>17.12</v>
      </c>
      <c r="O24">
        <f>SUM(B24:N24)</f>
        <v/>
      </c>
      <c r="Q24" s="41">
        <f>B24/$O24</f>
        <v/>
      </c>
      <c r="R24" s="41">
        <f>C24/$O24</f>
        <v/>
      </c>
      <c r="S24" s="41">
        <f>D24/$O24</f>
        <v/>
      </c>
      <c r="T24" s="41">
        <f>E24/$O24</f>
        <v/>
      </c>
      <c r="U24" s="41">
        <f>F24/$O24</f>
        <v/>
      </c>
      <c r="V24" s="41">
        <f>G24/$O24</f>
        <v/>
      </c>
      <c r="W24" s="41">
        <f>H24/$O24</f>
        <v/>
      </c>
      <c r="X24" s="41">
        <f>I24/$O24</f>
        <v/>
      </c>
      <c r="Y24" s="41">
        <f>J24/$O24</f>
        <v/>
      </c>
      <c r="Z24" s="41">
        <f>K24/$O24</f>
        <v/>
      </c>
      <c r="AA24" s="41">
        <f>L24/$O24</f>
        <v/>
      </c>
      <c r="AB24" s="41">
        <f>M24/$O24</f>
        <v/>
      </c>
      <c r="AC24" s="41">
        <f>N24/$O24</f>
        <v/>
      </c>
      <c r="AD24" s="45">
        <f>SUM(Q24:T24)</f>
        <v/>
      </c>
      <c r="AE24" s="45">
        <f>SUM(U24:AB24)</f>
        <v/>
      </c>
      <c r="AF24" s="45">
        <f>SUM(AD24:AE24)</f>
        <v/>
      </c>
      <c r="AG24">
        <f>YEAR(A24)</f>
        <v/>
      </c>
      <c r="AH24">
        <f>MONTH(A24)</f>
        <v/>
      </c>
      <c r="AI24">
        <f>AI23+1</f>
        <v/>
      </c>
    </row>
    <row r="25" hidden="1" ht="15.75" customHeight="1" s="259">
      <c r="A25" s="8" t="n">
        <v>45359</v>
      </c>
      <c r="B25" t="n">
        <v>1.9</v>
      </c>
      <c r="C25" t="n">
        <v>1.56</v>
      </c>
      <c r="D25" t="n">
        <v>0.38</v>
      </c>
      <c r="E25" t="n">
        <v>0.06</v>
      </c>
      <c r="F25" t="n">
        <v>0.06</v>
      </c>
      <c r="G25" t="n">
        <v>0.5600000000000001</v>
      </c>
      <c r="H25" t="n">
        <v>0.06</v>
      </c>
      <c r="I25" t="n">
        <v>0.38</v>
      </c>
      <c r="J25" t="n">
        <v>0.48</v>
      </c>
      <c r="K25" t="n">
        <v>0.22</v>
      </c>
      <c r="L25" t="n">
        <v>0.12</v>
      </c>
      <c r="M25" t="n">
        <v>0.06</v>
      </c>
      <c r="N25" t="n">
        <v>16.48</v>
      </c>
      <c r="O25">
        <f>SUM(B25:N25)</f>
        <v/>
      </c>
      <c r="Q25" s="41">
        <f>B25/$O25</f>
        <v/>
      </c>
      <c r="R25" s="41">
        <f>C25/$O25</f>
        <v/>
      </c>
      <c r="S25" s="41">
        <f>D25/$O25</f>
        <v/>
      </c>
      <c r="T25" s="41">
        <f>E25/$O25</f>
        <v/>
      </c>
      <c r="U25" s="41">
        <f>F25/$O25</f>
        <v/>
      </c>
      <c r="V25" s="41">
        <f>G25/$O25</f>
        <v/>
      </c>
      <c r="W25" s="41">
        <f>H25/$O25</f>
        <v/>
      </c>
      <c r="X25" s="41">
        <f>I25/$O25</f>
        <v/>
      </c>
      <c r="Y25" s="41">
        <f>J25/$O25</f>
        <v/>
      </c>
      <c r="Z25" s="41">
        <f>K25/$O25</f>
        <v/>
      </c>
      <c r="AA25" s="41">
        <f>L25/$O25</f>
        <v/>
      </c>
      <c r="AB25" s="41">
        <f>M25/$O25</f>
        <v/>
      </c>
      <c r="AC25" s="41">
        <f>N25/$O25</f>
        <v/>
      </c>
      <c r="AD25" s="45">
        <f>SUM(Q25:T25)</f>
        <v/>
      </c>
      <c r="AE25" s="45">
        <f>SUM(U25:AB25)</f>
        <v/>
      </c>
      <c r="AF25" s="45">
        <f>SUM(AD25:AE25)</f>
        <v/>
      </c>
      <c r="AG25">
        <f>YEAR(A25)</f>
        <v/>
      </c>
      <c r="AH25">
        <f>MONTH(A25)</f>
        <v/>
      </c>
      <c r="AI25">
        <f>AI24+1</f>
        <v/>
      </c>
    </row>
    <row r="26" hidden="1" ht="15.75" customHeight="1" s="259">
      <c r="A26" s="8" t="n">
        <v>45401</v>
      </c>
      <c r="B26" t="n">
        <v>0.52</v>
      </c>
      <c r="C26" t="n">
        <v>1.18</v>
      </c>
      <c r="D26" t="n">
        <v>1.58</v>
      </c>
      <c r="E26" t="n">
        <v>0.08</v>
      </c>
      <c r="F26" t="n">
        <v>0</v>
      </c>
      <c r="G26" t="n">
        <v>0.58</v>
      </c>
      <c r="H26" t="n">
        <v>0</v>
      </c>
      <c r="I26" t="n">
        <v>0.26</v>
      </c>
      <c r="J26" t="n">
        <v>0.1</v>
      </c>
      <c r="K26" t="n">
        <v>0.04</v>
      </c>
      <c r="L26" t="n">
        <v>0.18</v>
      </c>
      <c r="M26" t="n">
        <v>0</v>
      </c>
      <c r="N26" t="n">
        <v>5.18</v>
      </c>
      <c r="O26">
        <f>SUM(B26:N26)</f>
        <v/>
      </c>
      <c r="Q26" s="41">
        <f>B26/$O26</f>
        <v/>
      </c>
      <c r="R26" s="41">
        <f>C26/$O26</f>
        <v/>
      </c>
      <c r="S26" s="41">
        <f>D26/$O26</f>
        <v/>
      </c>
      <c r="T26" s="41">
        <f>E26/$O26</f>
        <v/>
      </c>
      <c r="U26" s="41">
        <f>F26/$O26</f>
        <v/>
      </c>
      <c r="V26" s="41">
        <f>G26/$O26</f>
        <v/>
      </c>
      <c r="W26" s="41">
        <f>H26/$O26</f>
        <v/>
      </c>
      <c r="X26" s="41">
        <f>I26/$O26</f>
        <v/>
      </c>
      <c r="Y26" s="41">
        <f>J26/$O26</f>
        <v/>
      </c>
      <c r="Z26" s="41">
        <f>K26/$O26</f>
        <v/>
      </c>
      <c r="AA26" s="41">
        <f>L26/$O26</f>
        <v/>
      </c>
      <c r="AB26" s="41">
        <f>M26/$O26</f>
        <v/>
      </c>
      <c r="AC26" s="41">
        <f>N26/$O26</f>
        <v/>
      </c>
      <c r="AD26" s="45">
        <f>SUM(Q26:T26)</f>
        <v/>
      </c>
      <c r="AE26" s="45">
        <f>SUM(U26:AB26)</f>
        <v/>
      </c>
      <c r="AF26" s="45">
        <f>SUM(AD26:AE26)</f>
        <v/>
      </c>
      <c r="AG26">
        <f>YEAR(A26)</f>
        <v/>
      </c>
      <c r="AH26">
        <f>MONTH(A26)</f>
        <v/>
      </c>
      <c r="AI26">
        <f>AI25+1</f>
        <v/>
      </c>
    </row>
    <row r="27" hidden="1" ht="15.75" customHeight="1" s="259">
      <c r="A27" s="8" t="n">
        <v>45474</v>
      </c>
      <c r="B27" t="n">
        <v>1.76</v>
      </c>
      <c r="C27" t="n">
        <v>1.66</v>
      </c>
      <c r="D27" t="n">
        <v>0.6</v>
      </c>
      <c r="E27" t="n">
        <v>0.28</v>
      </c>
      <c r="F27" t="n">
        <v>0.4</v>
      </c>
      <c r="G27" t="n">
        <v>0.8</v>
      </c>
      <c r="H27" t="n">
        <v>0.46</v>
      </c>
      <c r="I27" t="n">
        <v>0.66</v>
      </c>
      <c r="J27" t="n">
        <v>0.44</v>
      </c>
      <c r="K27" t="n">
        <v>0.12</v>
      </c>
      <c r="L27" t="n">
        <v>0.64</v>
      </c>
      <c r="M27" t="n">
        <v>0.02</v>
      </c>
      <c r="N27" t="n">
        <v>18.92</v>
      </c>
      <c r="O27">
        <f>SUM(B27:N27)</f>
        <v/>
      </c>
      <c r="Q27" s="41">
        <f>B27/$O27</f>
        <v/>
      </c>
      <c r="R27" s="41">
        <f>C27/$O27</f>
        <v/>
      </c>
      <c r="S27" s="41">
        <f>D27/$O27</f>
        <v/>
      </c>
      <c r="T27" s="41">
        <f>E27/$O27</f>
        <v/>
      </c>
      <c r="U27" s="41">
        <f>F27/$O27</f>
        <v/>
      </c>
      <c r="V27" s="41">
        <f>G27/$O27</f>
        <v/>
      </c>
      <c r="W27" s="41">
        <f>H27/$O27</f>
        <v/>
      </c>
      <c r="X27" s="41">
        <f>I27/$O27</f>
        <v/>
      </c>
      <c r="Y27" s="41">
        <f>J27/$O27</f>
        <v/>
      </c>
      <c r="Z27" s="41">
        <f>K27/$O27</f>
        <v/>
      </c>
      <c r="AA27" s="41">
        <f>L27/$O27</f>
        <v/>
      </c>
      <c r="AB27" s="41">
        <f>M27/$O27</f>
        <v/>
      </c>
      <c r="AC27" s="41">
        <f>N27/$O27</f>
        <v/>
      </c>
      <c r="AD27" s="45">
        <f>SUM(Q27:T27)</f>
        <v/>
      </c>
      <c r="AE27" s="45">
        <f>SUM(U27:AB27)</f>
        <v/>
      </c>
      <c r="AF27" s="45">
        <f>SUM(AD27:AE27)</f>
        <v/>
      </c>
      <c r="AG27">
        <f>YEAR(A27)</f>
        <v/>
      </c>
      <c r="AH27">
        <f>MONTH(A27)</f>
        <v/>
      </c>
      <c r="AI27">
        <f>AI26+1</f>
        <v/>
      </c>
    </row>
    <row r="28" hidden="1" ht="15.75" customHeight="1" s="259">
      <c r="A28" s="8" t="n">
        <v>45598</v>
      </c>
      <c r="B28" t="n">
        <v>2.26</v>
      </c>
      <c r="C28" t="n">
        <v>1.08</v>
      </c>
      <c r="D28" t="n">
        <v>0.88</v>
      </c>
      <c r="E28" t="n">
        <v>0.34</v>
      </c>
      <c r="F28" t="n">
        <v>0.18</v>
      </c>
      <c r="G28" t="n">
        <v>0.86</v>
      </c>
      <c r="H28" t="n">
        <v>0.12</v>
      </c>
      <c r="I28" t="n">
        <v>0.72</v>
      </c>
      <c r="J28" t="n">
        <v>0.44</v>
      </c>
      <c r="K28" t="n">
        <v>0</v>
      </c>
      <c r="L28" t="n">
        <v>0.2</v>
      </c>
      <c r="M28" t="n">
        <v>0.06</v>
      </c>
      <c r="N28" t="n">
        <v>28</v>
      </c>
      <c r="O28" s="114">
        <f>SUM(B28:N28)</f>
        <v/>
      </c>
      <c r="Q28" s="41">
        <f>B28/$O28</f>
        <v/>
      </c>
      <c r="R28" s="41">
        <f>C28/$O28</f>
        <v/>
      </c>
      <c r="S28" s="41">
        <f>D28/$O28</f>
        <v/>
      </c>
      <c r="T28" s="41">
        <f>E28/$O28</f>
        <v/>
      </c>
      <c r="U28" s="41">
        <f>F28/$O28</f>
        <v/>
      </c>
      <c r="V28" s="41">
        <f>G28/$O28</f>
        <v/>
      </c>
      <c r="W28" s="41">
        <f>H28/$O28</f>
        <v/>
      </c>
      <c r="X28" s="41">
        <f>I28/$O28</f>
        <v/>
      </c>
      <c r="Y28" s="41">
        <f>J28/$O28</f>
        <v/>
      </c>
      <c r="Z28" s="41">
        <f>K28/$O28</f>
        <v/>
      </c>
      <c r="AA28" s="41">
        <f>L28/$O28</f>
        <v/>
      </c>
      <c r="AB28" s="41">
        <f>M28/$O28</f>
        <v/>
      </c>
      <c r="AC28" s="41">
        <f>N28/$O28</f>
        <v/>
      </c>
      <c r="AD28" s="45">
        <f>SUM(Q28:T28)</f>
        <v/>
      </c>
      <c r="AE28" s="45">
        <f>SUM(U28:AB28)</f>
        <v/>
      </c>
      <c r="AF28" s="45">
        <f>SUM(AD28:AE28)</f>
        <v/>
      </c>
      <c r="AG28">
        <f>YEAR(A28)</f>
        <v/>
      </c>
      <c r="AH28">
        <f>MONTH(A28)</f>
        <v/>
      </c>
      <c r="AI28">
        <f>AI27+1</f>
        <v/>
      </c>
    </row>
    <row r="29" ht="15.75" customHeight="1" s="259">
      <c r="A29" s="8" t="n">
        <v>45667</v>
      </c>
      <c r="B29" t="n">
        <v>1.24</v>
      </c>
      <c r="C29" t="n">
        <v>1.1</v>
      </c>
      <c r="D29" t="n">
        <v>0.98</v>
      </c>
      <c r="E29" t="n">
        <v>0.36</v>
      </c>
      <c r="F29" t="n">
        <v>1</v>
      </c>
      <c r="G29" t="n">
        <v>1.02</v>
      </c>
      <c r="H29" t="n">
        <v>0.04</v>
      </c>
      <c r="I29" t="n">
        <v>0.75</v>
      </c>
      <c r="J29" t="n">
        <v>0.49</v>
      </c>
      <c r="K29" t="n">
        <v>0.6</v>
      </c>
      <c r="L29" t="n">
        <v>0.33</v>
      </c>
      <c r="M29" t="n">
        <v>0.04</v>
      </c>
      <c r="N29" t="n">
        <v>30.58</v>
      </c>
      <c r="O29">
        <f>SUM(B29:N29)</f>
        <v/>
      </c>
      <c r="Q29" s="41">
        <f>B29/$O29</f>
        <v/>
      </c>
      <c r="R29" s="41">
        <f>C29/$O29</f>
        <v/>
      </c>
      <c r="S29" s="41">
        <f>D29/$O29</f>
        <v/>
      </c>
      <c r="T29" s="41">
        <f>E29/$O29</f>
        <v/>
      </c>
      <c r="U29" s="41">
        <f>F29/$O29</f>
        <v/>
      </c>
      <c r="V29" s="41">
        <f>G29/$O29</f>
        <v/>
      </c>
      <c r="W29" s="41">
        <f>H29/$O29</f>
        <v/>
      </c>
      <c r="X29" s="41">
        <f>I29/$O29</f>
        <v/>
      </c>
      <c r="Y29" s="41">
        <f>J29/$O29</f>
        <v/>
      </c>
      <c r="Z29" s="41">
        <f>K29/$O29</f>
        <v/>
      </c>
      <c r="AA29" s="41">
        <f>L29/$O29</f>
        <v/>
      </c>
      <c r="AB29" s="41">
        <f>M29/$O29</f>
        <v/>
      </c>
      <c r="AC29" s="41">
        <f>N29/$O29</f>
        <v/>
      </c>
      <c r="AD29" s="45">
        <f>SUM(Q29:T29)</f>
        <v/>
      </c>
      <c r="AE29" s="45">
        <f>SUM(U29:AB29)</f>
        <v/>
      </c>
      <c r="AF29" s="45">
        <f>SUM(AD29:AE29)</f>
        <v/>
      </c>
      <c r="AG29">
        <f>YEAR(A29)</f>
        <v/>
      </c>
      <c r="AH29">
        <f>MONTH(A29)</f>
        <v/>
      </c>
      <c r="AI29">
        <f>AI28+1</f>
        <v/>
      </c>
    </row>
    <row r="30" hidden="1" ht="15.75" customHeight="1" s="259">
      <c r="O30">
        <f>SUM(B30:N30)</f>
        <v/>
      </c>
      <c r="Q30" s="41">
        <f>B30/$O30</f>
        <v/>
      </c>
      <c r="R30" s="41">
        <f>C30/$O30</f>
        <v/>
      </c>
      <c r="S30" s="41">
        <f>D30/$O30</f>
        <v/>
      </c>
      <c r="T30" s="41">
        <f>E30/$O30</f>
        <v/>
      </c>
      <c r="U30" s="41">
        <f>F30/$O30</f>
        <v/>
      </c>
      <c r="V30" s="41">
        <f>G30/$O30</f>
        <v/>
      </c>
      <c r="W30" s="41">
        <f>H30/$O30</f>
        <v/>
      </c>
      <c r="X30" s="41">
        <f>I30/$O30</f>
        <v/>
      </c>
      <c r="Y30" s="41">
        <f>J30/$O30</f>
        <v/>
      </c>
      <c r="Z30" s="41">
        <f>K30/$O30</f>
        <v/>
      </c>
      <c r="AA30" s="41">
        <f>L30/$O30</f>
        <v/>
      </c>
      <c r="AB30" s="41">
        <f>M30/$O30</f>
        <v/>
      </c>
      <c r="AC30" s="41">
        <f>N30/$O30</f>
        <v/>
      </c>
      <c r="AD30" s="45">
        <f>SUM(Q30:T30)</f>
        <v/>
      </c>
      <c r="AE30" s="45">
        <f>SUM(U30:AB30)</f>
        <v/>
      </c>
      <c r="AF30" s="45">
        <f>SUM(AD30:AE30)</f>
        <v/>
      </c>
      <c r="AG30">
        <f>YEAR(A30)</f>
        <v/>
      </c>
      <c r="AH30">
        <f>MONTH(A30)</f>
        <v/>
      </c>
      <c r="AI30">
        <f>AI29+1</f>
        <v/>
      </c>
    </row>
    <row r="32" ht="21" customHeight="1" s="259">
      <c r="A32" s="105" t="inlineStr">
        <is>
          <t xml:space="preserve">Moyenne </t>
        </is>
      </c>
      <c r="B32" s="101">
        <f>AVERAGE(B2:B15)</f>
        <v/>
      </c>
      <c r="C32" s="101">
        <f>AVERAGE(C2:C15)</f>
        <v/>
      </c>
      <c r="D32" s="101">
        <f>AVERAGE(D2:D15)</f>
        <v/>
      </c>
      <c r="E32" s="101">
        <f>AVERAGE(E2:E15)</f>
        <v/>
      </c>
      <c r="F32" s="102">
        <f>AVERAGE(F2:F15)</f>
        <v/>
      </c>
      <c r="G32" s="102">
        <f>AVERAGE(G2:G15)</f>
        <v/>
      </c>
      <c r="H32" s="102">
        <f>AVERAGE(H2:H15)</f>
        <v/>
      </c>
      <c r="I32" s="102">
        <f>AVERAGE(I2:I15)</f>
        <v/>
      </c>
      <c r="J32" s="102">
        <f>AVERAGE(J2:J15)</f>
        <v/>
      </c>
      <c r="K32" s="102">
        <f>AVERAGE(K2:K15)</f>
        <v/>
      </c>
      <c r="L32" s="102">
        <f>AVERAGE(L2:L15)</f>
        <v/>
      </c>
      <c r="M32" s="102">
        <f>AVERAGE(M2:M15)</f>
        <v/>
      </c>
      <c r="N32" s="103">
        <f>AVERAGE(N2:N15)</f>
        <v/>
      </c>
      <c r="O32" s="104">
        <f>AVERAGE(O2:O15)</f>
        <v/>
      </c>
      <c r="P32" s="46" t="inlineStr">
        <is>
          <t>REFUS</t>
        </is>
      </c>
      <c r="Q32" s="100">
        <f>AVERAGE(Q2:Q27)</f>
        <v/>
      </c>
      <c r="R32" s="100">
        <f>AVERAGE(R2:R27)</f>
        <v/>
      </c>
      <c r="S32" s="100">
        <f>AVERAGE(S2:S27)</f>
        <v/>
      </c>
      <c r="T32" s="100">
        <f>AVERAGE(T2:T27)</f>
        <v/>
      </c>
      <c r="U32" s="47">
        <f>AVERAGE(U2:U27)</f>
        <v/>
      </c>
      <c r="V32" s="47">
        <f>AVERAGE(V2:V27)</f>
        <v/>
      </c>
      <c r="W32" s="47">
        <f>AVERAGE(W2:W27)</f>
        <v/>
      </c>
      <c r="X32" s="47">
        <f>AVERAGE(X2:X27)</f>
        <v/>
      </c>
      <c r="Y32" s="47">
        <f>AVERAGE(Y2:Y27)</f>
        <v/>
      </c>
      <c r="Z32" s="47">
        <f>AVERAGE(Z2:Z27)</f>
        <v/>
      </c>
      <c r="AA32" s="47">
        <f>AVERAGE(AA2:AA27)</f>
        <v/>
      </c>
      <c r="AB32" s="47">
        <f>AVERAGE(AB2:AB27)</f>
        <v/>
      </c>
      <c r="AC32" s="49">
        <f>AVERAGE(AC2:AC27)</f>
        <v/>
      </c>
      <c r="AD32" s="100">
        <f>AVERAGE(AD2:AD27)</f>
        <v/>
      </c>
      <c r="AE32" s="50">
        <f>AVERAGE(AE2:AE27)</f>
        <v/>
      </c>
    </row>
    <row r="33" ht="15.75" customHeight="1" s="259"/>
    <row r="34" ht="15.75" customHeight="1" s="259">
      <c r="P34" s="38" t="n">
        <v>2024</v>
      </c>
      <c r="Q34" s="110">
        <f>AVERAGE(Q23:Q28)</f>
        <v/>
      </c>
      <c r="R34" s="110">
        <f>AVERAGE(R23:R28)</f>
        <v/>
      </c>
      <c r="S34" s="110">
        <f>AVERAGE(S23:S28)</f>
        <v/>
      </c>
      <c r="T34" s="110">
        <f>AVERAGE(T23:T28)</f>
        <v/>
      </c>
      <c r="U34" s="110">
        <f>AVERAGE(U23:U28)</f>
        <v/>
      </c>
      <c r="V34" s="110">
        <f>AVERAGE(V23:V28)</f>
        <v/>
      </c>
      <c r="W34" s="110">
        <f>AVERAGE(W23:W28)</f>
        <v/>
      </c>
      <c r="X34" s="110">
        <f>AVERAGE(X23:X28)</f>
        <v/>
      </c>
      <c r="Y34" s="110">
        <f>AVERAGE(Y23:Y28)</f>
        <v/>
      </c>
      <c r="Z34" s="110">
        <f>AVERAGE(Z23:Z28)</f>
        <v/>
      </c>
      <c r="AA34" s="110">
        <f>AVERAGE(AA23:AA28)</f>
        <v/>
      </c>
      <c r="AB34" s="110">
        <f>AVERAGE(AB23:AB28)</f>
        <v/>
      </c>
      <c r="AC34" s="110">
        <f>AVERAGE(AC23:AC28)</f>
        <v/>
      </c>
      <c r="AD34" s="110">
        <f>AVERAGE(AD23:AD28)</f>
        <v/>
      </c>
      <c r="AE34" s="110">
        <f>AVERAGE(AE23:AE28)</f>
        <v/>
      </c>
    </row>
    <row r="35" ht="15.75" customHeight="1" s="259">
      <c r="P35" s="92" t="inlineStr">
        <is>
          <t>Janvier</t>
        </is>
      </c>
      <c r="Q35" s="106" t="inlineStr">
        <is>
          <t>/</t>
        </is>
      </c>
      <c r="R35" s="106" t="inlineStr">
        <is>
          <t>/</t>
        </is>
      </c>
      <c r="S35" s="106" t="inlineStr">
        <is>
          <t>/</t>
        </is>
      </c>
      <c r="T35" s="106" t="inlineStr">
        <is>
          <t>/</t>
        </is>
      </c>
      <c r="U35" s="106" t="inlineStr">
        <is>
          <t>/</t>
        </is>
      </c>
      <c r="V35" s="106" t="inlineStr">
        <is>
          <t>/</t>
        </is>
      </c>
      <c r="W35" s="106" t="inlineStr">
        <is>
          <t>/</t>
        </is>
      </c>
      <c r="X35" s="106" t="inlineStr">
        <is>
          <t>/</t>
        </is>
      </c>
      <c r="Y35" s="106" t="inlineStr">
        <is>
          <t>/</t>
        </is>
      </c>
      <c r="Z35" s="106" t="inlineStr">
        <is>
          <t>/</t>
        </is>
      </c>
      <c r="AA35" s="106" t="inlineStr">
        <is>
          <t>/</t>
        </is>
      </c>
      <c r="AB35" s="106" t="inlineStr">
        <is>
          <t>/</t>
        </is>
      </c>
      <c r="AC35" s="106" t="inlineStr">
        <is>
          <t>/</t>
        </is>
      </c>
      <c r="AD35" s="106" t="inlineStr">
        <is>
          <t>/</t>
        </is>
      </c>
      <c r="AE35" s="106" t="inlineStr">
        <is>
          <t>/</t>
        </is>
      </c>
    </row>
    <row r="36" ht="15.75" customHeight="1" s="259">
      <c r="P36" s="92" t="inlineStr">
        <is>
          <t>Février</t>
        </is>
      </c>
      <c r="Q36" s="89">
        <f>AVERAGE(Q23:Q24)</f>
        <v/>
      </c>
      <c r="R36" s="89">
        <f>AVERAGE(R23:R24)</f>
        <v/>
      </c>
      <c r="S36" s="89">
        <f>AVERAGE(S23:S24)</f>
        <v/>
      </c>
      <c r="T36" s="89">
        <f>AVERAGE(T23:T24)</f>
        <v/>
      </c>
      <c r="U36" s="89">
        <f>AVERAGE(U23:U24)</f>
        <v/>
      </c>
      <c r="V36" s="89">
        <f>AVERAGE(V23:V24)</f>
        <v/>
      </c>
      <c r="W36" s="89">
        <f>AVERAGE(W23:W24)</f>
        <v/>
      </c>
      <c r="X36" s="89">
        <f>AVERAGE(X23:X24)</f>
        <v/>
      </c>
      <c r="Y36" s="89">
        <f>AVERAGE(Y23:Y24)</f>
        <v/>
      </c>
      <c r="Z36" s="89">
        <f>AVERAGE(Z23:Z24)</f>
        <v/>
      </c>
      <c r="AA36" s="89">
        <f>AVERAGE(AA23:AA24)</f>
        <v/>
      </c>
      <c r="AB36" s="89">
        <f>AVERAGE(AB23:AB24)</f>
        <v/>
      </c>
      <c r="AC36" s="89">
        <f>AVERAGE(AC23:AC24)</f>
        <v/>
      </c>
      <c r="AD36" s="89">
        <f>AVERAGE(AD23:AD24)</f>
        <v/>
      </c>
      <c r="AE36" s="89">
        <f>AVERAGE(AE23:AE24)</f>
        <v/>
      </c>
    </row>
    <row r="37" ht="15.75" customHeight="1" s="259">
      <c r="P37" s="92" t="inlineStr">
        <is>
          <t>Mars</t>
        </is>
      </c>
      <c r="Q37" s="89">
        <f>AVERAGE(Q25)</f>
        <v/>
      </c>
      <c r="R37" s="89">
        <f>AVERAGE(R25)</f>
        <v/>
      </c>
      <c r="S37" s="89">
        <f>AVERAGE(S25)</f>
        <v/>
      </c>
      <c r="T37" s="89">
        <f>AVERAGE(T25)</f>
        <v/>
      </c>
      <c r="U37" s="89">
        <f>AVERAGE(U25)</f>
        <v/>
      </c>
      <c r="V37" s="89">
        <f>AVERAGE(V25)</f>
        <v/>
      </c>
      <c r="W37" s="89">
        <f>AVERAGE(W25)</f>
        <v/>
      </c>
      <c r="X37" s="89">
        <f>AVERAGE(X25)</f>
        <v/>
      </c>
      <c r="Y37" s="89">
        <f>AVERAGE(Y25)</f>
        <v/>
      </c>
      <c r="Z37" s="89">
        <f>AVERAGE(Z25)</f>
        <v/>
      </c>
      <c r="AA37" s="89">
        <f>AVERAGE(AA25)</f>
        <v/>
      </c>
      <c r="AB37" s="89">
        <f>AVERAGE(AB25)</f>
        <v/>
      </c>
      <c r="AC37" s="89">
        <f>AVERAGE(AC25)</f>
        <v/>
      </c>
      <c r="AD37" s="89">
        <f>AVERAGE(AD25)</f>
        <v/>
      </c>
      <c r="AE37" s="89">
        <f>AVERAGE(AE25)</f>
        <v/>
      </c>
    </row>
    <row r="38" ht="15.75" customHeight="1" s="259">
      <c r="P38" s="92" t="inlineStr">
        <is>
          <t>Avril</t>
        </is>
      </c>
      <c r="Q38" s="89">
        <f>AVERAGE(Q26)</f>
        <v/>
      </c>
      <c r="R38" s="89">
        <f>AVERAGE(R26)</f>
        <v/>
      </c>
      <c r="S38" s="89">
        <f>AVERAGE(S26)</f>
        <v/>
      </c>
      <c r="T38" s="89">
        <f>AVERAGE(T26)</f>
        <v/>
      </c>
      <c r="U38" s="89">
        <f>AVERAGE(U26)</f>
        <v/>
      </c>
      <c r="V38" s="89">
        <f>AVERAGE(V26)</f>
        <v/>
      </c>
      <c r="W38" s="89">
        <f>AVERAGE(W26)</f>
        <v/>
      </c>
      <c r="X38" s="89">
        <f>AVERAGE(X26)</f>
        <v/>
      </c>
      <c r="Y38" s="89">
        <f>AVERAGE(Y26)</f>
        <v/>
      </c>
      <c r="Z38" s="89">
        <f>AVERAGE(Z26)</f>
        <v/>
      </c>
      <c r="AA38" s="89">
        <f>AVERAGE(AA26)</f>
        <v/>
      </c>
      <c r="AB38" s="89">
        <f>AVERAGE(AB26)</f>
        <v/>
      </c>
      <c r="AC38" s="89">
        <f>AVERAGE(AC26)</f>
        <v/>
      </c>
      <c r="AD38" s="89">
        <f>AVERAGE(AD26)</f>
        <v/>
      </c>
      <c r="AE38" s="89">
        <f>AVERAGE(AE26)</f>
        <v/>
      </c>
    </row>
    <row r="39" ht="15.75" customHeight="1" s="259">
      <c r="P39" s="92" t="inlineStr">
        <is>
          <t>Juin</t>
        </is>
      </c>
      <c r="Q39" s="106" t="inlineStr">
        <is>
          <t>/</t>
        </is>
      </c>
      <c r="R39" s="106" t="inlineStr">
        <is>
          <t>/</t>
        </is>
      </c>
      <c r="S39" s="106" t="inlineStr">
        <is>
          <t>/</t>
        </is>
      </c>
      <c r="T39" s="106" t="inlineStr">
        <is>
          <t>/</t>
        </is>
      </c>
      <c r="U39" s="106" t="inlineStr">
        <is>
          <t>/</t>
        </is>
      </c>
      <c r="V39" s="106" t="inlineStr">
        <is>
          <t>/</t>
        </is>
      </c>
      <c r="W39" s="106" t="inlineStr">
        <is>
          <t>/</t>
        </is>
      </c>
      <c r="X39" s="106" t="inlineStr">
        <is>
          <t>/</t>
        </is>
      </c>
      <c r="Y39" s="106" t="inlineStr">
        <is>
          <t>/</t>
        </is>
      </c>
      <c r="Z39" s="106" t="inlineStr">
        <is>
          <t>/</t>
        </is>
      </c>
      <c r="AA39" s="106" t="inlineStr">
        <is>
          <t>/</t>
        </is>
      </c>
      <c r="AB39" s="106" t="inlineStr">
        <is>
          <t>/</t>
        </is>
      </c>
      <c r="AC39" s="106" t="inlineStr">
        <is>
          <t>/</t>
        </is>
      </c>
      <c r="AD39" s="106" t="inlineStr">
        <is>
          <t>/</t>
        </is>
      </c>
      <c r="AE39" s="106" t="inlineStr">
        <is>
          <t>/</t>
        </is>
      </c>
    </row>
    <row r="40" ht="15.75" customHeight="1" s="259">
      <c r="P40" s="92" t="inlineStr">
        <is>
          <t>Juillet</t>
        </is>
      </c>
      <c r="Q40" s="89">
        <f>AVERAGE(Q27)</f>
        <v/>
      </c>
      <c r="R40" s="89">
        <f>AVERAGE(R27)</f>
        <v/>
      </c>
      <c r="S40" s="89">
        <f>AVERAGE(S27)</f>
        <v/>
      </c>
      <c r="T40" s="89">
        <f>AVERAGE(T27)</f>
        <v/>
      </c>
      <c r="U40" s="89">
        <f>AVERAGE(U27)</f>
        <v/>
      </c>
      <c r="V40" s="89">
        <f>AVERAGE(V27)</f>
        <v/>
      </c>
      <c r="W40" s="89">
        <f>AVERAGE(W27)</f>
        <v/>
      </c>
      <c r="X40" s="89">
        <f>AVERAGE(X27)</f>
        <v/>
      </c>
      <c r="Y40" s="89">
        <f>AVERAGE(Y27)</f>
        <v/>
      </c>
      <c r="Z40" s="89">
        <f>AVERAGE(Z27)</f>
        <v/>
      </c>
      <c r="AA40" s="89">
        <f>AVERAGE(AA27)</f>
        <v/>
      </c>
      <c r="AB40" s="89">
        <f>AVERAGE(AB27)</f>
        <v/>
      </c>
      <c r="AC40" s="89">
        <f>AVERAGE(AC27)</f>
        <v/>
      </c>
      <c r="AD40" s="89">
        <f>AVERAGE(AD27)</f>
        <v/>
      </c>
      <c r="AE40" s="89">
        <f>AVERAGE(AE27)</f>
        <v/>
      </c>
    </row>
    <row r="41" ht="15.75" customHeight="1" s="259">
      <c r="P41" s="92" t="inlineStr">
        <is>
          <t>Aout</t>
        </is>
      </c>
      <c r="Q41" s="106" t="inlineStr">
        <is>
          <t>/</t>
        </is>
      </c>
      <c r="R41" s="106" t="inlineStr">
        <is>
          <t>/</t>
        </is>
      </c>
      <c r="S41" s="106" t="inlineStr">
        <is>
          <t>/</t>
        </is>
      </c>
      <c r="T41" s="106" t="inlineStr">
        <is>
          <t>/</t>
        </is>
      </c>
      <c r="U41" s="106" t="inlineStr">
        <is>
          <t>/</t>
        </is>
      </c>
      <c r="V41" s="106" t="inlineStr">
        <is>
          <t>/</t>
        </is>
      </c>
      <c r="W41" s="106" t="inlineStr">
        <is>
          <t>/</t>
        </is>
      </c>
      <c r="X41" s="106" t="inlineStr">
        <is>
          <t>/</t>
        </is>
      </c>
      <c r="Y41" s="106" t="inlineStr">
        <is>
          <t>/</t>
        </is>
      </c>
      <c r="Z41" s="106" t="inlineStr">
        <is>
          <t>/</t>
        </is>
      </c>
      <c r="AA41" s="106" t="inlineStr">
        <is>
          <t>/</t>
        </is>
      </c>
      <c r="AB41" s="106" t="inlineStr">
        <is>
          <t>/</t>
        </is>
      </c>
      <c r="AC41" s="106" t="inlineStr">
        <is>
          <t>/</t>
        </is>
      </c>
      <c r="AD41" s="106" t="inlineStr">
        <is>
          <t>/</t>
        </is>
      </c>
      <c r="AE41" s="106" t="inlineStr">
        <is>
          <t>/</t>
        </is>
      </c>
    </row>
    <row r="42" ht="15.75" customHeight="1" s="259">
      <c r="P42" s="92" t="inlineStr">
        <is>
          <t>Septembre</t>
        </is>
      </c>
      <c r="Q42" s="106" t="inlineStr">
        <is>
          <t>/</t>
        </is>
      </c>
      <c r="R42" s="106" t="inlineStr">
        <is>
          <t>/</t>
        </is>
      </c>
      <c r="S42" s="106" t="inlineStr">
        <is>
          <t>/</t>
        </is>
      </c>
      <c r="T42" s="106" t="inlineStr">
        <is>
          <t>/</t>
        </is>
      </c>
      <c r="U42" s="106" t="inlineStr">
        <is>
          <t>/</t>
        </is>
      </c>
      <c r="V42" s="106" t="inlineStr">
        <is>
          <t>/</t>
        </is>
      </c>
      <c r="W42" s="106" t="inlineStr">
        <is>
          <t>/</t>
        </is>
      </c>
      <c r="X42" s="106" t="inlineStr">
        <is>
          <t>/</t>
        </is>
      </c>
      <c r="Y42" s="106" t="inlineStr">
        <is>
          <t>/</t>
        </is>
      </c>
      <c r="Z42" s="106" t="inlineStr">
        <is>
          <t>/</t>
        </is>
      </c>
      <c r="AA42" s="106" t="inlineStr">
        <is>
          <t>/</t>
        </is>
      </c>
      <c r="AB42" s="106" t="inlineStr">
        <is>
          <t>/</t>
        </is>
      </c>
      <c r="AC42" s="106" t="inlineStr">
        <is>
          <t>/</t>
        </is>
      </c>
      <c r="AD42" s="106" t="inlineStr">
        <is>
          <t>/</t>
        </is>
      </c>
      <c r="AE42" s="106" t="inlineStr">
        <is>
          <t>/</t>
        </is>
      </c>
    </row>
    <row r="43" ht="15.75" customHeight="1" s="259">
      <c r="P43" s="92" t="inlineStr">
        <is>
          <t>Octobre</t>
        </is>
      </c>
      <c r="Q43" s="89" t="n"/>
      <c r="R43" s="89" t="n"/>
      <c r="S43" s="89" t="n"/>
      <c r="T43" s="89" t="n"/>
      <c r="U43" s="89" t="n"/>
      <c r="V43" s="89" t="n"/>
      <c r="W43" s="89" t="n"/>
      <c r="X43" s="89" t="n"/>
      <c r="Y43" s="89" t="n"/>
      <c r="Z43" s="89" t="n"/>
      <c r="AA43" s="89" t="n"/>
      <c r="AB43" s="89" t="n"/>
      <c r="AC43" s="89" t="n"/>
      <c r="AD43" s="89" t="n"/>
      <c r="AE43" s="89" t="n"/>
    </row>
    <row r="44" ht="15.75" customHeight="1" s="259">
      <c r="P44" s="92" t="inlineStr">
        <is>
          <t>Novembre</t>
        </is>
      </c>
      <c r="Q44" s="89" t="n"/>
      <c r="R44" s="89" t="n"/>
      <c r="S44" s="89" t="n"/>
      <c r="T44" s="89" t="n"/>
      <c r="U44" s="89" t="n"/>
      <c r="V44" s="89" t="n"/>
      <c r="W44" s="89" t="n"/>
      <c r="X44" s="89" t="n"/>
      <c r="Y44" s="89" t="n"/>
      <c r="Z44" s="89" t="n"/>
      <c r="AA44" s="89" t="n"/>
      <c r="AB44" s="89" t="n"/>
      <c r="AC44" s="89" t="n"/>
      <c r="AD44" s="89" t="n"/>
      <c r="AE44" s="89" t="n"/>
    </row>
    <row r="45" ht="15.75" customHeight="1" s="259">
      <c r="P45" s="92" t="inlineStr">
        <is>
          <t>Decembre</t>
        </is>
      </c>
      <c r="Q45" s="89" t="n"/>
      <c r="R45" s="89" t="n"/>
      <c r="S45" s="89" t="n"/>
      <c r="T45" s="89" t="n"/>
      <c r="U45" s="89" t="n"/>
      <c r="V45" s="89" t="n"/>
      <c r="W45" s="89" t="n"/>
      <c r="X45" s="89" t="n"/>
      <c r="Y45" s="89" t="n"/>
      <c r="Z45" s="89" t="n"/>
      <c r="AA45" s="89" t="n"/>
      <c r="AB45" s="89" t="n"/>
      <c r="AC45" s="89" t="n"/>
      <c r="AD45" s="89" t="n"/>
      <c r="AE45" s="89" t="n"/>
    </row>
  </sheetData>
  <autoFilter ref="A1:AE30">
    <filterColumn colId="0" hiddenButton="0" showButton="1">
      <filters>
        <dateGroupItem year="2025" dateTimeGrouping="year"/>
      </filters>
    </filterColumn>
  </autoFilter>
  <pageMargins left="0.7086614173228347" right="0.7086614173228347" top="0.7480314960629921" bottom="0.7480314960629921" header="0.3149606299212598" footer="0.3149606299212598"/>
  <pageSetup orientation="landscape" paperSize="9" scale="29"/>
</worksheet>
</file>

<file path=xl/worksheets/sheet17.xml><?xml version="1.0" encoding="utf-8"?>
<worksheet xmlns="http://schemas.openxmlformats.org/spreadsheetml/2006/main">
  <sheetPr codeName="Feuil15">
    <outlinePr summaryBelow="1" summaryRight="1"/>
    <pageSetUpPr fitToPage="1"/>
  </sheetPr>
  <dimension ref="A2:V82"/>
  <sheetViews>
    <sheetView view="pageBreakPreview" topLeftCell="A66" zoomScale="40" zoomScaleNormal="70" zoomScaleSheetLayoutView="40" workbookViewId="0">
      <selection activeCell="H54" sqref="H54"/>
    </sheetView>
  </sheetViews>
  <sheetFormatPr baseColWidth="10" defaultRowHeight="12.75"/>
  <cols>
    <col width="13" customWidth="1" style="259" min="1" max="1"/>
  </cols>
  <sheetData>
    <row r="2" ht="126" customHeight="1" s="259">
      <c r="A2" s="40" t="n"/>
      <c r="B2" s="30" t="inlineStr">
        <is>
          <t>jrm</t>
        </is>
      </c>
      <c r="C2" s="30" t="inlineStr">
        <is>
          <t>enveloppes blanches</t>
        </is>
      </c>
      <c r="D2" s="30" t="inlineStr">
        <is>
          <t>papier emballage et teintés (écrit couleurs)</t>
        </is>
      </c>
      <c r="E2" s="31" t="inlineStr">
        <is>
          <t>1.05</t>
        </is>
      </c>
      <c r="F2" s="31" t="inlineStr">
        <is>
          <t>1.04</t>
        </is>
      </c>
      <c r="G2" s="31" t="inlineStr">
        <is>
          <t>GM</t>
        </is>
      </c>
      <c r="H2" s="32" t="inlineStr">
        <is>
          <t>ELA</t>
        </is>
      </c>
      <c r="I2" s="32" t="inlineStr">
        <is>
          <t>PET Q7 (dont barquettes)</t>
        </is>
      </c>
      <c r="J2" s="32" t="inlineStr">
        <is>
          <t>PET Q8 (dont barquettes)</t>
        </is>
      </c>
      <c r="K2" s="32" t="inlineStr">
        <is>
          <t>PEPPPS (dont barquettes)</t>
        </is>
      </c>
      <c r="L2" s="32" t="inlineStr">
        <is>
          <t>films</t>
        </is>
      </c>
      <c r="M2" s="32" t="inlineStr">
        <is>
          <t>acier</t>
        </is>
      </c>
      <c r="N2" s="32" t="inlineStr">
        <is>
          <t>alu</t>
        </is>
      </c>
      <c r="O2" s="32" t="inlineStr">
        <is>
          <t>petits alu</t>
        </is>
      </c>
      <c r="P2" s="33" t="inlineStr">
        <is>
          <t>Refus indésirables (textiles, verres, fines)</t>
        </is>
      </c>
      <c r="Q2" s="31" t="inlineStr">
        <is>
          <t>TOTAL refus fibreux valorisables</t>
        </is>
      </c>
      <c r="R2" s="32" t="inlineStr">
        <is>
          <t>TOTAL refus non fibreux valorisables</t>
        </is>
      </c>
      <c r="S2" s="33" t="inlineStr">
        <is>
          <t>TOTAL REFUS</t>
        </is>
      </c>
      <c r="T2" s="33" t="inlineStr">
        <is>
          <t>TOTAL REFUS + refus fibreux</t>
        </is>
      </c>
      <c r="U2" s="33" t="inlineStr">
        <is>
          <t xml:space="preserve">Contaminant A </t>
        </is>
      </c>
      <c r="V2" s="33" t="inlineStr">
        <is>
          <t>Contaminant B</t>
        </is>
      </c>
    </row>
    <row r="3" ht="20.25" customHeight="1" s="259">
      <c r="A3" s="85" t="inlineStr">
        <is>
          <t>JRM</t>
        </is>
      </c>
      <c r="B3" s="54" t="n">
        <v>0.6702310994647513</v>
      </c>
      <c r="C3" s="54" t="n">
        <v>0.02432065378642793</v>
      </c>
      <c r="D3" s="54" t="n">
        <v>0.09694802969509224</v>
      </c>
      <c r="E3" s="50" t="n">
        <v>0.03997533792352635</v>
      </c>
      <c r="F3" s="50" t="n">
        <v>0.08161420045311511</v>
      </c>
      <c r="G3" s="50" t="n">
        <v>0.04278293623672774</v>
      </c>
      <c r="H3" s="55" t="n">
        <v>0.0007878863028491594</v>
      </c>
      <c r="I3" s="55" t="n">
        <v>0.003273378015702369</v>
      </c>
      <c r="J3" s="55" t="n">
        <v>0.0002927977565318673</v>
      </c>
      <c r="K3" s="55" t="n">
        <v>0.002625261488663013</v>
      </c>
      <c r="L3" s="55" t="n">
        <v>0.00116293254051846</v>
      </c>
      <c r="M3" s="55" t="n">
        <v>0.0003061523297245327</v>
      </c>
      <c r="N3" s="55" t="n">
        <v>0.0006525182365417769</v>
      </c>
      <c r="O3" s="55" t="n">
        <v>8.416982920025047e-05</v>
      </c>
      <c r="P3" s="49" t="n">
        <v>0.03494264594062813</v>
      </c>
      <c r="Q3" s="50" t="n">
        <v>0.1643724746133693</v>
      </c>
      <c r="R3" s="55" t="n">
        <v>0.008763233409007438</v>
      </c>
      <c r="S3" s="49" t="n">
        <v>0.04370587934963558</v>
      </c>
      <c r="T3" s="49" t="n">
        <v>0.2080783539630047</v>
      </c>
      <c r="U3" s="49" t="n">
        <v>0.08410308036388595</v>
      </c>
      <c r="V3" s="49" t="n">
        <v>0.1243971366898428</v>
      </c>
    </row>
    <row r="4" ht="15" customHeight="1" s="259">
      <c r="A4" s="25" t="n"/>
      <c r="B4" s="75" t="n"/>
      <c r="C4" s="75" t="n"/>
      <c r="D4" s="75" t="n"/>
      <c r="E4" s="75" t="n"/>
      <c r="F4" s="75" t="n"/>
      <c r="G4" s="75" t="n"/>
      <c r="H4" s="75" t="n"/>
      <c r="I4" s="75" t="n"/>
      <c r="J4" s="75" t="n"/>
      <c r="K4" s="75" t="n"/>
      <c r="L4" s="75" t="n"/>
      <c r="M4" s="75" t="n"/>
      <c r="N4" s="75" t="n"/>
      <c r="O4" s="75" t="n"/>
      <c r="P4" s="75" t="n"/>
      <c r="Q4" s="75" t="n"/>
      <c r="R4" s="75" t="n"/>
      <c r="S4" s="75" t="n"/>
      <c r="T4" s="75" t="n"/>
    </row>
    <row r="5" ht="20.25" customHeight="1" s="259">
      <c r="A5" s="85" t="n">
        <v>2024</v>
      </c>
      <c r="B5" s="86" t="n">
        <v>0.6842199855324351</v>
      </c>
      <c r="C5" s="86" t="n">
        <v>0.02706493408508553</v>
      </c>
      <c r="D5" s="86" t="n">
        <v>0.1027543683800269</v>
      </c>
      <c r="E5" s="86" t="n">
        <v>0.03934686129102568</v>
      </c>
      <c r="F5" s="86" t="n">
        <v>0.06027260994935765</v>
      </c>
      <c r="G5" s="86" t="n">
        <v>0.03602186779317282</v>
      </c>
      <c r="H5" s="86" t="n">
        <v>0.0007223304311801767</v>
      </c>
      <c r="I5" s="86" t="n">
        <v>0.005383540554392124</v>
      </c>
      <c r="J5" s="86" t="n">
        <v>0.0002966751634089152</v>
      </c>
      <c r="K5" s="86" t="n">
        <v>0.003627503977526774</v>
      </c>
      <c r="L5" s="86" t="n">
        <v>0.00145585474925292</v>
      </c>
      <c r="M5" s="86" t="n">
        <v>0.0006387761389739648</v>
      </c>
      <c r="N5" s="86" t="n">
        <v>0.0005813194271884264</v>
      </c>
      <c r="O5" s="86" t="n">
        <v>0.0001154575348123735</v>
      </c>
      <c r="P5" s="86" t="n">
        <v>0.03749791499216069</v>
      </c>
      <c r="Q5" s="86" t="n">
        <v>0.1356413390335562</v>
      </c>
      <c r="R5" s="86" t="n">
        <v>0.01282145797673567</v>
      </c>
      <c r="S5" s="86" t="n">
        <v>0.05031937296889637</v>
      </c>
      <c r="T5" s="86" t="n">
        <v>0.1859607120024525</v>
      </c>
      <c r="U5" s="86" t="n">
        <v>0.08966623425992205</v>
      </c>
      <c r="V5" s="86" t="n">
        <v>0.09629447774253046</v>
      </c>
    </row>
    <row r="6" ht="15.75" customHeight="1" s="259">
      <c r="A6" s="84" t="inlineStr">
        <is>
          <t>Janvier</t>
        </is>
      </c>
      <c r="B6" s="87" t="n">
        <v>0.5693904661723754</v>
      </c>
      <c r="C6" s="87" t="n">
        <v>0.01762147900024608</v>
      </c>
      <c r="D6" s="87" t="n">
        <v>0.1249741642756816</v>
      </c>
      <c r="E6" s="87" t="n">
        <v>0.05892142800208983</v>
      </c>
      <c r="F6" s="87" t="n">
        <v>0.09194236172232965</v>
      </c>
      <c r="G6" s="87" t="n">
        <v>0.06439516514013967</v>
      </c>
      <c r="H6" s="87" t="n">
        <v>0.001646081191803984</v>
      </c>
      <c r="I6" s="87" t="n">
        <v>0.01177102335000544</v>
      </c>
      <c r="J6" s="87" t="n">
        <v>0.0005057792936580816</v>
      </c>
      <c r="K6" s="87" t="n">
        <v>0.01066267509232388</v>
      </c>
      <c r="L6" s="87" t="n">
        <v>0.004580507832604489</v>
      </c>
      <c r="M6" s="87" t="n">
        <v>0.0009894914215369279</v>
      </c>
      <c r="N6" s="87" t="n">
        <v>0.001430761283930393</v>
      </c>
      <c r="O6" s="87" t="n">
        <v>0.000397687064353731</v>
      </c>
      <c r="P6" s="87" t="n">
        <v>0.04077092915692079</v>
      </c>
      <c r="Q6" s="87" t="n">
        <v>0.2152589548645592</v>
      </c>
      <c r="R6" s="87" t="n">
        <v>0.03198400653021691</v>
      </c>
      <c r="S6" s="87" t="n">
        <v>0.07275493568713771</v>
      </c>
      <c r="T6" s="87" t="n">
        <v>0.2880138905516969</v>
      </c>
      <c r="U6" s="87" t="n">
        <v>0.1316763636892276</v>
      </c>
      <c r="V6" s="87" t="n">
        <v>0.1563375268624693</v>
      </c>
    </row>
    <row r="7" ht="15.75" customHeight="1" s="259">
      <c r="A7" s="84" t="inlineStr">
        <is>
          <t>Février</t>
        </is>
      </c>
      <c r="B7" s="87" t="n">
        <v>0.6522617176972997</v>
      </c>
      <c r="C7" s="87" t="n">
        <v>0.03259553640975946</v>
      </c>
      <c r="D7" s="87" t="n">
        <v>0.193045485856525</v>
      </c>
      <c r="E7" s="87" t="n">
        <v>0.02893428669308759</v>
      </c>
      <c r="F7" s="87" t="n">
        <v>0.0352138872095328</v>
      </c>
      <c r="G7" s="87" t="n">
        <v>0.02347409024667702</v>
      </c>
      <c r="H7" s="87" t="n">
        <v>0.0007110487330437245</v>
      </c>
      <c r="I7" s="87" t="n">
        <v>0.003491498319872922</v>
      </c>
      <c r="J7" s="87" t="n">
        <v>0.0003264373444322031</v>
      </c>
      <c r="K7" s="87" t="n">
        <v>0.001235448185580644</v>
      </c>
      <c r="L7" s="87" t="n">
        <v>0.0003696596301021462</v>
      </c>
      <c r="M7" s="87" t="n">
        <v>0</v>
      </c>
      <c r="N7" s="87" t="n">
        <v>0.0001600192023042766</v>
      </c>
      <c r="O7" s="87" t="n">
        <v>0</v>
      </c>
      <c r="P7" s="87" t="n">
        <v>0.02818088447178257</v>
      </c>
      <c r="Q7" s="87" t="n">
        <v>0.08762226414929741</v>
      </c>
      <c r="R7" s="87" t="n">
        <v>0.006294111415335917</v>
      </c>
      <c r="S7" s="87" t="n">
        <v>0.03447499588711849</v>
      </c>
      <c r="T7" s="87" t="n">
        <v>0.1220972600364159</v>
      </c>
      <c r="U7" s="87" t="n">
        <v>0.06340928258020607</v>
      </c>
      <c r="V7" s="87" t="n">
        <v>0.05868797745620983</v>
      </c>
    </row>
    <row r="8" ht="15.75" customHeight="1" s="259">
      <c r="A8" s="84" t="inlineStr">
        <is>
          <t>Mars</t>
        </is>
      </c>
      <c r="B8" s="87" t="n">
        <v>0.6309500316635663</v>
      </c>
      <c r="C8" s="87" t="n">
        <v>0.04763192794353645</v>
      </c>
      <c r="D8" s="87" t="n">
        <v>0.1732615745297238</v>
      </c>
      <c r="E8" s="87" t="n">
        <v>0.03914607051804977</v>
      </c>
      <c r="F8" s="87" t="n">
        <v>0.03426046450792605</v>
      </c>
      <c r="G8" s="87" t="n">
        <v>0.02822833628368778</v>
      </c>
      <c r="H8" s="87" t="n">
        <v>0</v>
      </c>
      <c r="I8" s="87" t="n">
        <v>0.000884945629398081</v>
      </c>
      <c r="J8" s="87" t="n">
        <v>0.000589963752932054</v>
      </c>
      <c r="K8" s="87" t="n">
        <v>0</v>
      </c>
      <c r="L8" s="87" t="n">
        <v>0.0003298273306712719</v>
      </c>
      <c r="M8" s="87" t="n">
        <v>0</v>
      </c>
      <c r="N8" s="87" t="n">
        <v>0.0003138731952291275</v>
      </c>
      <c r="O8" s="87" t="n">
        <v>0</v>
      </c>
      <c r="P8" s="87" t="n">
        <v>0.04440298464527932</v>
      </c>
      <c r="Q8" s="87" t="n">
        <v>0.1016348713096636</v>
      </c>
      <c r="R8" s="87" t="n">
        <v>0.002118609908230535</v>
      </c>
      <c r="S8" s="87" t="n">
        <v>0.04652159455350986</v>
      </c>
      <c r="T8" s="87" t="n">
        <v>0.1481564658631735</v>
      </c>
      <c r="U8" s="87" t="n">
        <v>0.08566766507155964</v>
      </c>
      <c r="V8" s="87" t="n">
        <v>0.06248880079161382</v>
      </c>
    </row>
    <row r="9" ht="15.75" customHeight="1" s="259">
      <c r="A9" s="84" t="inlineStr">
        <is>
          <t>Avril</t>
        </is>
      </c>
      <c r="B9" s="87" t="n">
        <v>0.8178793823107949</v>
      </c>
      <c r="C9" s="87" t="n">
        <v>0.02379301627208862</v>
      </c>
      <c r="D9" s="87" t="n">
        <v>0.001477567471375356</v>
      </c>
      <c r="E9" s="87" t="n">
        <v>0.03003050537083412</v>
      </c>
      <c r="F9" s="87" t="n">
        <v>0.05976641676642604</v>
      </c>
      <c r="G9" s="87" t="n">
        <v>0.02362631258778275</v>
      </c>
      <c r="H9" s="87" t="n">
        <v>0.0002363792280948692</v>
      </c>
      <c r="I9" s="87" t="n">
        <v>0.002997297843582186</v>
      </c>
      <c r="J9" s="87" t="n">
        <v>0</v>
      </c>
      <c r="K9" s="87" t="n">
        <v>0.0007127645612136899</v>
      </c>
      <c r="L9" s="87" t="n">
        <v>0</v>
      </c>
      <c r="M9" s="87" t="n">
        <v>0.0009906034103964144</v>
      </c>
      <c r="N9" s="87" t="n">
        <v>0.0002516748627655671</v>
      </c>
      <c r="O9" s="87" t="n">
        <v>0</v>
      </c>
      <c r="P9" s="87" t="n">
        <v>0.03823807931464537</v>
      </c>
      <c r="Q9" s="87" t="n">
        <v>0.1134232347250429</v>
      </c>
      <c r="R9" s="87" t="n">
        <v>0.005188719906052727</v>
      </c>
      <c r="S9" s="87" t="n">
        <v>0.04342679922069809</v>
      </c>
      <c r="T9" s="87" t="n">
        <v>0.156850033945741</v>
      </c>
      <c r="U9" s="87" t="n">
        <v>0.07345730459153223</v>
      </c>
      <c r="V9" s="87" t="n">
        <v>0.0833927293542088</v>
      </c>
    </row>
    <row r="11" ht="126" customHeight="1" s="259">
      <c r="A11" s="40" t="n"/>
      <c r="B11" s="30" t="inlineStr">
        <is>
          <t>carton brun (1.05)</t>
        </is>
      </c>
      <c r="C11" s="30" t="inlineStr">
        <is>
          <t>EMR 5,02 / 1.04</t>
        </is>
      </c>
      <c r="D11" s="31" t="inlineStr">
        <is>
          <t>JRM</t>
        </is>
      </c>
      <c r="E11" s="31" t="inlineStr">
        <is>
          <t>papier emballage et teintés (écrit couleurs)</t>
        </is>
      </c>
      <c r="F11" s="31" t="inlineStr">
        <is>
          <t>GM</t>
        </is>
      </c>
      <c r="G11" s="32" t="inlineStr">
        <is>
          <t>ELA</t>
        </is>
      </c>
      <c r="H11" s="32" t="inlineStr">
        <is>
          <t>PET Q7 (dont barquettes)</t>
        </is>
      </c>
      <c r="I11" s="32" t="inlineStr">
        <is>
          <t>PET Q8 (dont barquettes)</t>
        </is>
      </c>
      <c r="J11" s="32" t="inlineStr">
        <is>
          <t>PEPPPS (dont barquettes)</t>
        </is>
      </c>
      <c r="K11" s="32" t="inlineStr">
        <is>
          <t>films</t>
        </is>
      </c>
      <c r="L11" s="32" t="inlineStr">
        <is>
          <t>acier</t>
        </is>
      </c>
      <c r="M11" s="32" t="inlineStr">
        <is>
          <t>alu</t>
        </is>
      </c>
      <c r="N11" s="32" t="inlineStr">
        <is>
          <t>petits alu</t>
        </is>
      </c>
      <c r="O11" s="33" t="inlineStr">
        <is>
          <t>refus indésirables</t>
        </is>
      </c>
      <c r="P11" s="31" t="inlineStr">
        <is>
          <t>TOTAL refus fibreux valorisables</t>
        </is>
      </c>
      <c r="Q11" s="32" t="inlineStr">
        <is>
          <t>TOTAL refus non fibreux valorisables</t>
        </is>
      </c>
      <c r="R11" s="33" t="inlineStr">
        <is>
          <t>TOTAL REFUS hors fibreux</t>
        </is>
      </c>
      <c r="S11" s="31" t="inlineStr">
        <is>
          <t>TOTAL REFUS + refus fibreux</t>
        </is>
      </c>
    </row>
    <row r="12" ht="23.25" customHeight="1" s="259">
      <c r="A12" s="67" t="inlineStr">
        <is>
          <t>EMR</t>
        </is>
      </c>
      <c r="B12" s="70" t="n">
        <v>0.7314294374456732</v>
      </c>
      <c r="C12" s="70" t="n">
        <v>0.08308371618388637</v>
      </c>
      <c r="D12" s="71" t="n">
        <v>0.07285776838023565</v>
      </c>
      <c r="E12" s="71" t="n">
        <v>0.03133234320634211</v>
      </c>
      <c r="F12" s="71" t="n">
        <v>0.02930168099434976</v>
      </c>
      <c r="G12" s="72" t="n">
        <v>0.003088102594447484</v>
      </c>
      <c r="H12" s="72" t="n">
        <v>0.005462915850411072</v>
      </c>
      <c r="I12" s="72" t="n">
        <v>0.0005647377800210501</v>
      </c>
      <c r="J12" s="72" t="n">
        <v>0.002710252458723789</v>
      </c>
      <c r="K12" s="72" t="n">
        <v>0.001697752598001124</v>
      </c>
      <c r="L12" s="72" t="n">
        <v>0.001656890916963244</v>
      </c>
      <c r="M12" s="72" t="n">
        <v>0.0005420627790010239</v>
      </c>
      <c r="N12" s="72" t="n">
        <v>0.001424804808505716</v>
      </c>
      <c r="O12" s="73" t="n">
        <v>0.03484753400343842</v>
      </c>
      <c r="P12" s="71" t="n">
        <v>0.1334917925809275</v>
      </c>
      <c r="Q12" s="72" t="n">
        <v>0.0171475197860745</v>
      </c>
      <c r="R12" s="73" t="n">
        <v>0.05199505378951294</v>
      </c>
      <c r="S12" s="71" t="n">
        <v>0.1854868463704404</v>
      </c>
    </row>
    <row r="13">
      <c r="A13" s="25" t="n"/>
    </row>
    <row r="14" ht="23.25" customHeight="1" s="259">
      <c r="A14" s="67" t="n">
        <v>2024</v>
      </c>
      <c r="B14" s="68" t="n">
        <v>0.6707883042315815</v>
      </c>
      <c r="C14" s="68" t="n">
        <v>0.1055831646833662</v>
      </c>
      <c r="D14" s="68" t="n">
        <v>0.1167268246802509</v>
      </c>
      <c r="E14" s="68" t="n">
        <v>0.02113505294943813</v>
      </c>
      <c r="F14" s="68" t="n">
        <v>0.04649406603784505</v>
      </c>
      <c r="G14" s="68" t="n">
        <v>0.002159180457052798</v>
      </c>
      <c r="H14" s="68" t="n">
        <v>0.005829514838924009</v>
      </c>
      <c r="I14" s="68" t="n">
        <v>0.001212856276531231</v>
      </c>
      <c r="J14" s="68" t="n">
        <v>0.003287586127125653</v>
      </c>
      <c r="K14" s="68" t="n">
        <v>0.002599031339202668</v>
      </c>
      <c r="L14" s="68" t="n">
        <v>0.0002469135802469135</v>
      </c>
      <c r="M14" s="68" t="n">
        <v>0.0005899705014749261</v>
      </c>
      <c r="N14" s="68" t="n">
        <v>0.0001516070345664039</v>
      </c>
      <c r="O14" s="68" t="n">
        <v>0.02319592726239351</v>
      </c>
      <c r="P14" s="68" t="n">
        <v>0.1843559436675341</v>
      </c>
      <c r="Q14" s="68" t="n">
        <v>0.0160766601551246</v>
      </c>
      <c r="R14" s="68" t="n">
        <v>0.03927258741751811</v>
      </c>
      <c r="S14" s="68" t="n">
        <v>0.2236285310850523</v>
      </c>
    </row>
    <row r="15" ht="15.75" customHeight="1" s="259">
      <c r="A15" s="84" t="inlineStr">
        <is>
          <t>Janvier</t>
        </is>
      </c>
      <c r="B15" s="87" t="n">
        <v>0.6329852286873762</v>
      </c>
      <c r="C15" s="87" t="n">
        <v>0.1136170590839945</v>
      </c>
      <c r="D15" s="87" t="n">
        <v>0.1365411160345733</v>
      </c>
      <c r="E15" s="87" t="n">
        <v>0.02604015290377759</v>
      </c>
      <c r="F15" s="87" t="n">
        <v>0.04767110039613908</v>
      </c>
      <c r="G15" s="87" t="n">
        <v>0.001891252955082742</v>
      </c>
      <c r="H15" s="87" t="n">
        <v>0.007278859291404853</v>
      </c>
      <c r="I15" s="87" t="n">
        <v>0.001617141702041642</v>
      </c>
      <c r="J15" s="87" t="n">
        <v>0.004383448169500871</v>
      </c>
      <c r="K15" s="87" t="n">
        <v>0.003300766065438949</v>
      </c>
      <c r="L15" s="87" t="n">
        <v>0</v>
      </c>
      <c r="M15" s="87" t="n">
        <v>0.0007866273352999015</v>
      </c>
      <c r="N15" s="87" t="n">
        <v>0.0002021427127552052</v>
      </c>
      <c r="O15" s="87" t="n">
        <v>0.02368510466261521</v>
      </c>
      <c r="P15" s="87" t="n">
        <v>0.21025236933449</v>
      </c>
      <c r="Q15" s="87" t="n">
        <v>0.01946023823152416</v>
      </c>
      <c r="R15" s="87" t="n">
        <v>0.04314534289413938</v>
      </c>
      <c r="S15" s="87" t="n">
        <v>0.2533977122286293</v>
      </c>
    </row>
    <row r="16" ht="15.75" customHeight="1" s="259">
      <c r="A16" s="84" t="inlineStr">
        <is>
          <t>Février</t>
        </is>
      </c>
      <c r="B16" s="74" t="n">
        <v>0.7216607164494988</v>
      </c>
      <c r="C16" s="74" t="n">
        <v>0.1618703818916812</v>
      </c>
      <c r="D16" s="74" t="n">
        <v>0.05197993165334308</v>
      </c>
      <c r="E16" s="74" t="n">
        <v>0.01296962181591219</v>
      </c>
      <c r="F16" s="74" t="n">
        <v>0.02740667102754429</v>
      </c>
      <c r="G16" s="74" t="n">
        <v>0.001413639411509486</v>
      </c>
      <c r="H16" s="74" t="n">
        <v>0.0004938271604938271</v>
      </c>
      <c r="I16" s="74" t="n">
        <v>0</v>
      </c>
      <c r="J16" s="74" t="n">
        <v>0.0008519701810436636</v>
      </c>
      <c r="K16" s="74" t="n">
        <v>0.001016579234541606</v>
      </c>
      <c r="L16" s="74" t="n">
        <v>0.001394180833300464</v>
      </c>
      <c r="M16" s="74" t="n">
        <v>0</v>
      </c>
      <c r="N16" s="74" t="n">
        <v>0</v>
      </c>
      <c r="O16" s="74" t="n">
        <v>0.01894248034113139</v>
      </c>
      <c r="P16" s="74" t="n">
        <v>0.09235622449679957</v>
      </c>
      <c r="Q16" s="74" t="n">
        <v>0.005170196820889047</v>
      </c>
      <c r="R16" s="74" t="n">
        <v>0.02411267716202043</v>
      </c>
      <c r="S16" s="74" t="n">
        <v>0.11646890165882</v>
      </c>
    </row>
    <row r="17" ht="15.75" customHeight="1" s="259">
      <c r="A17" s="84" t="inlineStr">
        <is>
          <t>Mars</t>
        </is>
      </c>
      <c r="B17" s="74" t="n">
        <v>0.5782124959363603</v>
      </c>
      <c r="C17" s="74" t="n">
        <v>0.1694309483247146</v>
      </c>
      <c r="D17" s="74" t="n">
        <v>0.1169564360058907</v>
      </c>
      <c r="E17" s="74" t="n">
        <v>0.03515017258255628</v>
      </c>
      <c r="F17" s="74" t="n">
        <v>0.02416191317045614</v>
      </c>
      <c r="G17" s="74" t="n">
        <v>0.00182370820668693</v>
      </c>
      <c r="H17" s="74" t="n">
        <v>0.007773764964408732</v>
      </c>
      <c r="I17" s="74" t="n">
        <v>0.001776809807450095</v>
      </c>
      <c r="J17" s="74" t="n">
        <v>0.004734251286597184</v>
      </c>
      <c r="K17" s="74" t="n">
        <v>0.002092485775040459</v>
      </c>
      <c r="L17" s="74" t="n">
        <v>0.002115934974658876</v>
      </c>
      <c r="M17" s="74" t="n">
        <v>0.001519756838905775</v>
      </c>
      <c r="N17" s="74" t="n">
        <v>0</v>
      </c>
      <c r="O17" s="74" t="n">
        <v>0.05425132212627393</v>
      </c>
      <c r="P17" s="74" t="n">
        <v>0.1762685217589031</v>
      </c>
      <c r="Q17" s="74" t="n">
        <v>0.02183671185374805</v>
      </c>
      <c r="R17" s="74" t="n">
        <v>0.07608803398002198</v>
      </c>
      <c r="S17" s="74" t="n">
        <v>0.2523565557389251</v>
      </c>
    </row>
    <row r="18" ht="15.75" customHeight="1" s="259">
      <c r="A18" s="84" t="inlineStr">
        <is>
          <t>Avril</t>
        </is>
      </c>
      <c r="B18" s="74" t="n">
        <v>0.5100572805745074</v>
      </c>
      <c r="C18" s="74" t="n">
        <v>0.19759559904059</v>
      </c>
      <c r="D18" s="74" t="n">
        <v>0.122860296173862</v>
      </c>
      <c r="E18" s="74" t="n">
        <v>0.06013411628011451</v>
      </c>
      <c r="F18" s="74" t="n">
        <v>0.02914920237348951</v>
      </c>
      <c r="G18" s="74" t="n">
        <v>0.001295455613478362</v>
      </c>
      <c r="H18" s="74" t="n">
        <v>0.00773106006254566</v>
      </c>
      <c r="I18" s="74" t="n">
        <v>0.0001779913674186802</v>
      </c>
      <c r="J18" s="74" t="n">
        <v>0.001431492586948055</v>
      </c>
      <c r="K18" s="74" t="n">
        <v>0</v>
      </c>
      <c r="L18" s="74" t="n">
        <v>0.003179881867833977</v>
      </c>
      <c r="M18" s="74" t="n">
        <v>0.0009053147762968059</v>
      </c>
      <c r="N18" s="74" t="n">
        <v>0</v>
      </c>
      <c r="O18" s="74" t="n">
        <v>0.06548230928291504</v>
      </c>
      <c r="P18" s="74" t="n">
        <v>0.212143614827466</v>
      </c>
      <c r="Q18" s="74" t="n">
        <v>0.01472119627452154</v>
      </c>
      <c r="R18" s="74" t="n">
        <v>0.08020350555743659</v>
      </c>
      <c r="S18" s="74" t="n">
        <v>0.2923471203849026</v>
      </c>
    </row>
    <row r="20" ht="108" customHeight="1" s="259">
      <c r="A20" s="32" t="n"/>
      <c r="B20" s="30" t="inlineStr">
        <is>
          <t>jrm</t>
        </is>
      </c>
      <c r="C20" s="30" t="inlineStr">
        <is>
          <t>carton brun (1.05)</t>
        </is>
      </c>
      <c r="D20" s="30" t="inlineStr">
        <is>
          <t>EMR 5,02</t>
        </is>
      </c>
      <c r="E20" s="30" t="inlineStr">
        <is>
          <t>GM</t>
        </is>
      </c>
      <c r="F20" s="32" t="inlineStr">
        <is>
          <t>ELA</t>
        </is>
      </c>
      <c r="G20" s="32" t="inlineStr">
        <is>
          <t>PET Q7 (dont barquettes)</t>
        </is>
      </c>
      <c r="H20" s="32" t="inlineStr">
        <is>
          <t>PET Q8 (dont barquettes)</t>
        </is>
      </c>
      <c r="I20" s="32" t="inlineStr">
        <is>
          <t>PEPPPS (dont barquettes)</t>
        </is>
      </c>
      <c r="J20" s="32" t="inlineStr">
        <is>
          <t>films</t>
        </is>
      </c>
      <c r="K20" s="32" t="inlineStr">
        <is>
          <t>acier</t>
        </is>
      </c>
      <c r="L20" s="32" t="inlineStr">
        <is>
          <t>alu</t>
        </is>
      </c>
      <c r="M20" s="32" t="inlineStr">
        <is>
          <t>petits alu</t>
        </is>
      </c>
      <c r="N20" s="33" t="inlineStr">
        <is>
          <t>refus indésirables</t>
        </is>
      </c>
      <c r="O20" s="32" t="inlineStr">
        <is>
          <t>TOTAL refus non fibreux valorisables</t>
        </is>
      </c>
      <c r="P20" s="28" t="inlineStr">
        <is>
          <t xml:space="preserve">TOTAL REFUS </t>
        </is>
      </c>
    </row>
    <row r="21" ht="18" customHeight="1" s="259">
      <c r="A21" s="32" t="inlineStr">
        <is>
          <t>GM</t>
        </is>
      </c>
      <c r="B21" s="54" t="n">
        <v>0.1971650738174442</v>
      </c>
      <c r="C21" s="54" t="n">
        <v>0.0946054657761804</v>
      </c>
      <c r="D21" s="54" t="n">
        <v>0.1991372562894444</v>
      </c>
      <c r="E21" s="54" t="n">
        <v>0.235460144002298</v>
      </c>
      <c r="F21" s="55" t="n">
        <v>0.01343146576638156</v>
      </c>
      <c r="G21" s="55" t="n">
        <v>0.03602772381219114</v>
      </c>
      <c r="H21" s="55" t="n">
        <v>0.002919014318492158</v>
      </c>
      <c r="I21" s="55" t="n">
        <v>0.01105572753950781</v>
      </c>
      <c r="J21" s="55" t="n">
        <v>0.003396773161672422</v>
      </c>
      <c r="K21" s="55" t="n">
        <v>0.01517850413237073</v>
      </c>
      <c r="L21" s="55" t="n">
        <v>0.01853690031524545</v>
      </c>
      <c r="M21" s="55" t="n">
        <v>0.003492992857976351</v>
      </c>
      <c r="N21" s="49" t="n">
        <v>0.1695929582107955</v>
      </c>
      <c r="O21" s="55" t="n">
        <v>0.1040391019038376</v>
      </c>
      <c r="P21" s="51" t="n">
        <v>0.2736320601146331</v>
      </c>
    </row>
    <row r="22" ht="18" customHeight="1" s="259">
      <c r="A22" s="32" t="n"/>
    </row>
    <row r="23" ht="20.25" customHeight="1" s="259">
      <c r="A23" s="38" t="n">
        <v>2024</v>
      </c>
      <c r="B23" s="91">
        <f>AVERAGE(B3:B6)</f>
        <v/>
      </c>
      <c r="C23" s="91">
        <f>AVERAGE(C3:C6)</f>
        <v/>
      </c>
      <c r="D23" s="91">
        <f>AVERAGE(D3:D6)</f>
        <v/>
      </c>
      <c r="E23" s="91">
        <f>AVERAGE(E3:E6)</f>
        <v/>
      </c>
      <c r="F23" s="91">
        <f>AVERAGE(F3:F6)</f>
        <v/>
      </c>
      <c r="G23" s="91">
        <f>AVERAGE(G3:G6)</f>
        <v/>
      </c>
      <c r="H23" s="91">
        <f>AVERAGE(H3:H6)</f>
        <v/>
      </c>
      <c r="I23" s="91">
        <f>AVERAGE(I3:I6)</f>
        <v/>
      </c>
      <c r="J23" s="91">
        <f>AVERAGE(J3:J6)</f>
        <v/>
      </c>
      <c r="K23" s="91">
        <f>AVERAGE(K3:K6)</f>
        <v/>
      </c>
      <c r="L23" s="91">
        <f>AVERAGE(L3:L6)</f>
        <v/>
      </c>
      <c r="M23" s="91">
        <f>AVERAGE(M3:M6)</f>
        <v/>
      </c>
      <c r="N23" s="91">
        <f>AVERAGE(N3:N6)</f>
        <v/>
      </c>
      <c r="O23" s="91">
        <f>AVERAGE(O3:O6)</f>
        <v/>
      </c>
      <c r="P23" s="91">
        <f>AVERAGE(P3:P6)</f>
        <v/>
      </c>
    </row>
    <row r="24" ht="15" customHeight="1" s="259">
      <c r="A24" s="92" t="inlineStr">
        <is>
          <t>Janvier</t>
        </is>
      </c>
      <c r="B24" s="94" t="inlineStr">
        <is>
          <t>/</t>
        </is>
      </c>
      <c r="C24" s="94" t="inlineStr">
        <is>
          <t>/</t>
        </is>
      </c>
      <c r="D24" s="94" t="inlineStr">
        <is>
          <t>/</t>
        </is>
      </c>
      <c r="E24" s="94" t="inlineStr">
        <is>
          <t>/</t>
        </is>
      </c>
      <c r="F24" s="94" t="inlineStr">
        <is>
          <t>/</t>
        </is>
      </c>
      <c r="G24" s="94" t="inlineStr">
        <is>
          <t>/</t>
        </is>
      </c>
      <c r="H24" s="94" t="inlineStr">
        <is>
          <t>/</t>
        </is>
      </c>
      <c r="I24" s="94" t="inlineStr">
        <is>
          <t>/</t>
        </is>
      </c>
      <c r="J24" s="94" t="inlineStr">
        <is>
          <t>/</t>
        </is>
      </c>
      <c r="K24" s="94" t="inlineStr">
        <is>
          <t>/</t>
        </is>
      </c>
      <c r="L24" s="94" t="inlineStr">
        <is>
          <t>/</t>
        </is>
      </c>
      <c r="M24" s="94" t="inlineStr">
        <is>
          <t>/</t>
        </is>
      </c>
      <c r="N24" s="94" t="inlineStr">
        <is>
          <t>/</t>
        </is>
      </c>
      <c r="O24" s="94" t="inlineStr">
        <is>
          <t>/</t>
        </is>
      </c>
      <c r="P24" s="94" t="inlineStr">
        <is>
          <t>/</t>
        </is>
      </c>
    </row>
    <row r="25" ht="15" customHeight="1" s="259">
      <c r="A25" s="92" t="inlineStr">
        <is>
          <t>Février</t>
        </is>
      </c>
      <c r="B25" s="94" t="inlineStr">
        <is>
          <t>/</t>
        </is>
      </c>
      <c r="C25" s="94" t="inlineStr">
        <is>
          <t>/</t>
        </is>
      </c>
      <c r="D25" s="94" t="inlineStr">
        <is>
          <t>/</t>
        </is>
      </c>
      <c r="E25" s="94" t="inlineStr">
        <is>
          <t>/</t>
        </is>
      </c>
      <c r="F25" s="94" t="inlineStr">
        <is>
          <t>/</t>
        </is>
      </c>
      <c r="G25" s="94" t="inlineStr">
        <is>
          <t>/</t>
        </is>
      </c>
      <c r="H25" s="94" t="inlineStr">
        <is>
          <t>/</t>
        </is>
      </c>
      <c r="I25" s="94" t="inlineStr">
        <is>
          <t>/</t>
        </is>
      </c>
      <c r="J25" s="94" t="inlineStr">
        <is>
          <t>/</t>
        </is>
      </c>
      <c r="K25" s="94" t="inlineStr">
        <is>
          <t>/</t>
        </is>
      </c>
      <c r="L25" s="94" t="inlineStr">
        <is>
          <t>/</t>
        </is>
      </c>
      <c r="M25" s="94" t="inlineStr">
        <is>
          <t>/</t>
        </is>
      </c>
      <c r="N25" s="94" t="inlineStr">
        <is>
          <t>/</t>
        </is>
      </c>
      <c r="O25" s="94" t="inlineStr">
        <is>
          <t>/</t>
        </is>
      </c>
      <c r="P25" s="94" t="inlineStr">
        <is>
          <t>/</t>
        </is>
      </c>
    </row>
    <row r="26" ht="15" customHeight="1" s="259">
      <c r="A26" s="92" t="inlineStr">
        <is>
          <t>Mars</t>
        </is>
      </c>
      <c r="B26" s="94" t="inlineStr">
        <is>
          <t>/</t>
        </is>
      </c>
      <c r="C26" s="94" t="inlineStr">
        <is>
          <t>/</t>
        </is>
      </c>
      <c r="D26" s="94" t="inlineStr">
        <is>
          <t>/</t>
        </is>
      </c>
      <c r="E26" s="94" t="inlineStr">
        <is>
          <t>/</t>
        </is>
      </c>
      <c r="F26" s="94" t="inlineStr">
        <is>
          <t>/</t>
        </is>
      </c>
      <c r="G26" s="94" t="inlineStr">
        <is>
          <t>/</t>
        </is>
      </c>
      <c r="H26" s="94" t="inlineStr">
        <is>
          <t>/</t>
        </is>
      </c>
      <c r="I26" s="94" t="inlineStr">
        <is>
          <t>/</t>
        </is>
      </c>
      <c r="J26" s="94" t="inlineStr">
        <is>
          <t>/</t>
        </is>
      </c>
      <c r="K26" s="94" t="inlineStr">
        <is>
          <t>/</t>
        </is>
      </c>
      <c r="L26" s="94" t="inlineStr">
        <is>
          <t>/</t>
        </is>
      </c>
      <c r="M26" s="94" t="inlineStr">
        <is>
          <t>/</t>
        </is>
      </c>
      <c r="N26" s="94" t="inlineStr">
        <is>
          <t>/</t>
        </is>
      </c>
      <c r="O26" s="94" t="inlineStr">
        <is>
          <t>/</t>
        </is>
      </c>
      <c r="P26" s="94" t="inlineStr">
        <is>
          <t>/</t>
        </is>
      </c>
    </row>
    <row r="27" ht="15" customHeight="1" s="259">
      <c r="A27" s="92" t="inlineStr">
        <is>
          <t>Avril</t>
        </is>
      </c>
      <c r="B27" s="108">
        <f>AVERAGE(B7)</f>
        <v/>
      </c>
      <c r="C27" s="108">
        <f>AVERAGE(C7)</f>
        <v/>
      </c>
      <c r="D27" s="108">
        <f>AVERAGE(D7)</f>
        <v/>
      </c>
      <c r="E27" s="108">
        <f>AVERAGE(E7)</f>
        <v/>
      </c>
      <c r="F27" s="108">
        <f>AVERAGE(F7)</f>
        <v/>
      </c>
      <c r="G27" s="108">
        <f>AVERAGE(G7)</f>
        <v/>
      </c>
      <c r="H27" s="108">
        <f>AVERAGE(H7)</f>
        <v/>
      </c>
      <c r="I27" s="108">
        <f>AVERAGE(I7)</f>
        <v/>
      </c>
      <c r="J27" s="108">
        <f>AVERAGE(J7)</f>
        <v/>
      </c>
      <c r="K27" s="108">
        <f>AVERAGE(K7)</f>
        <v/>
      </c>
      <c r="L27" s="108">
        <f>AVERAGE(L7)</f>
        <v/>
      </c>
      <c r="M27" s="108">
        <f>AVERAGE(M7)</f>
        <v/>
      </c>
      <c r="N27" s="108">
        <f>AVERAGE(N7)</f>
        <v/>
      </c>
      <c r="O27" s="108">
        <f>AVERAGE(O7)</f>
        <v/>
      </c>
      <c r="P27" s="108">
        <f>AVERAGE(P7)</f>
        <v/>
      </c>
    </row>
    <row r="29" ht="108" customHeight="1" s="259">
      <c r="A29" s="38" t="n"/>
      <c r="B29" s="38" t="inlineStr">
        <is>
          <t>JRM</t>
        </is>
      </c>
      <c r="C29" s="38" t="inlineStr">
        <is>
          <t>Cartons 1.05</t>
        </is>
      </c>
      <c r="D29" s="38" t="inlineStr">
        <is>
          <t>Cartons 1.04</t>
        </is>
      </c>
      <c r="E29" s="38" t="inlineStr">
        <is>
          <t>GM</t>
        </is>
      </c>
      <c r="F29" s="38" t="inlineStr">
        <is>
          <t>ELA</t>
        </is>
      </c>
      <c r="G29" s="36" t="inlineStr">
        <is>
          <t>PET Q7 bouteilles</t>
        </is>
      </c>
      <c r="H29" s="36" t="inlineStr">
        <is>
          <t>PET Q7 barquettes</t>
        </is>
      </c>
      <c r="I29" s="37" t="inlineStr">
        <is>
          <t>PET Q8 bouteilles</t>
        </is>
      </c>
      <c r="J29" s="37" t="inlineStr">
        <is>
          <t>PET Q8 Barquettes</t>
        </is>
      </c>
      <c r="K29" s="37" t="inlineStr">
        <is>
          <t>PET Q8 Opaque</t>
        </is>
      </c>
      <c r="L29" s="38" t="inlineStr">
        <is>
          <t>PEPPPS</t>
        </is>
      </c>
      <c r="M29" s="38" t="inlineStr">
        <is>
          <t>films</t>
        </is>
      </c>
      <c r="N29" s="38" t="inlineStr">
        <is>
          <t>acier</t>
        </is>
      </c>
      <c r="O29" s="38" t="inlineStr">
        <is>
          <t>alu</t>
        </is>
      </c>
      <c r="P29" s="38" t="inlineStr">
        <is>
          <t>petits alu</t>
        </is>
      </c>
      <c r="Q29" s="39" t="inlineStr">
        <is>
          <t>refus indésirables</t>
        </is>
      </c>
      <c r="R29" s="32" t="inlineStr">
        <is>
          <t>TOTAL refus fibreux valorisables</t>
        </is>
      </c>
      <c r="S29" s="31" t="inlineStr">
        <is>
          <t>TOTAL refus non fibreux valorisables</t>
        </is>
      </c>
      <c r="T29" s="33" t="inlineStr">
        <is>
          <t xml:space="preserve">TOTAL REFUS </t>
        </is>
      </c>
      <c r="U29" s="31" t="inlineStr">
        <is>
          <t>TOTAL REFUS + refus non fibreux</t>
        </is>
      </c>
    </row>
    <row r="30" ht="20.25" customHeight="1" s="259">
      <c r="A30" s="38" t="inlineStr">
        <is>
          <t>Q7</t>
        </is>
      </c>
      <c r="B30" s="46" t="n">
        <v>0.001097385563213868</v>
      </c>
      <c r="C30" s="46" t="n">
        <v>0</v>
      </c>
      <c r="D30" s="46" t="n">
        <v>0.001444897944560983</v>
      </c>
      <c r="E30" s="46" t="n">
        <v>0</v>
      </c>
      <c r="F30" s="46" t="n">
        <v>0.0007822277724526903</v>
      </c>
      <c r="G30" s="48" t="n">
        <v>0.861089771223434</v>
      </c>
      <c r="H30" s="48" t="n">
        <v>0.1039372349468314</v>
      </c>
      <c r="I30" s="47" t="n">
        <v>0.00453132293257948</v>
      </c>
      <c r="J30" s="47" t="n">
        <v>0.0002839900603478878</v>
      </c>
      <c r="K30" s="47" t="n">
        <v>0.004249808213027799</v>
      </c>
      <c r="L30" s="46" t="n">
        <v>0.0009908867230447121</v>
      </c>
      <c r="M30" s="46" t="n">
        <v>0.001217864093349273</v>
      </c>
      <c r="N30" s="46" t="n">
        <v>0.0009782664171435376</v>
      </c>
      <c r="O30" s="46" t="n">
        <v>0.00193456283890987</v>
      </c>
      <c r="P30" s="46" t="n">
        <v>0.0003215767430940877</v>
      </c>
      <c r="Q30" s="53" t="n">
        <v>0.01714020452801045</v>
      </c>
      <c r="R30" s="46" t="n">
        <v>0.002542283507774852</v>
      </c>
      <c r="S30" s="50" t="n">
        <v>0.01205609979480184</v>
      </c>
      <c r="T30" s="51" t="n">
        <v>0.0229168940349328</v>
      </c>
      <c r="U30" s="52" t="n">
        <v>0.03497299382973463</v>
      </c>
    </row>
    <row r="31" ht="20.25" customHeight="1" s="259">
      <c r="A31" s="38" t="n"/>
    </row>
    <row r="32" ht="20.25" customHeight="1" s="259">
      <c r="A32" s="38" t="n">
        <v>2024</v>
      </c>
      <c r="B32" s="91" t="n">
        <v>0.000432900432900433</v>
      </c>
      <c r="C32" s="91" t="n">
        <v>0</v>
      </c>
      <c r="D32" s="91" t="n">
        <v>0.000865800865800866</v>
      </c>
      <c r="E32" s="91" t="n">
        <v>0.000432900432900433</v>
      </c>
      <c r="F32" s="91" t="n">
        <v>0</v>
      </c>
      <c r="G32" s="91" t="n">
        <v>0.8901044607566349</v>
      </c>
      <c r="H32" s="91" t="n">
        <v>0.07040278562017693</v>
      </c>
      <c r="I32" s="91" t="n">
        <v>0.002348014304536044</v>
      </c>
      <c r="J32" s="91" t="n">
        <v>0.000865800865800866</v>
      </c>
      <c r="K32" s="91" t="n">
        <v>0.00531714662149445</v>
      </c>
      <c r="L32" s="91" t="n">
        <v>0</v>
      </c>
      <c r="M32" s="91" t="n">
        <v>0.000432900432900433</v>
      </c>
      <c r="N32" s="91" t="n">
        <v>0.000865800865800866</v>
      </c>
      <c r="O32" s="91" t="n">
        <v>0.001298701298701299</v>
      </c>
      <c r="P32" s="91" t="n">
        <v>0.000432900432900433</v>
      </c>
      <c r="Q32" s="91" t="n">
        <v>0.02619988706945229</v>
      </c>
      <c r="R32" s="91" t="n">
        <v>0.001731601731601732</v>
      </c>
      <c r="S32" s="91" t="n">
        <v>0.008963862224731793</v>
      </c>
      <c r="T32" s="91" t="n">
        <v>0.03052889139845662</v>
      </c>
      <c r="U32" s="91" t="n">
        <v>0.03949275362318841</v>
      </c>
    </row>
    <row r="33" ht="15" customHeight="1" s="259">
      <c r="A33" s="92" t="inlineStr">
        <is>
          <t>Janvier</t>
        </is>
      </c>
      <c r="B33" s="95" t="n">
        <v>0</v>
      </c>
      <c r="C33" s="95" t="n">
        <v>0</v>
      </c>
      <c r="D33" s="95" t="n">
        <v>0</v>
      </c>
      <c r="E33" s="95" t="n">
        <v>0</v>
      </c>
      <c r="F33" s="95" t="n">
        <v>0</v>
      </c>
      <c r="G33" s="95" t="n">
        <v>0.9100790513833994</v>
      </c>
      <c r="H33" s="95" t="n">
        <v>0.05335968379446641</v>
      </c>
      <c r="I33" s="95" t="n">
        <v>0.002964426877470356</v>
      </c>
      <c r="J33" s="95" t="n">
        <v>0</v>
      </c>
      <c r="K33" s="95" t="n">
        <v>0.001976284584980237</v>
      </c>
      <c r="L33" s="95" t="n">
        <v>0</v>
      </c>
      <c r="M33" s="95" t="n">
        <v>0</v>
      </c>
      <c r="N33" s="95" t="n">
        <v>0</v>
      </c>
      <c r="O33" s="95" t="n">
        <v>0</v>
      </c>
      <c r="P33" s="95" t="n">
        <v>0</v>
      </c>
      <c r="Q33" s="95" t="n">
        <v>0.0316205533596838</v>
      </c>
      <c r="R33" s="95" t="n">
        <v>0</v>
      </c>
      <c r="S33" s="95" t="n">
        <v>0.004940711462450594</v>
      </c>
      <c r="T33" s="95" t="n">
        <v>0.0316205533596838</v>
      </c>
      <c r="U33" s="95" t="n">
        <v>0.03656126482213439</v>
      </c>
    </row>
    <row r="34" ht="15" customHeight="1" s="259">
      <c r="A34" s="92" t="inlineStr">
        <is>
          <t>Février</t>
        </is>
      </c>
      <c r="B34" s="95" t="n">
        <v>0.000865800865800866</v>
      </c>
      <c r="C34" s="95" t="n">
        <v>0</v>
      </c>
      <c r="D34" s="95" t="n">
        <v>0.001731601731601732</v>
      </c>
      <c r="E34" s="95" t="n">
        <v>0.000865800865800866</v>
      </c>
      <c r="F34" s="95" t="n">
        <v>0</v>
      </c>
      <c r="G34" s="95" t="n">
        <v>0.8701298701298704</v>
      </c>
      <c r="H34" s="95" t="n">
        <v>0.08744588744588747</v>
      </c>
      <c r="I34" s="95" t="n">
        <v>0.001731601731601732</v>
      </c>
      <c r="J34" s="95" t="n">
        <v>0.001731601731601732</v>
      </c>
      <c r="K34" s="95" t="n">
        <v>0.008658008658008661</v>
      </c>
      <c r="L34" s="95" t="n">
        <v>0</v>
      </c>
      <c r="M34" s="95" t="n">
        <v>0.000865800865800866</v>
      </c>
      <c r="N34" s="95" t="n">
        <v>0.001731601731601732</v>
      </c>
      <c r="O34" s="95" t="n">
        <v>0.002597402597402598</v>
      </c>
      <c r="P34" s="95" t="n">
        <v>0.000865800865800866</v>
      </c>
      <c r="Q34" s="95" t="n">
        <v>0.02077922077922078</v>
      </c>
      <c r="R34" s="95" t="n">
        <v>0.003463203463203464</v>
      </c>
      <c r="S34" s="95" t="n">
        <v>0.01298701298701299</v>
      </c>
      <c r="T34" s="95" t="n">
        <v>0.02943722943722944</v>
      </c>
      <c r="U34" s="95" t="n">
        <v>0.04242424242424243</v>
      </c>
    </row>
    <row r="35" ht="15" customHeight="1" s="259">
      <c r="A35" s="92" t="inlineStr">
        <is>
          <t>Mars</t>
        </is>
      </c>
      <c r="B35" s="95" t="inlineStr">
        <is>
          <t>/</t>
        </is>
      </c>
      <c r="C35" s="95" t="inlineStr">
        <is>
          <t>/</t>
        </is>
      </c>
      <c r="D35" s="95" t="inlineStr">
        <is>
          <t>/</t>
        </is>
      </c>
      <c r="E35" s="95" t="inlineStr">
        <is>
          <t>/</t>
        </is>
      </c>
      <c r="F35" s="95" t="inlineStr">
        <is>
          <t>/</t>
        </is>
      </c>
      <c r="G35" s="95" t="inlineStr">
        <is>
          <t>/</t>
        </is>
      </c>
      <c r="H35" s="95" t="inlineStr">
        <is>
          <t>/</t>
        </is>
      </c>
      <c r="I35" s="95" t="inlineStr">
        <is>
          <t>/</t>
        </is>
      </c>
      <c r="J35" s="95" t="inlineStr">
        <is>
          <t>/</t>
        </is>
      </c>
      <c r="K35" s="95" t="inlineStr">
        <is>
          <t>/</t>
        </is>
      </c>
      <c r="L35" s="95" t="inlineStr">
        <is>
          <t>/</t>
        </is>
      </c>
      <c r="M35" s="95" t="inlineStr">
        <is>
          <t>/</t>
        </is>
      </c>
      <c r="N35" s="95" t="inlineStr">
        <is>
          <t>/</t>
        </is>
      </c>
      <c r="O35" s="95" t="inlineStr">
        <is>
          <t>/</t>
        </is>
      </c>
      <c r="P35" s="95" t="inlineStr">
        <is>
          <t>/</t>
        </is>
      </c>
      <c r="Q35" s="95" t="inlineStr">
        <is>
          <t>/</t>
        </is>
      </c>
      <c r="R35" s="95" t="inlineStr">
        <is>
          <t>/</t>
        </is>
      </c>
      <c r="S35" s="95" t="inlineStr">
        <is>
          <t>/</t>
        </is>
      </c>
      <c r="T35" s="95" t="inlineStr">
        <is>
          <t>/</t>
        </is>
      </c>
      <c r="U35" s="95" t="inlineStr">
        <is>
          <t>/</t>
        </is>
      </c>
    </row>
    <row r="36" ht="15" customHeight="1" s="259">
      <c r="A36" s="92" t="inlineStr">
        <is>
          <t>Avril</t>
        </is>
      </c>
      <c r="B36" s="95" t="n">
        <v>0.0007002801120448179</v>
      </c>
      <c r="C36" s="95" t="n">
        <v>0</v>
      </c>
      <c r="D36" s="95" t="n">
        <v>0.003275037122587032</v>
      </c>
      <c r="E36" s="95" t="n">
        <v>0</v>
      </c>
      <c r="F36" s="95" t="n">
        <v>0.03918495297805643</v>
      </c>
      <c r="G36" s="95" t="n">
        <v>0.8115594451780712</v>
      </c>
      <c r="H36" s="95" t="n">
        <v>0.09133070130116479</v>
      </c>
      <c r="I36" s="95" t="n">
        <v>0.007418544055140618</v>
      </c>
      <c r="J36" s="95" t="n">
        <v>0</v>
      </c>
      <c r="K36" s="95" t="n">
        <v>0.01821262876193898</v>
      </c>
      <c r="L36" s="95" t="n">
        <v>0</v>
      </c>
      <c r="M36" s="95" t="n">
        <v>0</v>
      </c>
      <c r="N36" s="95" t="n">
        <v>0.001400560224089636</v>
      </c>
      <c r="O36" s="95" t="n">
        <v>0.001049744266622669</v>
      </c>
      <c r="P36" s="95" t="n">
        <v>0</v>
      </c>
      <c r="Q36" s="95" t="n">
        <v>0.06466120944855974</v>
      </c>
      <c r="R36" s="95" t="n">
        <v>0.003975317234631849</v>
      </c>
      <c r="S36" s="95" t="n">
        <v>0.06481612579513603</v>
      </c>
      <c r="T36" s="95" t="n">
        <v>0.07108683117390391</v>
      </c>
      <c r="U36" s="95" t="n">
        <v>0.1359029569690399</v>
      </c>
    </row>
    <row r="38" ht="108" customHeight="1" s="259">
      <c r="A38" s="38" t="n"/>
      <c r="B38" s="38" t="inlineStr">
        <is>
          <t>JRM</t>
        </is>
      </c>
      <c r="C38" s="38" t="inlineStr">
        <is>
          <t>Cartons 1.05</t>
        </is>
      </c>
      <c r="D38" s="38" t="inlineStr">
        <is>
          <t>Cartons 1.04</t>
        </is>
      </c>
      <c r="E38" s="38" t="inlineStr">
        <is>
          <t>GM</t>
        </is>
      </c>
      <c r="F38" s="38" t="inlineStr">
        <is>
          <t>ELA</t>
        </is>
      </c>
      <c r="G38" s="37" t="inlineStr">
        <is>
          <t>PET Q7 bouteilles</t>
        </is>
      </c>
      <c r="H38" s="37" t="inlineStr">
        <is>
          <t>PET Q7 barquettes</t>
        </is>
      </c>
      <c r="I38" s="36" t="inlineStr">
        <is>
          <t>PET Q8 bouteilles</t>
        </is>
      </c>
      <c r="J38" s="36" t="inlineStr">
        <is>
          <t>PET Q8 Barquettes</t>
        </is>
      </c>
      <c r="K38" s="36" t="inlineStr">
        <is>
          <t>PET Q8 Opaque</t>
        </is>
      </c>
      <c r="L38" s="38" t="inlineStr">
        <is>
          <t>PEPPPS</t>
        </is>
      </c>
      <c r="M38" s="38" t="inlineStr">
        <is>
          <t>films</t>
        </is>
      </c>
      <c r="N38" s="38" t="inlineStr">
        <is>
          <t>acier</t>
        </is>
      </c>
      <c r="O38" s="38" t="inlineStr">
        <is>
          <t>alu</t>
        </is>
      </c>
      <c r="P38" s="38" t="inlineStr">
        <is>
          <t>petits alu</t>
        </is>
      </c>
      <c r="Q38" s="33" t="inlineStr">
        <is>
          <t>refus indésirables</t>
        </is>
      </c>
      <c r="R38" s="32" t="inlineStr">
        <is>
          <t>TOTAL refus fibreux valorisables</t>
        </is>
      </c>
      <c r="S38" s="31" t="inlineStr">
        <is>
          <t>TOTAL refus non fibreux valorisables</t>
        </is>
      </c>
      <c r="T38" s="33" t="inlineStr">
        <is>
          <t xml:space="preserve">TOTAL REFUS </t>
        </is>
      </c>
      <c r="U38" s="31" t="inlineStr">
        <is>
          <t>TOTAL REFUS + refus non fibreux</t>
        </is>
      </c>
    </row>
    <row r="39" ht="20.25" customHeight="1" s="259">
      <c r="A39" s="38" t="inlineStr">
        <is>
          <t>Q8</t>
        </is>
      </c>
      <c r="B39" s="46" t="n">
        <v>0.0002560941509571824</v>
      </c>
      <c r="C39" s="46" t="n">
        <v>0.0008016970638856926</v>
      </c>
      <c r="D39" s="46" t="n">
        <v>0.001659486600998354</v>
      </c>
      <c r="E39" s="46" t="n">
        <v>1.075847229693383e-05</v>
      </c>
      <c r="F39" s="46" t="n">
        <v>0.0003408252838400734</v>
      </c>
      <c r="G39" s="47" t="n">
        <v>0.1196682724222711</v>
      </c>
      <c r="H39" s="47" t="n">
        <v>0.02783334739648013</v>
      </c>
      <c r="I39" s="48" t="n">
        <v>0.6118211518039471</v>
      </c>
      <c r="J39" s="48" t="n">
        <v>0.01106410210809407</v>
      </c>
      <c r="K39" s="48" t="n">
        <v>0.1875670340141708</v>
      </c>
      <c r="L39" s="46" t="n">
        <v>0.007307498005326953</v>
      </c>
      <c r="M39" s="46" t="n">
        <v>0.003465513715928327</v>
      </c>
      <c r="N39" s="46" t="n">
        <v>8.976047863119125e-05</v>
      </c>
      <c r="O39" s="46" t="n">
        <v>0.001812194083687989</v>
      </c>
      <c r="P39" s="46" t="n">
        <v>0.00128368780029803</v>
      </c>
      <c r="Q39" s="53" t="n">
        <v>0.02501857659918605</v>
      </c>
      <c r="R39" s="46" t="n">
        <v>0.002728036288138163</v>
      </c>
      <c r="S39" s="47" t="n">
        <v>0.1551499431079182</v>
      </c>
      <c r="T39" s="53" t="n">
        <v>0.03093225524994141</v>
      </c>
      <c r="U39" s="47" t="n">
        <v>0.1860821983578596</v>
      </c>
    </row>
    <row r="40" ht="20.25" customHeight="1" s="259">
      <c r="A40" s="38" t="n"/>
    </row>
    <row r="41" ht="20.25" customHeight="1" s="259">
      <c r="A41" s="38" t="n">
        <v>2024</v>
      </c>
      <c r="B41" s="91" t="n">
        <v>0</v>
      </c>
      <c r="C41" s="91" t="n">
        <v>0</v>
      </c>
      <c r="D41" s="91" t="n">
        <v>0.005447737778479528</v>
      </c>
      <c r="E41" s="91" t="n">
        <v>0</v>
      </c>
      <c r="F41" s="91" t="n">
        <v>0</v>
      </c>
      <c r="G41" s="91" t="n">
        <v>0.05784998398852505</v>
      </c>
      <c r="H41" s="91" t="n">
        <v>0.005721426987876103</v>
      </c>
      <c r="I41" s="91" t="n">
        <v>0.6183644752819575</v>
      </c>
      <c r="J41" s="91" t="n">
        <v>0.07860382361290756</v>
      </c>
      <c r="K41" s="91" t="n">
        <v>0.1966997583943136</v>
      </c>
      <c r="L41" s="91" t="n">
        <v>0.002163164400494438</v>
      </c>
      <c r="M41" s="91" t="n">
        <v>0</v>
      </c>
      <c r="N41" s="91" t="n">
        <v>0</v>
      </c>
      <c r="O41" s="91" t="n">
        <v>0.001236093943139679</v>
      </c>
      <c r="P41" s="91" t="n">
        <v>0.0006180469715698394</v>
      </c>
      <c r="Q41" s="91" t="n">
        <v>0.03329548864073682</v>
      </c>
      <c r="R41" s="91" t="n">
        <v>0.005447737778479528</v>
      </c>
      <c r="S41" s="91" t="n">
        <v>0.06573457537689559</v>
      </c>
      <c r="T41" s="91" t="n">
        <v>0.04059736733392587</v>
      </c>
      <c r="U41" s="91" t="n">
        <v>0.1063319427108215</v>
      </c>
    </row>
    <row r="42" ht="15" customHeight="1" s="259">
      <c r="A42" s="92" t="inlineStr">
        <is>
          <t>Janvier</t>
        </is>
      </c>
      <c r="B42" s="89" t="n">
        <v>0</v>
      </c>
      <c r="C42" s="89" t="n">
        <v>0</v>
      </c>
      <c r="D42" s="89" t="n">
        <v>0.00718719372754002</v>
      </c>
      <c r="E42" s="89" t="n">
        <v>0</v>
      </c>
      <c r="F42" s="89" t="n">
        <v>0</v>
      </c>
      <c r="G42" s="89" t="n">
        <v>0.05945769356419471</v>
      </c>
      <c r="H42" s="89" t="n">
        <v>0.005880431231623652</v>
      </c>
      <c r="I42" s="89" t="n">
        <v>0.6403136229990199</v>
      </c>
      <c r="J42" s="89" t="n">
        <v>0.1127082652727867</v>
      </c>
      <c r="K42" s="89" t="n">
        <v>0.1430904933028422</v>
      </c>
      <c r="L42" s="89" t="n">
        <v>0</v>
      </c>
      <c r="M42" s="89" t="n">
        <v>0</v>
      </c>
      <c r="N42" s="89" t="n">
        <v>0</v>
      </c>
      <c r="O42" s="89" t="n">
        <v>0</v>
      </c>
      <c r="P42" s="89" t="n">
        <v>0</v>
      </c>
      <c r="Q42" s="89" t="n">
        <v>0.03136229990199281</v>
      </c>
      <c r="R42" s="89" t="n">
        <v>0.00718719372754002</v>
      </c>
      <c r="S42" s="89" t="n">
        <v>0.06533812479581837</v>
      </c>
      <c r="T42" s="89" t="n">
        <v>0.03854949362953283</v>
      </c>
      <c r="U42" s="89" t="n">
        <v>0.1038876184253512</v>
      </c>
    </row>
    <row r="43" ht="15" customHeight="1" s="259">
      <c r="A43" s="92" t="inlineStr">
        <is>
          <t>Février</t>
        </is>
      </c>
      <c r="B43" s="89" t="n">
        <v>0</v>
      </c>
      <c r="C43" s="89" t="n">
        <v>0</v>
      </c>
      <c r="D43" s="89" t="n">
        <v>0.003708281829419036</v>
      </c>
      <c r="E43" s="89" t="n">
        <v>0</v>
      </c>
      <c r="F43" s="89" t="n">
        <v>0</v>
      </c>
      <c r="G43" s="89" t="n">
        <v>0.05624227441285538</v>
      </c>
      <c r="H43" s="89" t="n">
        <v>0.005562422744128554</v>
      </c>
      <c r="I43" s="89" t="n">
        <v>0.596415327564895</v>
      </c>
      <c r="J43" s="89" t="n">
        <v>0.04449938195302843</v>
      </c>
      <c r="K43" s="89" t="n">
        <v>0.2503090234857849</v>
      </c>
      <c r="L43" s="89" t="n">
        <v>0.004326328800988876</v>
      </c>
      <c r="M43" s="89" t="n">
        <v>0</v>
      </c>
      <c r="N43" s="89" t="n">
        <v>0</v>
      </c>
      <c r="O43" s="89" t="n">
        <v>0.002472187886279357</v>
      </c>
      <c r="P43" s="89" t="n">
        <v>0.001236093943139679</v>
      </c>
      <c r="Q43" s="89" t="n">
        <v>0.03522867737948084</v>
      </c>
      <c r="R43" s="89" t="n">
        <v>0.003708281829419036</v>
      </c>
      <c r="S43" s="89" t="n">
        <v>0.06613102595797281</v>
      </c>
      <c r="T43" s="89" t="n">
        <v>0.0426452410383189</v>
      </c>
      <c r="U43" s="89" t="n">
        <v>0.1087762669962917</v>
      </c>
    </row>
    <row r="44" ht="30" customHeight="1" s="259">
      <c r="A44" s="92" t="inlineStr">
        <is>
          <t>Mars</t>
        </is>
      </c>
      <c r="B44" s="109" t="inlineStr">
        <is>
          <t>/</t>
        </is>
      </c>
      <c r="C44" s="109" t="inlineStr">
        <is>
          <t>/</t>
        </is>
      </c>
      <c r="D44" s="109" t="inlineStr">
        <is>
          <t>/</t>
        </is>
      </c>
      <c r="E44" s="109" t="inlineStr">
        <is>
          <t>/</t>
        </is>
      </c>
      <c r="F44" s="109" t="inlineStr">
        <is>
          <t>/</t>
        </is>
      </c>
      <c r="G44" s="109" t="inlineStr">
        <is>
          <t>/</t>
        </is>
      </c>
      <c r="H44" s="109" t="inlineStr">
        <is>
          <t>/</t>
        </is>
      </c>
      <c r="I44" s="109" t="inlineStr">
        <is>
          <t>/</t>
        </is>
      </c>
      <c r="J44" s="109" t="inlineStr">
        <is>
          <t>/</t>
        </is>
      </c>
      <c r="K44" s="109" t="inlineStr">
        <is>
          <t>/</t>
        </is>
      </c>
      <c r="L44" s="109" t="inlineStr">
        <is>
          <t>/</t>
        </is>
      </c>
      <c r="M44" s="109" t="inlineStr">
        <is>
          <t>/</t>
        </is>
      </c>
      <c r="N44" s="109" t="inlineStr">
        <is>
          <t>/</t>
        </is>
      </c>
      <c r="O44" s="109" t="inlineStr">
        <is>
          <t>/</t>
        </is>
      </c>
      <c r="P44" s="109" t="inlineStr">
        <is>
          <t>/</t>
        </is>
      </c>
      <c r="Q44" s="109" t="inlineStr">
        <is>
          <t>/</t>
        </is>
      </c>
      <c r="R44" s="109" t="inlineStr">
        <is>
          <t>/</t>
        </is>
      </c>
      <c r="S44" s="109" t="inlineStr">
        <is>
          <t>/</t>
        </is>
      </c>
      <c r="T44" s="109" t="inlineStr">
        <is>
          <t>/</t>
        </is>
      </c>
      <c r="U44" s="109" t="inlineStr">
        <is>
          <t>/</t>
        </is>
      </c>
    </row>
    <row r="45" ht="15" customHeight="1" s="259">
      <c r="A45" s="92" t="inlineStr">
        <is>
          <t>Avril</t>
        </is>
      </c>
      <c r="B45" s="89" t="n">
        <v>0.0002219755826859046</v>
      </c>
      <c r="C45" s="89" t="n">
        <v>0</v>
      </c>
      <c r="D45" s="89" t="n">
        <v>0</v>
      </c>
      <c r="E45" s="89" t="n">
        <v>0</v>
      </c>
      <c r="F45" s="89" t="n">
        <v>0.0002219755826859046</v>
      </c>
      <c r="G45" s="89" t="n">
        <v>0.1262955563516769</v>
      </c>
      <c r="H45" s="89" t="n">
        <v>0.05563828190424071</v>
      </c>
      <c r="I45" s="89" t="n">
        <v>0.5120224337089025</v>
      </c>
      <c r="J45" s="89" t="n">
        <v>0.0048834628190899</v>
      </c>
      <c r="K45" s="89" t="n">
        <v>0.2416103980968063</v>
      </c>
      <c r="L45" s="89" t="n">
        <v>0.006639108102820326</v>
      </c>
      <c r="M45" s="89" t="n">
        <v>0</v>
      </c>
      <c r="N45" s="89" t="n">
        <v>0.0002219755826859046</v>
      </c>
      <c r="O45" s="89" t="n">
        <v>0.0006395121171326688</v>
      </c>
      <c r="P45" s="89" t="n">
        <v>0</v>
      </c>
      <c r="Q45" s="89" t="n">
        <v>0.05160532015127304</v>
      </c>
      <c r="R45" s="89" t="n">
        <v>0.0002219755826859046</v>
      </c>
      <c r="S45" s="89" t="n">
        <v>0.1887949219414238</v>
      </c>
      <c r="T45" s="89" t="n">
        <v>0.05268878343377751</v>
      </c>
      <c r="U45" s="89" t="n">
        <v>0.2414837053752013</v>
      </c>
    </row>
    <row r="47" ht="108" customHeight="1" s="259">
      <c r="A47" s="38" t="n"/>
      <c r="B47" s="38" t="inlineStr">
        <is>
          <t>JRM</t>
        </is>
      </c>
      <c r="C47" s="38" t="inlineStr">
        <is>
          <t>Cartons 1.05</t>
        </is>
      </c>
      <c r="D47" s="38" t="inlineStr">
        <is>
          <t>Cartons 1.04</t>
        </is>
      </c>
      <c r="E47" s="38" t="inlineStr">
        <is>
          <t>GM</t>
        </is>
      </c>
      <c r="F47" s="37" t="inlineStr">
        <is>
          <t>ELA</t>
        </is>
      </c>
      <c r="G47" s="37" t="inlineStr">
        <is>
          <t>PET Q7</t>
        </is>
      </c>
      <c r="H47" s="37" t="inlineStr">
        <is>
          <t>PET Q8</t>
        </is>
      </c>
      <c r="I47" s="56" t="inlineStr">
        <is>
          <t>PEHD</t>
        </is>
      </c>
      <c r="J47" s="56" t="inlineStr">
        <is>
          <t>PP</t>
        </is>
      </c>
      <c r="K47" s="56" t="inlineStr">
        <is>
          <t>PS</t>
        </is>
      </c>
      <c r="L47" s="37" t="inlineStr">
        <is>
          <t>films</t>
        </is>
      </c>
      <c r="M47" s="38" t="inlineStr">
        <is>
          <t>acier</t>
        </is>
      </c>
      <c r="N47" s="38" t="inlineStr">
        <is>
          <t>alu</t>
        </is>
      </c>
      <c r="O47" s="38" t="inlineStr">
        <is>
          <t>petits alu</t>
        </is>
      </c>
      <c r="P47" s="33" t="inlineStr">
        <is>
          <t>refus indésirables</t>
        </is>
      </c>
      <c r="Q47" s="32" t="inlineStr">
        <is>
          <t>TOTAL refus fibreux valorisables</t>
        </is>
      </c>
      <c r="R47" s="31" t="inlineStr">
        <is>
          <t>TOTAL refus non fibreux valorisables</t>
        </is>
      </c>
      <c r="S47" s="33" t="inlineStr">
        <is>
          <t xml:space="preserve">TOTAL REFUS </t>
        </is>
      </c>
      <c r="T47" s="31" t="inlineStr">
        <is>
          <t>TOTAL REFUS + refus non fibreux</t>
        </is>
      </c>
    </row>
    <row r="48" ht="40.5" customHeight="1" s="259">
      <c r="A48" s="38" t="inlineStr">
        <is>
          <t>PEPPPS</t>
        </is>
      </c>
      <c r="B48" s="46">
        <f>AVERAGE(B6:B32)</f>
        <v/>
      </c>
      <c r="C48" s="46">
        <f>AVERAGE(C6:C32)</f>
        <v/>
      </c>
      <c r="D48" s="46">
        <f>AVERAGE(D6:D32)</f>
        <v/>
      </c>
      <c r="E48" s="46">
        <f>AVERAGE(E6:E32)</f>
        <v/>
      </c>
      <c r="F48" s="47">
        <f>AVERAGE(F6:F32)</f>
        <v/>
      </c>
      <c r="G48" s="47">
        <f>AVERAGE(G6:G32)</f>
        <v/>
      </c>
      <c r="H48" s="47">
        <f>AVERAGE(H6:H32)</f>
        <v/>
      </c>
      <c r="I48" s="57">
        <f>AVERAGE(I6:I32)</f>
        <v/>
      </c>
      <c r="J48" s="57">
        <f>AVERAGE(J6:J32)</f>
        <v/>
      </c>
      <c r="K48" s="57">
        <f>AVERAGE(K6:K32)</f>
        <v/>
      </c>
      <c r="L48" s="47">
        <f>AVERAGE(L6:L32)</f>
        <v/>
      </c>
      <c r="M48" s="46">
        <f>AVERAGE(M6:M32)</f>
        <v/>
      </c>
      <c r="N48" s="46">
        <f>AVERAGE(N6:N32)</f>
        <v/>
      </c>
      <c r="O48" s="46">
        <f>AVERAGE(O6:O32)</f>
        <v/>
      </c>
      <c r="P48" s="49">
        <f>AVERAGE(P6:P32)</f>
        <v/>
      </c>
      <c r="Q48" s="55">
        <f>AVERAGE(Q6:Q32)</f>
        <v/>
      </c>
      <c r="R48" s="50">
        <f>AVERAGE(R6:R32)</f>
        <v/>
      </c>
      <c r="S48" s="49">
        <f>AVERAGE(S6:S32)</f>
        <v/>
      </c>
      <c r="T48" s="50">
        <f>AVERAGE(T6:T32)</f>
        <v/>
      </c>
    </row>
    <row r="50" ht="20.25" customHeight="1" s="259">
      <c r="A50" s="38" t="n">
        <v>2024</v>
      </c>
      <c r="B50" s="96">
        <f>AVERAGE(B33)</f>
        <v/>
      </c>
      <c r="C50" s="96">
        <f>AVERAGE(C33)</f>
        <v/>
      </c>
      <c r="D50" s="96">
        <f>AVERAGE(D33)</f>
        <v/>
      </c>
      <c r="E50" s="96">
        <f>AVERAGE(E33)</f>
        <v/>
      </c>
      <c r="F50" s="96">
        <f>AVERAGE(F33)</f>
        <v/>
      </c>
      <c r="G50" s="96">
        <f>AVERAGE(G33)</f>
        <v/>
      </c>
      <c r="H50" s="96">
        <f>AVERAGE(H33)</f>
        <v/>
      </c>
      <c r="I50" s="96">
        <f>AVERAGE(I33)</f>
        <v/>
      </c>
      <c r="J50" s="96">
        <f>AVERAGE(J33)</f>
        <v/>
      </c>
      <c r="K50" s="96">
        <f>AVERAGE(K33)</f>
        <v/>
      </c>
      <c r="L50" s="96">
        <f>AVERAGE(L33)</f>
        <v/>
      </c>
      <c r="M50" s="96">
        <f>AVERAGE(M33)</f>
        <v/>
      </c>
      <c r="N50" s="96">
        <f>AVERAGE(N33)</f>
        <v/>
      </c>
      <c r="O50" s="96">
        <f>AVERAGE(O33)</f>
        <v/>
      </c>
      <c r="P50" s="96">
        <f>AVERAGE(P33)</f>
        <v/>
      </c>
      <c r="Q50" s="96">
        <f>AVERAGE(Q33)</f>
        <v/>
      </c>
      <c r="R50" s="96">
        <f>AVERAGE(R33)</f>
        <v/>
      </c>
      <c r="S50" s="96">
        <f>AVERAGE(S33)</f>
        <v/>
      </c>
      <c r="T50" s="96">
        <f>AVERAGE(T33)</f>
        <v/>
      </c>
    </row>
    <row r="51" ht="15.75" customHeight="1" s="259">
      <c r="A51" s="90" t="inlineStr">
        <is>
          <t>Janvier</t>
        </is>
      </c>
      <c r="B51" s="97" t="inlineStr">
        <is>
          <t>/</t>
        </is>
      </c>
      <c r="C51" s="97" t="inlineStr">
        <is>
          <t>/</t>
        </is>
      </c>
      <c r="D51" s="97" t="inlineStr">
        <is>
          <t>/</t>
        </is>
      </c>
      <c r="E51" s="97" t="inlineStr">
        <is>
          <t>/</t>
        </is>
      </c>
      <c r="F51" s="97" t="inlineStr">
        <is>
          <t>/</t>
        </is>
      </c>
      <c r="G51" s="97" t="inlineStr">
        <is>
          <t>/</t>
        </is>
      </c>
      <c r="H51" s="97" t="inlineStr">
        <is>
          <t>/</t>
        </is>
      </c>
      <c r="I51" s="97" t="inlineStr">
        <is>
          <t>/</t>
        </is>
      </c>
      <c r="J51" s="97" t="inlineStr">
        <is>
          <t>/</t>
        </is>
      </c>
      <c r="K51" s="97" t="inlineStr">
        <is>
          <t>/</t>
        </is>
      </c>
      <c r="L51" s="97" t="inlineStr">
        <is>
          <t>/</t>
        </is>
      </c>
      <c r="M51" s="97" t="inlineStr">
        <is>
          <t>/</t>
        </is>
      </c>
      <c r="N51" s="97" t="inlineStr">
        <is>
          <t>/</t>
        </is>
      </c>
      <c r="O51" s="97" t="inlineStr">
        <is>
          <t>/</t>
        </is>
      </c>
      <c r="P51" s="97" t="inlineStr">
        <is>
          <t>/</t>
        </is>
      </c>
      <c r="Q51" s="97" t="inlineStr">
        <is>
          <t>/</t>
        </is>
      </c>
      <c r="R51" s="97" t="inlineStr">
        <is>
          <t>/</t>
        </is>
      </c>
      <c r="S51" s="97" t="inlineStr">
        <is>
          <t>/</t>
        </is>
      </c>
      <c r="T51" s="97" t="inlineStr">
        <is>
          <t>/</t>
        </is>
      </c>
    </row>
    <row r="52" ht="15.75" customHeight="1" s="259">
      <c r="A52" s="90" t="inlineStr">
        <is>
          <t>Février</t>
        </is>
      </c>
      <c r="B52" s="87">
        <f>AVERAGE(B33)</f>
        <v/>
      </c>
      <c r="C52" s="87">
        <f>AVERAGE(C33)</f>
        <v/>
      </c>
      <c r="D52" s="87">
        <f>AVERAGE(D33)</f>
        <v/>
      </c>
      <c r="E52" s="87">
        <f>AVERAGE(E33)</f>
        <v/>
      </c>
      <c r="F52" s="87">
        <f>AVERAGE(F33)</f>
        <v/>
      </c>
      <c r="G52" s="87">
        <f>AVERAGE(G33)</f>
        <v/>
      </c>
      <c r="H52" s="87">
        <f>AVERAGE(H33)</f>
        <v/>
      </c>
      <c r="I52" s="87">
        <f>AVERAGE(I33)</f>
        <v/>
      </c>
      <c r="J52" s="87">
        <f>AVERAGE(J33)</f>
        <v/>
      </c>
      <c r="K52" s="87">
        <f>AVERAGE(K33)</f>
        <v/>
      </c>
      <c r="L52" s="87">
        <f>AVERAGE(L33)</f>
        <v/>
      </c>
      <c r="M52" s="87">
        <f>AVERAGE(M33)</f>
        <v/>
      </c>
      <c r="N52" s="87">
        <f>AVERAGE(N33)</f>
        <v/>
      </c>
      <c r="O52" s="87">
        <f>AVERAGE(O33)</f>
        <v/>
      </c>
      <c r="P52" s="87">
        <f>AVERAGE(P33)</f>
        <v/>
      </c>
      <c r="Q52" s="87">
        <f>AVERAGE(Q33)</f>
        <v/>
      </c>
      <c r="R52" s="87">
        <f>AVERAGE(R33)</f>
        <v/>
      </c>
      <c r="S52" s="87">
        <f>AVERAGE(S33)</f>
        <v/>
      </c>
      <c r="T52" s="87">
        <f>AVERAGE(T33)</f>
        <v/>
      </c>
    </row>
    <row r="53" ht="15.75" customHeight="1" s="259">
      <c r="A53" s="90" t="inlineStr">
        <is>
          <t>Mars</t>
        </is>
      </c>
      <c r="B53" s="87" t="inlineStr">
        <is>
          <t>/</t>
        </is>
      </c>
      <c r="C53" s="87" t="inlineStr">
        <is>
          <t>/</t>
        </is>
      </c>
      <c r="D53" s="87" t="inlineStr">
        <is>
          <t>/</t>
        </is>
      </c>
      <c r="E53" s="87" t="inlineStr">
        <is>
          <t>/</t>
        </is>
      </c>
      <c r="F53" s="87" t="inlineStr">
        <is>
          <t>/</t>
        </is>
      </c>
      <c r="G53" s="87" t="inlineStr">
        <is>
          <t>/</t>
        </is>
      </c>
      <c r="H53" s="87" t="inlineStr">
        <is>
          <t>/</t>
        </is>
      </c>
      <c r="I53" s="87" t="inlineStr">
        <is>
          <t>/</t>
        </is>
      </c>
      <c r="J53" s="87" t="inlineStr">
        <is>
          <t>/</t>
        </is>
      </c>
      <c r="K53" s="87" t="inlineStr">
        <is>
          <t>/</t>
        </is>
      </c>
      <c r="L53" s="87" t="inlineStr">
        <is>
          <t>/</t>
        </is>
      </c>
      <c r="M53" s="87" t="inlineStr">
        <is>
          <t>/</t>
        </is>
      </c>
      <c r="N53" s="87" t="inlineStr">
        <is>
          <t>/</t>
        </is>
      </c>
      <c r="O53" s="87" t="inlineStr">
        <is>
          <t>/</t>
        </is>
      </c>
      <c r="P53" s="87" t="inlineStr">
        <is>
          <t>/</t>
        </is>
      </c>
      <c r="Q53" s="87" t="inlineStr">
        <is>
          <t>/</t>
        </is>
      </c>
      <c r="R53" s="87" t="inlineStr">
        <is>
          <t>/</t>
        </is>
      </c>
      <c r="S53" s="87" t="inlineStr">
        <is>
          <t>/</t>
        </is>
      </c>
      <c r="T53" s="87" t="inlineStr">
        <is>
          <t>/</t>
        </is>
      </c>
    </row>
    <row r="54" ht="15.75" customHeight="1" s="259">
      <c r="A54" s="90" t="inlineStr">
        <is>
          <t>Avril</t>
        </is>
      </c>
      <c r="B54" s="87">
        <f>AVERAGE(B34:B37)</f>
        <v/>
      </c>
      <c r="C54" s="87">
        <f>AVERAGE(C34:C37)</f>
        <v/>
      </c>
      <c r="D54" s="87">
        <f>AVERAGE(D34:D37)</f>
        <v/>
      </c>
      <c r="E54" s="87">
        <f>AVERAGE(E34:E37)</f>
        <v/>
      </c>
      <c r="F54" s="87">
        <f>AVERAGE(F34:F37)</f>
        <v/>
      </c>
      <c r="G54" s="87">
        <f>AVERAGE(G34:G37)</f>
        <v/>
      </c>
      <c r="H54" s="87">
        <f>AVERAGE(H34:H37)</f>
        <v/>
      </c>
      <c r="I54" s="87">
        <f>AVERAGE(I34:I37)</f>
        <v/>
      </c>
      <c r="J54" s="87">
        <f>AVERAGE(J34:J37)</f>
        <v/>
      </c>
      <c r="K54" s="87">
        <f>AVERAGE(K34:K37)</f>
        <v/>
      </c>
      <c r="L54" s="87">
        <f>AVERAGE(L34:L37)</f>
        <v/>
      </c>
      <c r="M54" s="87">
        <f>AVERAGE(M34:M37)</f>
        <v/>
      </c>
      <c r="N54" s="87">
        <f>AVERAGE(N34:N37)</f>
        <v/>
      </c>
      <c r="O54" s="87">
        <f>AVERAGE(O34:O37)</f>
        <v/>
      </c>
      <c r="P54" s="87">
        <f>AVERAGE(P34:P37)</f>
        <v/>
      </c>
      <c r="Q54" s="87">
        <f>AVERAGE(Q34:Q37)</f>
        <v/>
      </c>
      <c r="R54" s="87">
        <f>AVERAGE(R34:R37)</f>
        <v/>
      </c>
      <c r="S54" s="87">
        <f>AVERAGE(S34:S37)</f>
        <v/>
      </c>
      <c r="T54" s="87">
        <f>AVERAGE(T34:T37)</f>
        <v/>
      </c>
    </row>
    <row r="56" ht="108" customHeight="1" s="259">
      <c r="A56" s="38" t="n"/>
      <c r="B56" s="38" t="inlineStr">
        <is>
          <t>JRM</t>
        </is>
      </c>
      <c r="C56" s="38" t="inlineStr">
        <is>
          <t>Cartons 1.05</t>
        </is>
      </c>
      <c r="D56" s="38" t="inlineStr">
        <is>
          <t>Cartons 1.04</t>
        </is>
      </c>
      <c r="E56" s="38" t="inlineStr">
        <is>
          <t>GM</t>
        </is>
      </c>
      <c r="F56" s="37" t="inlineStr">
        <is>
          <t>ELA</t>
        </is>
      </c>
      <c r="G56" s="37" t="inlineStr">
        <is>
          <t>PET Q7</t>
        </is>
      </c>
      <c r="H56" s="37" t="inlineStr">
        <is>
          <t xml:space="preserve">PET Q8 </t>
        </is>
      </c>
      <c r="I56" s="37" t="inlineStr">
        <is>
          <t>PEPPPS</t>
        </is>
      </c>
      <c r="J56" s="36" t="inlineStr">
        <is>
          <t>Films PE valorisables</t>
        </is>
      </c>
      <c r="K56" s="39" t="inlineStr">
        <is>
          <t>Films non valorisables</t>
        </is>
      </c>
      <c r="L56" s="38" t="inlineStr">
        <is>
          <t>acier</t>
        </is>
      </c>
      <c r="M56" s="38" t="inlineStr">
        <is>
          <t>alu</t>
        </is>
      </c>
      <c r="N56" s="38" t="inlineStr">
        <is>
          <t>petits alu</t>
        </is>
      </c>
      <c r="O56" s="33" t="inlineStr">
        <is>
          <t>refus indésirables</t>
        </is>
      </c>
      <c r="P56" s="32" t="inlineStr">
        <is>
          <t>TOTAL refus fibreux valorisables</t>
        </is>
      </c>
      <c r="Q56" s="31" t="inlineStr">
        <is>
          <t>TOTAL refus non fibreux valorisables</t>
        </is>
      </c>
      <c r="R56" s="39" t="inlineStr">
        <is>
          <t xml:space="preserve">TOTAL REFUS </t>
        </is>
      </c>
      <c r="S56" s="31" t="inlineStr">
        <is>
          <t>TOTAL REFUS + refus non fibreux</t>
        </is>
      </c>
    </row>
    <row r="57" ht="20.25" customHeight="1" s="259">
      <c r="A57" s="38" t="inlineStr">
        <is>
          <t>FILMS</t>
        </is>
      </c>
      <c r="B57" s="46">
        <f>AVERAGE(B44:B45)</f>
        <v/>
      </c>
      <c r="C57" s="46">
        <f>AVERAGE(C44:C45)</f>
        <v/>
      </c>
      <c r="D57" s="46">
        <f>AVERAGE(D44:D45)</f>
        <v/>
      </c>
      <c r="E57" s="46">
        <f>AVERAGE(E44:E45)</f>
        <v/>
      </c>
      <c r="F57" s="47">
        <f>AVERAGE(F44:F45)</f>
        <v/>
      </c>
      <c r="G57" s="47">
        <f>AVERAGE(G44:G45)</f>
        <v/>
      </c>
      <c r="H57" s="47">
        <f>AVERAGE(H44:H45)</f>
        <v/>
      </c>
      <c r="I57" s="47">
        <f>AVERAGE(I44:I45)</f>
        <v/>
      </c>
      <c r="J57" s="48">
        <f>AVERAGE(J44:J45)</f>
        <v/>
      </c>
      <c r="K57" s="53">
        <f>AVERAGE(K44:K45)</f>
        <v/>
      </c>
      <c r="L57" s="46">
        <f>AVERAGE(L44:L45)</f>
        <v/>
      </c>
      <c r="M57" s="46">
        <f>AVERAGE(M44:M45)</f>
        <v/>
      </c>
      <c r="N57" s="46">
        <f>AVERAGE(N44:N45)</f>
        <v/>
      </c>
      <c r="O57" s="53">
        <f>AVERAGE(O44:O45)</f>
        <v/>
      </c>
      <c r="P57" s="46">
        <f>AVERAGE(P44:P45)</f>
        <v/>
      </c>
      <c r="Q57" s="47">
        <f>AVERAGE(Q44:Q45)</f>
        <v/>
      </c>
      <c r="R57" s="53">
        <f>AVERAGE(R44:R45)</f>
        <v/>
      </c>
      <c r="S57" s="47">
        <f>AVERAGE(S44:S45)</f>
        <v/>
      </c>
    </row>
    <row r="58" ht="20.25" customHeight="1" s="259">
      <c r="A58" s="38" t="n"/>
    </row>
    <row r="59" ht="20.25" customHeight="1" s="259">
      <c r="A59" s="38" t="n">
        <v>2024</v>
      </c>
    </row>
    <row r="60" ht="15.75" customHeight="1" s="259">
      <c r="A60" s="90" t="inlineStr">
        <is>
          <t>Janvier</t>
        </is>
      </c>
      <c r="B60" s="89">
        <f>AVERAGE(B44)</f>
        <v/>
      </c>
      <c r="C60" s="89">
        <f>AVERAGE(C44)</f>
        <v/>
      </c>
      <c r="D60" s="89">
        <f>AVERAGE(D44)</f>
        <v/>
      </c>
      <c r="E60" s="89">
        <f>AVERAGE(E44)</f>
        <v/>
      </c>
      <c r="F60" s="89">
        <f>AVERAGE(F44)</f>
        <v/>
      </c>
      <c r="G60" s="89">
        <f>AVERAGE(G44)</f>
        <v/>
      </c>
      <c r="H60" s="89">
        <f>AVERAGE(H44)</f>
        <v/>
      </c>
      <c r="I60" s="89">
        <f>AVERAGE(I44)</f>
        <v/>
      </c>
      <c r="J60" s="89">
        <f>AVERAGE(J44)</f>
        <v/>
      </c>
      <c r="K60" s="89">
        <f>AVERAGE(K44)</f>
        <v/>
      </c>
      <c r="L60" s="89">
        <f>AVERAGE(L44)</f>
        <v/>
      </c>
      <c r="M60" s="89">
        <f>AVERAGE(M44)</f>
        <v/>
      </c>
      <c r="N60" s="89">
        <f>AVERAGE(N44)</f>
        <v/>
      </c>
      <c r="O60" s="89">
        <f>AVERAGE(O44)</f>
        <v/>
      </c>
      <c r="P60" s="89">
        <f>AVERAGE(P44)</f>
        <v/>
      </c>
      <c r="Q60" s="89">
        <f>AVERAGE(Q44)</f>
        <v/>
      </c>
      <c r="R60" s="89">
        <f>AVERAGE(R44)</f>
        <v/>
      </c>
      <c r="S60" s="89">
        <f>AVERAGE(S44)</f>
        <v/>
      </c>
    </row>
    <row r="61" ht="15.75" customHeight="1" s="259">
      <c r="A61" s="90" t="inlineStr">
        <is>
          <t>Février</t>
        </is>
      </c>
      <c r="B61" s="89">
        <f>AVERAGE(B45:S45)</f>
        <v/>
      </c>
      <c r="C61" s="89">
        <f>AVERAGE(C45:T45)</f>
        <v/>
      </c>
      <c r="D61" s="89">
        <f>AVERAGE(D45:U45)</f>
        <v/>
      </c>
      <c r="E61" s="89">
        <f>AVERAGE(E43:V43)</f>
        <v/>
      </c>
      <c r="F61" s="89">
        <f>AVERAGE(F42:W42)</f>
        <v/>
      </c>
      <c r="G61" s="89">
        <f>AVERAGE(G42:X42)</f>
        <v/>
      </c>
      <c r="H61" s="89">
        <f>AVERAGE(H42:Y42)</f>
        <v/>
      </c>
      <c r="I61" s="89">
        <f>AVERAGE(I42:Z42)</f>
        <v/>
      </c>
      <c r="J61" s="89">
        <f>AVERAGE(J42:AA42)</f>
        <v/>
      </c>
      <c r="K61" s="89">
        <f>AVERAGE(K42:AB42)</f>
        <v/>
      </c>
      <c r="L61" s="89">
        <f>AVERAGE(L42:AC42)</f>
        <v/>
      </c>
      <c r="M61" s="89">
        <f>AVERAGE(M42:AD42)</f>
        <v/>
      </c>
      <c r="N61" s="89">
        <f>AVERAGE(N42:AE42)</f>
        <v/>
      </c>
      <c r="O61" s="89">
        <f>AVERAGE(O42:AF42)</f>
        <v/>
      </c>
      <c r="P61" s="89">
        <f>AVERAGE(P42:AG42)</f>
        <v/>
      </c>
      <c r="Q61" s="89">
        <f>AVERAGE(Q42:AH42)</f>
        <v/>
      </c>
      <c r="R61" s="89">
        <f>AVERAGE(R42:AI42)</f>
        <v/>
      </c>
      <c r="S61" s="89">
        <f>AVERAGE(S42:AJ42)</f>
        <v/>
      </c>
    </row>
    <row r="62" ht="15.75" customHeight="1" s="259">
      <c r="A62" s="90" t="inlineStr">
        <is>
          <t>Mars</t>
        </is>
      </c>
    </row>
    <row r="63" ht="15.75" customHeight="1" s="259">
      <c r="A63" s="90" t="inlineStr">
        <is>
          <t>Avril</t>
        </is>
      </c>
    </row>
    <row r="66" ht="108" customHeight="1" s="259">
      <c r="A66" s="38" t="n"/>
      <c r="B66" s="38" t="inlineStr">
        <is>
          <t>JRM</t>
        </is>
      </c>
      <c r="C66" s="38" t="inlineStr">
        <is>
          <t>Cartons 1.05</t>
        </is>
      </c>
      <c r="D66" s="38" t="inlineStr">
        <is>
          <t>Cartons 1.04</t>
        </is>
      </c>
      <c r="E66" s="38" t="inlineStr">
        <is>
          <t>GM</t>
        </is>
      </c>
      <c r="F66" s="36" t="inlineStr">
        <is>
          <t>ELA</t>
        </is>
      </c>
      <c r="G66" s="37" t="inlineStr">
        <is>
          <t>PET Q7</t>
        </is>
      </c>
      <c r="H66" s="37" t="inlineStr">
        <is>
          <t>PET Q8</t>
        </is>
      </c>
      <c r="I66" s="37" t="inlineStr">
        <is>
          <t>PEPPPS</t>
        </is>
      </c>
      <c r="J66" s="37" t="inlineStr">
        <is>
          <t>films</t>
        </is>
      </c>
      <c r="K66" s="38" t="inlineStr">
        <is>
          <t>acier</t>
        </is>
      </c>
      <c r="L66" s="38" t="inlineStr">
        <is>
          <t>alu</t>
        </is>
      </c>
      <c r="M66" s="38" t="inlineStr">
        <is>
          <t>petits alu</t>
        </is>
      </c>
      <c r="N66" s="33" t="inlineStr">
        <is>
          <t>refus indésirables</t>
        </is>
      </c>
      <c r="O66" s="32" t="inlineStr">
        <is>
          <t>TOTAL refus fibreux valorisables</t>
        </is>
      </c>
      <c r="P66" s="31" t="inlineStr">
        <is>
          <t>TOTAL refus non fibreux valorisables</t>
        </is>
      </c>
      <c r="Q66" s="39" t="inlineStr">
        <is>
          <t xml:space="preserve">TOTAL REFUS </t>
        </is>
      </c>
    </row>
    <row r="67" ht="20.25" customHeight="1" s="259">
      <c r="A67" s="38" t="inlineStr">
        <is>
          <t>ELA</t>
        </is>
      </c>
      <c r="B67" s="46">
        <f>AVERAGE(B31:B49)</f>
        <v/>
      </c>
      <c r="C67" s="46">
        <f>AVERAGE(C31:C49)</f>
        <v/>
      </c>
      <c r="D67" s="46">
        <f>AVERAGE(D31:D49)</f>
        <v/>
      </c>
      <c r="E67" s="46">
        <f>AVERAGE(E31:E49)</f>
        <v/>
      </c>
      <c r="F67" s="48">
        <f>AVERAGE(F31:F49)</f>
        <v/>
      </c>
      <c r="G67" s="47">
        <f>AVERAGE(G31:G49)</f>
        <v/>
      </c>
      <c r="H67" s="47">
        <f>AVERAGE(H31:H49)</f>
        <v/>
      </c>
      <c r="I67" s="47">
        <f>AVERAGE(I31:I49)</f>
        <v/>
      </c>
      <c r="J67" s="47">
        <f>AVERAGE(J31:J49)</f>
        <v/>
      </c>
      <c r="K67" s="46">
        <f>AVERAGE(K31:K49)</f>
        <v/>
      </c>
      <c r="L67" s="46">
        <f>AVERAGE(L31:L49)</f>
        <v/>
      </c>
      <c r="M67" s="46">
        <f>AVERAGE(M31:M49)</f>
        <v/>
      </c>
      <c r="N67" s="49">
        <f>AVERAGE(N31:N49)</f>
        <v/>
      </c>
      <c r="O67" s="55">
        <f>AVERAGE(O31:O49)</f>
        <v/>
      </c>
      <c r="P67" s="50">
        <f>AVERAGE(P31:P49)</f>
        <v/>
      </c>
      <c r="Q67" s="53">
        <f>AVERAGE(Q31:Q49)</f>
        <v/>
      </c>
    </row>
    <row r="68" ht="20.25" customHeight="1" s="259">
      <c r="A68" s="38" t="n"/>
    </row>
    <row r="69" ht="20.25" customHeight="1" s="259">
      <c r="A69" s="38" t="n">
        <v>2024</v>
      </c>
    </row>
    <row r="70" ht="15.75" customHeight="1" s="259">
      <c r="A70" s="90" t="inlineStr">
        <is>
          <t>Janvier</t>
        </is>
      </c>
      <c r="B70" s="98" t="inlineStr">
        <is>
          <t>/</t>
        </is>
      </c>
      <c r="C70" s="98" t="inlineStr">
        <is>
          <t>/</t>
        </is>
      </c>
      <c r="D70" s="98" t="inlineStr">
        <is>
          <t>/</t>
        </is>
      </c>
      <c r="E70" s="98" t="inlineStr">
        <is>
          <t>/</t>
        </is>
      </c>
      <c r="F70" s="98" t="inlineStr">
        <is>
          <t>/</t>
        </is>
      </c>
      <c r="G70" s="98" t="inlineStr">
        <is>
          <t>/</t>
        </is>
      </c>
      <c r="H70" s="98" t="inlineStr">
        <is>
          <t>/</t>
        </is>
      </c>
      <c r="I70" s="98" t="inlineStr">
        <is>
          <t>/</t>
        </is>
      </c>
      <c r="J70" s="98" t="inlineStr">
        <is>
          <t>/</t>
        </is>
      </c>
      <c r="K70" s="98" t="inlineStr">
        <is>
          <t>/</t>
        </is>
      </c>
      <c r="L70" s="98" t="inlineStr">
        <is>
          <t>/</t>
        </is>
      </c>
      <c r="M70" s="98" t="inlineStr">
        <is>
          <t>/</t>
        </is>
      </c>
      <c r="N70" s="98" t="inlineStr">
        <is>
          <t>/</t>
        </is>
      </c>
      <c r="O70" s="98" t="inlineStr">
        <is>
          <t>/</t>
        </is>
      </c>
      <c r="P70" s="98" t="inlineStr">
        <is>
          <t>/</t>
        </is>
      </c>
      <c r="Q70" s="98" t="inlineStr">
        <is>
          <t>/</t>
        </is>
      </c>
    </row>
    <row r="71" ht="15.75" customHeight="1" s="259">
      <c r="A71" s="90" t="inlineStr">
        <is>
          <t>Février</t>
        </is>
      </c>
      <c r="B71" s="98" t="inlineStr">
        <is>
          <t>/</t>
        </is>
      </c>
      <c r="C71" s="98" t="inlineStr">
        <is>
          <t>/</t>
        </is>
      </c>
      <c r="D71" s="98" t="inlineStr">
        <is>
          <t>/</t>
        </is>
      </c>
      <c r="E71" s="98" t="inlineStr">
        <is>
          <t>/</t>
        </is>
      </c>
      <c r="F71" s="98" t="inlineStr">
        <is>
          <t>/</t>
        </is>
      </c>
      <c r="G71" s="98" t="inlineStr">
        <is>
          <t>/</t>
        </is>
      </c>
      <c r="H71" s="98" t="inlineStr">
        <is>
          <t>/</t>
        </is>
      </c>
      <c r="I71" s="98" t="inlineStr">
        <is>
          <t>/</t>
        </is>
      </c>
      <c r="J71" s="98" t="inlineStr">
        <is>
          <t>/</t>
        </is>
      </c>
      <c r="K71" s="98" t="inlineStr">
        <is>
          <t>/</t>
        </is>
      </c>
      <c r="L71" s="98" t="inlineStr">
        <is>
          <t>/</t>
        </is>
      </c>
      <c r="M71" s="98" t="inlineStr">
        <is>
          <t>/</t>
        </is>
      </c>
      <c r="N71" s="98" t="inlineStr">
        <is>
          <t>/</t>
        </is>
      </c>
      <c r="O71" s="98" t="inlineStr">
        <is>
          <t>/</t>
        </is>
      </c>
      <c r="P71" s="98" t="inlineStr">
        <is>
          <t>/</t>
        </is>
      </c>
      <c r="Q71" s="98" t="inlineStr">
        <is>
          <t>/</t>
        </is>
      </c>
    </row>
    <row r="72" ht="15.75" customHeight="1" s="259">
      <c r="A72" s="90" t="inlineStr">
        <is>
          <t>Mars</t>
        </is>
      </c>
      <c r="B72" s="98" t="inlineStr">
        <is>
          <t>/</t>
        </is>
      </c>
      <c r="C72" s="98" t="inlineStr">
        <is>
          <t>/</t>
        </is>
      </c>
      <c r="D72" s="98" t="inlineStr">
        <is>
          <t>/</t>
        </is>
      </c>
      <c r="E72" s="98" t="inlineStr">
        <is>
          <t>/</t>
        </is>
      </c>
      <c r="F72" s="98" t="inlineStr">
        <is>
          <t>/</t>
        </is>
      </c>
      <c r="G72" s="98" t="inlineStr">
        <is>
          <t>/</t>
        </is>
      </c>
      <c r="H72" s="98" t="inlineStr">
        <is>
          <t>/</t>
        </is>
      </c>
      <c r="I72" s="98" t="inlineStr">
        <is>
          <t>/</t>
        </is>
      </c>
      <c r="J72" s="98" t="inlineStr">
        <is>
          <t>/</t>
        </is>
      </c>
      <c r="K72" s="98" t="inlineStr">
        <is>
          <t>/</t>
        </is>
      </c>
      <c r="L72" s="98" t="inlineStr">
        <is>
          <t>/</t>
        </is>
      </c>
      <c r="M72" s="98" t="inlineStr">
        <is>
          <t>/</t>
        </is>
      </c>
      <c r="N72" s="98" t="inlineStr">
        <is>
          <t>/</t>
        </is>
      </c>
      <c r="O72" s="98" t="inlineStr">
        <is>
          <t>/</t>
        </is>
      </c>
      <c r="P72" s="98" t="inlineStr">
        <is>
          <t>/</t>
        </is>
      </c>
      <c r="Q72" s="98" t="inlineStr">
        <is>
          <t>/</t>
        </is>
      </c>
    </row>
    <row r="73" ht="15.75" customHeight="1" s="259">
      <c r="A73" s="90" t="inlineStr">
        <is>
          <t>Avril</t>
        </is>
      </c>
      <c r="B73" s="108">
        <f>AVERAGE(B50:B53)</f>
        <v/>
      </c>
      <c r="C73" s="108">
        <f>AVERAGE(C50:C53)</f>
        <v/>
      </c>
      <c r="D73" s="108">
        <f>AVERAGE(D50:D53)</f>
        <v/>
      </c>
      <c r="E73" s="108">
        <f>AVERAGE(E50:E53)</f>
        <v/>
      </c>
      <c r="F73" s="108">
        <f>AVERAGE(F50:F53)</f>
        <v/>
      </c>
      <c r="G73" s="108">
        <f>AVERAGE(G50:G53)</f>
        <v/>
      </c>
      <c r="H73" s="108">
        <f>AVERAGE(H50:H53)</f>
        <v/>
      </c>
      <c r="I73" s="108">
        <f>AVERAGE(I50:I53)</f>
        <v/>
      </c>
      <c r="J73" s="108">
        <f>AVERAGE(J50:J53)</f>
        <v/>
      </c>
      <c r="K73" s="108">
        <f>AVERAGE(K50:K53)</f>
        <v/>
      </c>
      <c r="L73" s="108">
        <f>AVERAGE(L50:L53)</f>
        <v/>
      </c>
      <c r="M73" s="108">
        <f>AVERAGE(M50:M53)</f>
        <v/>
      </c>
      <c r="N73" s="108">
        <f>AVERAGE(N50:N53)</f>
        <v/>
      </c>
      <c r="O73" s="108">
        <f>AVERAGE(O50:O53)</f>
        <v/>
      </c>
      <c r="P73" s="108">
        <f>AVERAGE(P50:P53)</f>
        <v/>
      </c>
      <c r="Q73" s="108">
        <f>AVERAGE(Q50:Q53)</f>
        <v/>
      </c>
    </row>
    <row r="74" ht="12" customHeight="1" s="259"/>
    <row r="75" ht="121.5" customHeight="1" s="259">
      <c r="A75" s="38" t="n"/>
      <c r="B75" s="58" t="inlineStr">
        <is>
          <t>JRM</t>
        </is>
      </c>
      <c r="C75" s="58" t="inlineStr">
        <is>
          <t>Cartons 1.05</t>
        </is>
      </c>
      <c r="D75" s="58" t="inlineStr">
        <is>
          <t>Cartons 1.04</t>
        </is>
      </c>
      <c r="E75" s="58" t="inlineStr">
        <is>
          <t>GM</t>
        </is>
      </c>
      <c r="F75" s="37" t="inlineStr">
        <is>
          <t>ELA</t>
        </is>
      </c>
      <c r="G75" s="37" t="inlineStr">
        <is>
          <t>PET Q7</t>
        </is>
      </c>
      <c r="H75" s="37" t="inlineStr">
        <is>
          <t xml:space="preserve">PET Q8 </t>
        </is>
      </c>
      <c r="I75" s="37" t="inlineStr">
        <is>
          <t>PEPPPS</t>
        </is>
      </c>
      <c r="J75" s="37" t="inlineStr">
        <is>
          <t>films</t>
        </is>
      </c>
      <c r="K75" s="37" t="inlineStr">
        <is>
          <t>acier</t>
        </is>
      </c>
      <c r="L75" s="37" t="inlineStr">
        <is>
          <t>alu</t>
        </is>
      </c>
      <c r="M75" s="37" t="inlineStr">
        <is>
          <t>petits alu</t>
        </is>
      </c>
      <c r="N75" s="33" t="inlineStr">
        <is>
          <t>refus indésirables</t>
        </is>
      </c>
      <c r="O75" s="58" t="inlineStr">
        <is>
          <t>TOTAL fibreux valorisables</t>
        </is>
      </c>
      <c r="P75" s="31" t="inlineStr">
        <is>
          <t>TOTAL non fibreux valorisables</t>
        </is>
      </c>
    </row>
    <row r="76" ht="20.25" customHeight="1" s="259">
      <c r="A76" s="46" t="inlineStr">
        <is>
          <t>REFUS</t>
        </is>
      </c>
      <c r="B76" s="100" t="n">
        <v>0.07785317370104619</v>
      </c>
      <c r="C76" s="100" t="n">
        <v>0.05529275721196604</v>
      </c>
      <c r="D76" s="100" t="n">
        <v>0.04701510476167905</v>
      </c>
      <c r="E76" s="100" t="n">
        <v>0.02997356104520798</v>
      </c>
      <c r="F76" s="47" t="n">
        <v>0.009258675455011932</v>
      </c>
      <c r="G76" s="47" t="n">
        <v>0.04776763733440228</v>
      </c>
      <c r="H76" s="47" t="n">
        <v>0.007581027214028321</v>
      </c>
      <c r="I76" s="47" t="n">
        <v>0.01879681647059021</v>
      </c>
      <c r="J76" s="47" t="n">
        <v>0.02874390608906251</v>
      </c>
      <c r="K76" s="47" t="n">
        <v>0.009070809838198501</v>
      </c>
      <c r="L76" s="47" t="n">
        <v>0.01322412206984122</v>
      </c>
      <c r="M76" s="47" t="n">
        <v>0.003863667870737312</v>
      </c>
      <c r="N76" s="49" t="n">
        <v>0.6515587409382286</v>
      </c>
      <c r="O76" s="100" t="n">
        <v>0.2101345967198992</v>
      </c>
      <c r="P76" s="50" t="n">
        <v>0.1383066623418723</v>
      </c>
    </row>
    <row r="77" ht="20.25" customHeight="1" s="259">
      <c r="A77" s="38" t="n"/>
    </row>
    <row r="78" ht="20.25" customHeight="1" s="259">
      <c r="A78" s="38" t="n">
        <v>2024</v>
      </c>
      <c r="B78" s="91" t="n">
        <v>0.07175925925925926</v>
      </c>
      <c r="C78" s="91" t="n">
        <v>0.03703703703703703</v>
      </c>
      <c r="D78" s="91" t="n">
        <v>0.02731481481481481</v>
      </c>
      <c r="E78" s="91" t="n">
        <v>0.01388888888888889</v>
      </c>
      <c r="F78" s="91" t="n">
        <v>0.0009259259259259259</v>
      </c>
      <c r="G78" s="91" t="n">
        <v>0.01157407407407407</v>
      </c>
      <c r="H78" s="91" t="n">
        <v>0.004166666666666667</v>
      </c>
      <c r="I78" s="91" t="n">
        <v>0.01018518518518518</v>
      </c>
      <c r="J78" s="91" t="n">
        <v>0.01435185185185185</v>
      </c>
      <c r="K78" s="91" t="n">
        <v>0.01388888888888889</v>
      </c>
      <c r="L78" s="91" t="n">
        <v>0.01157407407407407</v>
      </c>
      <c r="M78" s="91" t="n">
        <v>0.003703703703703703</v>
      </c>
      <c r="N78" s="91" t="n">
        <v>0.7796296296296296</v>
      </c>
      <c r="O78" s="91" t="n">
        <v>0.15</v>
      </c>
      <c r="P78" s="91" t="n">
        <v>0.07037037037037037</v>
      </c>
    </row>
    <row r="79" ht="15.75" customHeight="1" s="259">
      <c r="A79" s="92" t="inlineStr">
        <is>
          <t>Janvier</t>
        </is>
      </c>
      <c r="B79" s="106" t="inlineStr">
        <is>
          <t>/</t>
        </is>
      </c>
      <c r="C79" s="106" t="inlineStr">
        <is>
          <t>/</t>
        </is>
      </c>
      <c r="D79" s="106" t="inlineStr">
        <is>
          <t>/</t>
        </is>
      </c>
      <c r="E79" s="106" t="inlineStr">
        <is>
          <t>/</t>
        </is>
      </c>
      <c r="F79" s="106" t="inlineStr">
        <is>
          <t>/</t>
        </is>
      </c>
      <c r="G79" s="106" t="inlineStr">
        <is>
          <t>/</t>
        </is>
      </c>
      <c r="H79" s="106" t="inlineStr">
        <is>
          <t>/</t>
        </is>
      </c>
      <c r="I79" s="106" t="inlineStr">
        <is>
          <t>/</t>
        </is>
      </c>
      <c r="J79" s="106" t="inlineStr">
        <is>
          <t>/</t>
        </is>
      </c>
      <c r="K79" s="106" t="inlineStr">
        <is>
          <t>/</t>
        </is>
      </c>
      <c r="L79" s="106" t="inlineStr">
        <is>
          <t>/</t>
        </is>
      </c>
      <c r="M79" s="106" t="inlineStr">
        <is>
          <t>/</t>
        </is>
      </c>
      <c r="N79" s="106" t="inlineStr">
        <is>
          <t>/</t>
        </is>
      </c>
      <c r="O79" s="106" t="inlineStr">
        <is>
          <t>/</t>
        </is>
      </c>
      <c r="P79" s="106" t="inlineStr">
        <is>
          <t>/</t>
        </is>
      </c>
    </row>
    <row r="80" ht="15" customHeight="1" s="259">
      <c r="A80" s="92" t="inlineStr">
        <is>
          <t>Février</t>
        </is>
      </c>
      <c r="B80" s="89" t="n">
        <v>0.07183468580940491</v>
      </c>
      <c r="C80" s="89" t="n">
        <v>0.03694548481065335</v>
      </c>
      <c r="D80" s="89" t="n">
        <v>0.03702819392426134</v>
      </c>
      <c r="E80" s="89" t="n">
        <v>0.01143882646691636</v>
      </c>
      <c r="F80" s="89" t="n">
        <v>0.006755097794423638</v>
      </c>
      <c r="G80" s="89" t="n">
        <v>0.01073085726175614</v>
      </c>
      <c r="H80" s="89" t="n">
        <v>0.003431647940074906</v>
      </c>
      <c r="I80" s="89" t="n">
        <v>0.01093528922180607</v>
      </c>
      <c r="J80" s="89" t="n">
        <v>0.01436693716188098</v>
      </c>
      <c r="K80" s="89" t="n">
        <v>0.01121410736579276</v>
      </c>
      <c r="L80" s="89" t="n">
        <v>0.00713535164377861</v>
      </c>
      <c r="M80" s="89" t="n">
        <v>0.003649604660840616</v>
      </c>
      <c r="N80" s="89" t="n">
        <v>0.7745339159384104</v>
      </c>
      <c r="O80" s="89" t="n">
        <v>0.157247191011236</v>
      </c>
      <c r="P80" s="89" t="n">
        <v>0.06821889305035372</v>
      </c>
    </row>
    <row r="81" ht="15" customHeight="1" s="259">
      <c r="A81" s="92" t="inlineStr">
        <is>
          <t>Mars</t>
        </is>
      </c>
      <c r="B81" s="89" t="n">
        <v>0.08512544802867383</v>
      </c>
      <c r="C81" s="89" t="n">
        <v>0.06989247311827958</v>
      </c>
      <c r="D81" s="89" t="n">
        <v>0.01702508960573477</v>
      </c>
      <c r="E81" s="89" t="n">
        <v>0.002688172043010752</v>
      </c>
      <c r="F81" s="89" t="n">
        <v>0.002688172043010752</v>
      </c>
      <c r="G81" s="89" t="n">
        <v>0.02508960573476703</v>
      </c>
      <c r="H81" s="89" t="n">
        <v>0.002688172043010752</v>
      </c>
      <c r="I81" s="89" t="n">
        <v>0.01702508960573477</v>
      </c>
      <c r="J81" s="89" t="n">
        <v>0.02150537634408602</v>
      </c>
      <c r="K81" s="89" t="n">
        <v>0.009856630824372759</v>
      </c>
      <c r="L81" s="89" t="n">
        <v>0.005376344086021505</v>
      </c>
      <c r="M81" s="89" t="n">
        <v>0.002688172043010752</v>
      </c>
      <c r="N81" s="89" t="n">
        <v>0.7383512544802867</v>
      </c>
      <c r="O81" s="89" t="n">
        <v>0.1747311827956989</v>
      </c>
      <c r="P81" s="89" t="n">
        <v>0.08691756272401432</v>
      </c>
    </row>
    <row r="82" ht="15" customHeight="1" s="259">
      <c r="A82" s="92" t="inlineStr">
        <is>
          <t>Avril</t>
        </is>
      </c>
      <c r="B82" s="89" t="n">
        <v>0.05360824742268042</v>
      </c>
      <c r="C82" s="89" t="n">
        <v>0.1216494845360825</v>
      </c>
      <c r="D82" s="89" t="n">
        <v>0.1628865979381444</v>
      </c>
      <c r="E82" s="89" t="n">
        <v>0.008247422680412371</v>
      </c>
      <c r="F82" s="89" t="n">
        <v>0</v>
      </c>
      <c r="G82" s="89" t="n">
        <v>0.05979381443298969</v>
      </c>
      <c r="H82" s="89" t="n">
        <v>0</v>
      </c>
      <c r="I82" s="89" t="n">
        <v>0.02680412371134021</v>
      </c>
      <c r="J82" s="89" t="n">
        <v>0.01030927835051547</v>
      </c>
      <c r="K82" s="89" t="n">
        <v>0.004123711340206186</v>
      </c>
      <c r="L82" s="89" t="n">
        <v>0.01855670103092784</v>
      </c>
      <c r="M82" s="89" t="n">
        <v>0</v>
      </c>
      <c r="N82" s="89" t="n">
        <v>0.534020618556701</v>
      </c>
      <c r="O82" s="89" t="n">
        <v>0.3463917525773196</v>
      </c>
      <c r="P82" s="89" t="n">
        <v>0.1195876288659794</v>
      </c>
    </row>
  </sheetData>
  <pageMargins left="0.25" right="0.25" top="0.75" bottom="0.75" header="0.3" footer="0.3"/>
  <pageSetup orientation="landscape" paperSize="8" scale="82" fitToHeight="0"/>
  <rowBreaks count="2" manualBreakCount="2">
    <brk id="28" min="0" max="21" man="1"/>
    <brk id="54" min="0" max="16383" man="1"/>
  </rowBreaks>
</worksheet>
</file>

<file path=xl/worksheets/sheet18.xml><?xml version="1.0" encoding="utf-8"?>
<worksheet xmlns="http://schemas.openxmlformats.org/spreadsheetml/2006/main">
  <sheetPr codeName="Feuil16">
    <outlinePr summaryBelow="1" summaryRight="1"/>
    <pageSetUpPr fitToPage="1"/>
  </sheetPr>
  <dimension ref="A1:AH45"/>
  <sheetViews>
    <sheetView zoomScale="80" zoomScaleNormal="80" workbookViewId="0">
      <selection activeCell="H12" sqref="H12"/>
    </sheetView>
  </sheetViews>
  <sheetFormatPr baseColWidth="10" defaultRowHeight="12.75"/>
  <cols>
    <col width="19.7109375" customWidth="1" style="259" min="1" max="1"/>
    <col width="13.7109375" customWidth="1" style="259" min="4" max="4"/>
    <col width="16" customWidth="1" style="259" min="8" max="8"/>
    <col width="16.42578125" customWidth="1" style="259" min="9" max="9"/>
    <col width="15.28515625" customWidth="1" style="259" min="10" max="10"/>
  </cols>
  <sheetData>
    <row r="1" ht="24" customHeight="1" s="259" thickBot="1">
      <c r="A1" s="311" t="inlineStr">
        <is>
          <t>Poids</t>
        </is>
      </c>
      <c r="B1" s="300" t="n"/>
      <c r="C1" s="300" t="n"/>
      <c r="D1" s="300" t="n"/>
      <c r="E1" s="300" t="n"/>
      <c r="F1" s="300" t="n"/>
      <c r="G1" s="300" t="n"/>
      <c r="H1" s="300" t="n"/>
      <c r="I1" s="300" t="n"/>
      <c r="J1" s="300" t="n"/>
      <c r="K1" s="300" t="n"/>
      <c r="L1" s="300" t="n"/>
      <c r="M1" s="300" t="n"/>
      <c r="N1" s="300" t="n"/>
      <c r="O1" s="300" t="n"/>
      <c r="P1" s="300" t="n"/>
      <c r="Q1" s="277" t="n"/>
      <c r="R1" s="35" t="n"/>
      <c r="S1" s="311" t="inlineStr">
        <is>
          <t>%</t>
        </is>
      </c>
      <c r="T1" s="300" t="n"/>
      <c r="U1" s="300" t="n"/>
      <c r="V1" s="300" t="n"/>
      <c r="W1" s="300" t="n"/>
      <c r="X1" s="300" t="n"/>
      <c r="Y1" s="300" t="n"/>
      <c r="Z1" s="300" t="n"/>
      <c r="AA1" s="300" t="n"/>
      <c r="AB1" s="300" t="n"/>
      <c r="AC1" s="300" t="n"/>
      <c r="AD1" s="300" t="n"/>
      <c r="AE1" s="300" t="n"/>
      <c r="AF1" s="300" t="n"/>
      <c r="AG1" s="300" t="n"/>
      <c r="AH1" s="277" t="n"/>
    </row>
    <row r="2" ht="90" customHeight="1" s="259">
      <c r="A2" s="4" t="inlineStr">
        <is>
          <t>date</t>
        </is>
      </c>
      <c r="B2" s="30" t="inlineStr">
        <is>
          <t>JRM</t>
        </is>
      </c>
      <c r="C2" s="30" t="inlineStr">
        <is>
          <t>JRM Fins</t>
        </is>
      </c>
      <c r="D2" s="30" t="inlineStr">
        <is>
          <t>Cartons 1.05</t>
        </is>
      </c>
      <c r="E2" s="30" t="inlineStr">
        <is>
          <t>Cartons 1.04</t>
        </is>
      </c>
      <c r="F2" s="30" t="inlineStr">
        <is>
          <t>GM</t>
        </is>
      </c>
      <c r="G2" s="32" t="inlineStr">
        <is>
          <t>ELA</t>
        </is>
      </c>
      <c r="H2" s="32" t="inlineStr">
        <is>
          <t>PET Q7 (dont barquettes)</t>
        </is>
      </c>
      <c r="I2" s="32" t="inlineStr">
        <is>
          <t>PET Q8 (dont barquettes)</t>
        </is>
      </c>
      <c r="J2" s="32" t="inlineStr">
        <is>
          <t>PEPPPS (dont barquettes)</t>
        </is>
      </c>
      <c r="K2" s="32" t="inlineStr">
        <is>
          <t>films</t>
        </is>
      </c>
      <c r="L2" s="32" t="inlineStr">
        <is>
          <t>acier</t>
        </is>
      </c>
      <c r="M2" s="32" t="inlineStr">
        <is>
          <t>alu</t>
        </is>
      </c>
      <c r="N2" s="32" t="inlineStr">
        <is>
          <t>petits alu</t>
        </is>
      </c>
      <c r="O2" s="33" t="inlineStr">
        <is>
          <t>fines</t>
        </is>
      </c>
      <c r="P2" s="33" t="inlineStr">
        <is>
          <t>refus indésirables (hors fines</t>
        </is>
      </c>
      <c r="Q2" s="32" t="inlineStr">
        <is>
          <t>TOTAL</t>
        </is>
      </c>
      <c r="R2" s="32" t="n"/>
      <c r="S2" s="30" t="inlineStr">
        <is>
          <t>jrm</t>
        </is>
      </c>
      <c r="T2" s="30" t="inlineStr">
        <is>
          <t>JRM Fins</t>
        </is>
      </c>
      <c r="U2" s="30" t="inlineStr">
        <is>
          <t>carton brun (1.05)</t>
        </is>
      </c>
      <c r="V2" s="30" t="inlineStr">
        <is>
          <t>EMR 5,02</t>
        </is>
      </c>
      <c r="W2" s="30" t="inlineStr">
        <is>
          <t>GM</t>
        </is>
      </c>
      <c r="X2" s="32" t="inlineStr">
        <is>
          <t>ELA</t>
        </is>
      </c>
      <c r="Y2" s="32" t="inlineStr">
        <is>
          <t>PET Q7 (dont barquettes)</t>
        </is>
      </c>
      <c r="Z2" s="32" t="inlineStr">
        <is>
          <t>PET Q8 (dont barquettes)</t>
        </is>
      </c>
      <c r="AA2" s="32" t="inlineStr">
        <is>
          <t>PEPPPS (dont barquettes)</t>
        </is>
      </c>
      <c r="AB2" s="32" t="inlineStr">
        <is>
          <t>films</t>
        </is>
      </c>
      <c r="AC2" s="32" t="inlineStr">
        <is>
          <t>acier</t>
        </is>
      </c>
      <c r="AD2" s="32" t="inlineStr">
        <is>
          <t>alu</t>
        </is>
      </c>
      <c r="AE2" s="32" t="inlineStr">
        <is>
          <t>petits alu</t>
        </is>
      </c>
      <c r="AF2" s="33" t="inlineStr">
        <is>
          <t>fines</t>
        </is>
      </c>
      <c r="AG2" s="33" t="inlineStr">
        <is>
          <t>refus indésirables</t>
        </is>
      </c>
      <c r="AH2" s="28" t="inlineStr">
        <is>
          <t xml:space="preserve">TOTAL REFUS </t>
        </is>
      </c>
    </row>
    <row r="3" ht="15.75" customHeight="1" s="259">
      <c r="A3" s="7" t="n">
        <v>44935</v>
      </c>
      <c r="B3">
        <f>0.54</f>
        <v/>
      </c>
      <c r="C3" t="n">
        <v>0.62</v>
      </c>
      <c r="D3" t="n">
        <v>0.54</v>
      </c>
      <c r="E3" t="n">
        <v>1.8</v>
      </c>
      <c r="F3" t="n">
        <v>0.38</v>
      </c>
      <c r="G3" t="n">
        <v>0.06</v>
      </c>
      <c r="H3" t="n">
        <v>0.4</v>
      </c>
      <c r="I3" t="n">
        <v>0.2</v>
      </c>
      <c r="J3" t="n">
        <v>0.66</v>
      </c>
      <c r="K3" t="n">
        <v>0.1</v>
      </c>
      <c r="L3" t="n">
        <v>0.2</v>
      </c>
      <c r="M3" t="n">
        <v>0.26</v>
      </c>
      <c r="N3" t="n">
        <v>0.38</v>
      </c>
      <c r="O3" t="n">
        <v>5.94</v>
      </c>
      <c r="P3" t="n">
        <v>3.54</v>
      </c>
      <c r="Q3">
        <f>SUM(B3:P3)</f>
        <v/>
      </c>
      <c r="S3" s="41">
        <f>B3/$Q3</f>
        <v/>
      </c>
      <c r="T3" s="41">
        <f>C3/$Q3</f>
        <v/>
      </c>
      <c r="U3" s="41">
        <f>D3/$Q3</f>
        <v/>
      </c>
      <c r="V3" s="41">
        <f>E3/$Q3</f>
        <v/>
      </c>
      <c r="W3" s="41">
        <f>F3/$Q3</f>
        <v/>
      </c>
      <c r="X3" s="41">
        <f>G3/$Q3</f>
        <v/>
      </c>
      <c r="Y3" s="41">
        <f>H3/$Q3</f>
        <v/>
      </c>
      <c r="Z3" s="41">
        <f>I3/$Q3</f>
        <v/>
      </c>
      <c r="AA3" s="41">
        <f>J3/$Q3</f>
        <v/>
      </c>
      <c r="AB3" s="41">
        <f>K3/$Q3</f>
        <v/>
      </c>
      <c r="AC3" s="41">
        <f>L3/$Q3</f>
        <v/>
      </c>
      <c r="AD3" s="41">
        <f>M3/$Q3</f>
        <v/>
      </c>
      <c r="AE3" s="41">
        <f>N3/$Q3</f>
        <v/>
      </c>
      <c r="AF3" s="41">
        <f>O3/$Q3</f>
        <v/>
      </c>
      <c r="AG3" s="41">
        <f>P3/$Q3</f>
        <v/>
      </c>
      <c r="AH3" s="41">
        <f>Q3/$Q3</f>
        <v/>
      </c>
    </row>
    <row r="4" ht="15.75" customHeight="1" s="259">
      <c r="A4" s="8" t="n">
        <v>44943</v>
      </c>
      <c r="B4" t="n">
        <v>0.48</v>
      </c>
      <c r="C4" t="n">
        <v>0.6</v>
      </c>
      <c r="D4" t="n">
        <v>0.64</v>
      </c>
      <c r="E4" t="n">
        <v>1.14</v>
      </c>
      <c r="F4" t="n">
        <v>0.8</v>
      </c>
      <c r="G4" t="n">
        <v>0.18</v>
      </c>
      <c r="H4" t="n">
        <v>0.6</v>
      </c>
      <c r="I4" t="n">
        <v>0.06</v>
      </c>
      <c r="J4" t="n">
        <v>0.06</v>
      </c>
      <c r="K4" t="n">
        <v>0</v>
      </c>
      <c r="L4" t="inlineStr">
        <is>
          <t>0,12,</t>
        </is>
      </c>
      <c r="M4" t="n">
        <v>0.36</v>
      </c>
      <c r="N4" t="n">
        <v>0.32</v>
      </c>
      <c r="O4" t="n">
        <v>9.58</v>
      </c>
      <c r="P4" t="n">
        <v>5.22</v>
      </c>
      <c r="Q4">
        <f>SUM(B4:P4)</f>
        <v/>
      </c>
      <c r="S4" s="41">
        <f>B4/$Q4</f>
        <v/>
      </c>
      <c r="T4" s="41">
        <f>C4/$Q4</f>
        <v/>
      </c>
      <c r="U4" s="41">
        <f>D4/$Q4</f>
        <v/>
      </c>
      <c r="V4" s="41">
        <f>E4/$Q4</f>
        <v/>
      </c>
      <c r="W4" s="41">
        <f>F4/$Q4</f>
        <v/>
      </c>
      <c r="X4" s="41">
        <f>G4/$Q4</f>
        <v/>
      </c>
      <c r="Y4" s="41">
        <f>H4/$Q4</f>
        <v/>
      </c>
      <c r="Z4" s="41">
        <f>I4/$Q4</f>
        <v/>
      </c>
      <c r="AA4" s="41">
        <f>J4/$Q4</f>
        <v/>
      </c>
      <c r="AB4" s="41">
        <f>K4/$Q4</f>
        <v/>
      </c>
      <c r="AC4" s="41">
        <f>L4/$Q4</f>
        <v/>
      </c>
      <c r="AD4" s="41">
        <f>M4/$Q4</f>
        <v/>
      </c>
      <c r="AE4" s="41">
        <f>N4/$Q4</f>
        <v/>
      </c>
      <c r="AF4" s="41">
        <f>O4/$Q4</f>
        <v/>
      </c>
      <c r="AG4" s="41">
        <f>P4/$Q4</f>
        <v/>
      </c>
      <c r="AH4" s="41">
        <f>Q4/$Q4</f>
        <v/>
      </c>
    </row>
    <row r="5" ht="15.75" customHeight="1" s="259">
      <c r="A5" s="8" t="n">
        <v>44950</v>
      </c>
      <c r="B5" t="n">
        <v>1.22</v>
      </c>
      <c r="C5" t="n">
        <v>0.66</v>
      </c>
      <c r="D5" t="n">
        <v>0.76</v>
      </c>
      <c r="E5" t="n">
        <v>1.94</v>
      </c>
      <c r="F5" t="n">
        <v>0.54</v>
      </c>
      <c r="G5" t="n">
        <v>0.08</v>
      </c>
      <c r="H5" t="n">
        <v>0.8</v>
      </c>
      <c r="I5" t="n">
        <v>0.16</v>
      </c>
      <c r="J5" t="n">
        <v>0.7</v>
      </c>
      <c r="K5" t="n">
        <v>0.1</v>
      </c>
      <c r="L5" t="n">
        <v>0.5</v>
      </c>
      <c r="M5" t="n">
        <v>0.32</v>
      </c>
      <c r="N5" t="n">
        <v>0.42</v>
      </c>
      <c r="O5" t="n">
        <v>12.82</v>
      </c>
      <c r="P5" t="n">
        <v>3.52</v>
      </c>
      <c r="Q5">
        <f>SUM(B5:P5)</f>
        <v/>
      </c>
      <c r="S5" s="41">
        <f>B5/$Q5</f>
        <v/>
      </c>
      <c r="T5" s="41">
        <f>C5/$Q5</f>
        <v/>
      </c>
      <c r="U5" s="41">
        <f>D5/$Q5</f>
        <v/>
      </c>
      <c r="V5" s="41">
        <f>E5/$Q5</f>
        <v/>
      </c>
      <c r="W5" s="41">
        <f>F5/$Q5</f>
        <v/>
      </c>
      <c r="X5" s="41">
        <f>G5/$Q5</f>
        <v/>
      </c>
      <c r="Y5" s="41">
        <f>H5/$Q5</f>
        <v/>
      </c>
      <c r="Z5" s="41">
        <f>I5/$Q5</f>
        <v/>
      </c>
      <c r="AA5" s="41">
        <f>J5/$Q5</f>
        <v/>
      </c>
      <c r="AB5" s="41">
        <f>K5/$Q5</f>
        <v/>
      </c>
      <c r="AC5" s="41">
        <f>L5/$Q5</f>
        <v/>
      </c>
      <c r="AD5" s="41">
        <f>M5/$Q5</f>
        <v/>
      </c>
      <c r="AE5" s="41">
        <f>N5/$Q5</f>
        <v/>
      </c>
      <c r="AF5" s="41">
        <f>O5/$Q5</f>
        <v/>
      </c>
      <c r="AG5" s="41">
        <f>P5/$Q5</f>
        <v/>
      </c>
      <c r="AH5" s="41">
        <f>Q5/$Q5</f>
        <v/>
      </c>
    </row>
    <row r="6" ht="15.75" customHeight="1" s="259">
      <c r="A6" s="8" t="n">
        <v>44957</v>
      </c>
      <c r="B6" t="n">
        <v>1.34</v>
      </c>
      <c r="C6" t="n">
        <v>0.88</v>
      </c>
      <c r="D6" t="n">
        <v>0.82</v>
      </c>
      <c r="E6" t="n">
        <v>1.58</v>
      </c>
      <c r="F6" t="n">
        <v>0.82</v>
      </c>
      <c r="G6" t="n">
        <v>0.24</v>
      </c>
      <c r="H6" t="n">
        <v>0.9</v>
      </c>
      <c r="I6" t="n">
        <v>0.14</v>
      </c>
      <c r="J6" t="n">
        <v>0.88</v>
      </c>
      <c r="K6" t="n">
        <v>0.06</v>
      </c>
      <c r="L6" t="n">
        <v>0.64</v>
      </c>
      <c r="M6" t="n">
        <v>0.26</v>
      </c>
      <c r="N6" t="n">
        <v>0.5</v>
      </c>
      <c r="O6" t="n">
        <v>14.14</v>
      </c>
      <c r="P6" t="n">
        <v>5.12</v>
      </c>
      <c r="Q6">
        <f>SUM(B6:P6)</f>
        <v/>
      </c>
      <c r="S6" s="41">
        <f>B6/$Q6</f>
        <v/>
      </c>
      <c r="T6" s="41">
        <f>C6/$Q6</f>
        <v/>
      </c>
      <c r="U6" s="41">
        <f>D6/$Q6</f>
        <v/>
      </c>
      <c r="V6" s="41">
        <f>E6/$Q6</f>
        <v/>
      </c>
      <c r="W6" s="41">
        <f>F6/$Q6</f>
        <v/>
      </c>
      <c r="X6" s="41">
        <f>G6/$Q6</f>
        <v/>
      </c>
      <c r="Y6" s="41">
        <f>H6/$Q6</f>
        <v/>
      </c>
      <c r="Z6" s="41">
        <f>I6/$Q6</f>
        <v/>
      </c>
      <c r="AA6" s="41">
        <f>J6/$Q6</f>
        <v/>
      </c>
      <c r="AB6" s="41">
        <f>K6/$Q6</f>
        <v/>
      </c>
      <c r="AC6" s="41">
        <f>L6/$Q6</f>
        <v/>
      </c>
      <c r="AD6" s="41">
        <f>M6/$Q6</f>
        <v/>
      </c>
      <c r="AE6" s="41">
        <f>N6/$Q6</f>
        <v/>
      </c>
      <c r="AF6" s="41">
        <f>O6/$Q6</f>
        <v/>
      </c>
      <c r="AG6" s="41">
        <f>P6/$Q6</f>
        <v/>
      </c>
      <c r="AH6" s="41">
        <f>Q6/$Q6</f>
        <v/>
      </c>
    </row>
    <row r="7" ht="15.75" customHeight="1" s="259">
      <c r="A7" s="8" t="n">
        <v>44963</v>
      </c>
      <c r="B7" t="n">
        <v>1.76</v>
      </c>
      <c r="C7" t="n">
        <v>0.66</v>
      </c>
      <c r="D7" t="n">
        <v>0.64</v>
      </c>
      <c r="E7" t="n">
        <v>1.66</v>
      </c>
      <c r="F7" t="n">
        <v>0.58</v>
      </c>
      <c r="G7" t="n">
        <v>0.24</v>
      </c>
      <c r="H7" t="n">
        <v>0.74</v>
      </c>
      <c r="I7" t="n">
        <v>0.14</v>
      </c>
      <c r="J7" t="n">
        <v>2.44</v>
      </c>
      <c r="K7" t="n">
        <v>0.06</v>
      </c>
      <c r="L7" t="n">
        <v>0.38</v>
      </c>
      <c r="M7" t="n">
        <v>0.32</v>
      </c>
      <c r="N7" t="n">
        <v>0.52</v>
      </c>
      <c r="O7" t="n">
        <v>15.58</v>
      </c>
      <c r="P7" t="n">
        <v>4.3</v>
      </c>
      <c r="Q7">
        <f>SUM(B7:P7)</f>
        <v/>
      </c>
      <c r="S7" s="41">
        <f>B7/$Q7</f>
        <v/>
      </c>
      <c r="T7" s="41">
        <f>C7/$Q7</f>
        <v/>
      </c>
      <c r="U7" s="41">
        <f>D7/$Q7</f>
        <v/>
      </c>
      <c r="V7" s="41">
        <f>E7/$Q7</f>
        <v/>
      </c>
      <c r="W7" s="41">
        <f>F7/$Q7</f>
        <v/>
      </c>
      <c r="X7" s="41">
        <f>G7/$Q7</f>
        <v/>
      </c>
      <c r="Y7" s="41">
        <f>H7/$Q7</f>
        <v/>
      </c>
      <c r="Z7" s="41">
        <f>I7/$Q7</f>
        <v/>
      </c>
      <c r="AA7" s="41">
        <f>J7/$Q7</f>
        <v/>
      </c>
      <c r="AB7" s="41">
        <f>K7/$Q7</f>
        <v/>
      </c>
      <c r="AC7" s="41">
        <f>L7/$Q7</f>
        <v/>
      </c>
      <c r="AD7" s="41">
        <f>M7/$Q7</f>
        <v/>
      </c>
      <c r="AE7" s="41">
        <f>N7/$Q7</f>
        <v/>
      </c>
      <c r="AF7" s="41">
        <f>O7/$Q7</f>
        <v/>
      </c>
      <c r="AG7" s="41">
        <f>P7/$Q7</f>
        <v/>
      </c>
      <c r="AH7" s="41">
        <f>Q7/$Q7</f>
        <v/>
      </c>
    </row>
    <row r="37" ht="15.75" customHeight="1" s="259">
      <c r="Q37">
        <f>SUM(B37:P37)</f>
        <v/>
      </c>
      <c r="S37" s="41">
        <f>B37/$Q37</f>
        <v/>
      </c>
      <c r="T37" s="41" t="n"/>
      <c r="U37" s="41">
        <f>D37/$Q37</f>
        <v/>
      </c>
      <c r="V37" s="41">
        <f>E37/$Q37</f>
        <v/>
      </c>
      <c r="W37" s="41">
        <f>F37/$Q37</f>
        <v/>
      </c>
      <c r="X37" s="41">
        <f>G37/$Q37</f>
        <v/>
      </c>
      <c r="Y37" s="41">
        <f>H37/$Q37</f>
        <v/>
      </c>
      <c r="Z37" s="41">
        <f>I37/$Q37</f>
        <v/>
      </c>
      <c r="AA37" s="41">
        <f>J37/$Q37</f>
        <v/>
      </c>
      <c r="AB37" s="41">
        <f>K37/$Q37</f>
        <v/>
      </c>
      <c r="AC37" s="41">
        <f>L37/$Q37</f>
        <v/>
      </c>
      <c r="AD37" s="41">
        <f>M37/$Q37</f>
        <v/>
      </c>
      <c r="AE37" s="41">
        <f>N37/$Q37</f>
        <v/>
      </c>
      <c r="AF37" s="41" t="n"/>
      <c r="AG37" s="41">
        <f>P37/$Q37</f>
        <v/>
      </c>
      <c r="AH37" s="42">
        <f>AG37+#REF!</f>
        <v/>
      </c>
    </row>
    <row r="38" ht="15.75" customHeight="1" s="259">
      <c r="Q38">
        <f>SUM(B38:P38)</f>
        <v/>
      </c>
      <c r="S38" s="41">
        <f>B38/$Q38</f>
        <v/>
      </c>
      <c r="T38" s="41" t="n"/>
      <c r="U38" s="41">
        <f>D38/$Q38</f>
        <v/>
      </c>
      <c r="V38" s="41">
        <f>E38/$Q38</f>
        <v/>
      </c>
      <c r="W38" s="41">
        <f>F38/$Q38</f>
        <v/>
      </c>
      <c r="X38" s="41">
        <f>G38/$Q38</f>
        <v/>
      </c>
      <c r="Y38" s="41">
        <f>H38/$Q38</f>
        <v/>
      </c>
      <c r="Z38" s="41">
        <f>I38/$Q38</f>
        <v/>
      </c>
      <c r="AA38" s="41">
        <f>J38/$Q38</f>
        <v/>
      </c>
      <c r="AB38" s="41">
        <f>K38/$Q38</f>
        <v/>
      </c>
      <c r="AC38" s="41">
        <f>L38/$Q38</f>
        <v/>
      </c>
      <c r="AD38" s="41">
        <f>M38/$Q38</f>
        <v/>
      </c>
      <c r="AE38" s="41">
        <f>N38/$Q38</f>
        <v/>
      </c>
      <c r="AF38" s="41" t="n"/>
      <c r="AG38" s="41">
        <f>P38/$Q38</f>
        <v/>
      </c>
      <c r="AH38" s="42">
        <f>AG38+#REF!</f>
        <v/>
      </c>
    </row>
    <row r="39" ht="15.75" customHeight="1" s="259">
      <c r="Q39">
        <f>SUM(B39:P39)</f>
        <v/>
      </c>
      <c r="S39" s="41">
        <f>B39/$Q39</f>
        <v/>
      </c>
      <c r="T39" s="41" t="n"/>
      <c r="U39" s="41">
        <f>D39/$Q39</f>
        <v/>
      </c>
      <c r="V39" s="41">
        <f>E39/$Q39</f>
        <v/>
      </c>
      <c r="W39" s="41">
        <f>F39/$Q39</f>
        <v/>
      </c>
      <c r="X39" s="41">
        <f>G39/$Q39</f>
        <v/>
      </c>
      <c r="Y39" s="41">
        <f>H39/$Q39</f>
        <v/>
      </c>
      <c r="Z39" s="41">
        <f>I39/$Q39</f>
        <v/>
      </c>
      <c r="AA39" s="41">
        <f>J39/$Q39</f>
        <v/>
      </c>
      <c r="AB39" s="41">
        <f>K39/$Q39</f>
        <v/>
      </c>
      <c r="AC39" s="41">
        <f>L39/$Q39</f>
        <v/>
      </c>
      <c r="AD39" s="41">
        <f>M39/$Q39</f>
        <v/>
      </c>
      <c r="AE39" s="41">
        <f>N39/$Q39</f>
        <v/>
      </c>
      <c r="AF39" s="41" t="n"/>
      <c r="AG39" s="41">
        <f>P39/$Q39</f>
        <v/>
      </c>
      <c r="AH39" s="42">
        <f>AG39+#REF!</f>
        <v/>
      </c>
    </row>
    <row r="40" ht="15.75" customHeight="1" s="259">
      <c r="Q40">
        <f>SUM(B40:P40)</f>
        <v/>
      </c>
      <c r="S40" s="41">
        <f>B40/$Q40</f>
        <v/>
      </c>
      <c r="T40" s="41" t="n"/>
      <c r="U40" s="41">
        <f>D40/$Q40</f>
        <v/>
      </c>
      <c r="V40" s="41">
        <f>E40/$Q40</f>
        <v/>
      </c>
      <c r="W40" s="41">
        <f>F40/$Q40</f>
        <v/>
      </c>
      <c r="X40" s="41">
        <f>G40/$Q40</f>
        <v/>
      </c>
      <c r="Y40" s="41">
        <f>H40/$Q40</f>
        <v/>
      </c>
      <c r="Z40" s="41">
        <f>I40/$Q40</f>
        <v/>
      </c>
      <c r="AA40" s="41">
        <f>J40/$Q40</f>
        <v/>
      </c>
      <c r="AB40" s="41">
        <f>K40/$Q40</f>
        <v/>
      </c>
      <c r="AC40" s="41">
        <f>L40/$Q40</f>
        <v/>
      </c>
      <c r="AD40" s="41">
        <f>M40/$Q40</f>
        <v/>
      </c>
      <c r="AE40" s="41">
        <f>N40/$Q40</f>
        <v/>
      </c>
      <c r="AF40" s="41" t="n"/>
      <c r="AG40" s="41">
        <f>P40/$Q40</f>
        <v/>
      </c>
      <c r="AH40" s="42">
        <f>AG40+#REF!</f>
        <v/>
      </c>
    </row>
    <row r="41" ht="15.75" customHeight="1" s="259"/>
    <row r="42" ht="15.75" customHeight="1" s="259"/>
    <row r="43" ht="15.75" customFormat="1" customHeight="1" s="2">
      <c r="A43" s="2" t="inlineStr">
        <is>
          <t>Moyenne semaine</t>
        </is>
      </c>
      <c r="K43" s="3" t="n"/>
      <c r="M43" s="3" t="n"/>
      <c r="N43" s="3" t="n"/>
      <c r="O43" s="3" t="n"/>
      <c r="P43" s="3" t="n"/>
      <c r="Q43" s="3" t="n"/>
      <c r="R43" s="3" t="n"/>
      <c r="S43" s="3" t="n"/>
      <c r="T43" s="3" t="n"/>
      <c r="U43" s="3" t="n"/>
      <c r="V43" s="3" t="n"/>
      <c r="W43" s="3" t="n"/>
      <c r="X43" s="3" t="n"/>
      <c r="Y43" s="3" t="n"/>
      <c r="Z43" s="3" t="n"/>
      <c r="AA43" s="3" t="n"/>
      <c r="AB43" s="3" t="n"/>
      <c r="AC43" s="3" t="n"/>
      <c r="AD43" s="3" t="n"/>
      <c r="AE43" s="3" t="n"/>
      <c r="AF43" s="59" t="n"/>
      <c r="AG43" s="11" t="n"/>
    </row>
    <row r="44" ht="15.75" customFormat="1" customHeight="1" s="2">
      <c r="A44" s="2" t="inlineStr">
        <is>
          <t>Moyenne mois</t>
        </is>
      </c>
      <c r="K44" s="3" t="n"/>
      <c r="M44" s="3" t="n"/>
      <c r="N44" s="3" t="n"/>
      <c r="O44" s="3" t="n"/>
      <c r="P44" s="3" t="n"/>
      <c r="Q44" s="3" t="n"/>
      <c r="R44" s="3" t="n"/>
      <c r="S44" s="3" t="n"/>
      <c r="T44" s="3" t="n"/>
      <c r="U44" s="3" t="n"/>
      <c r="V44" s="3" t="n"/>
      <c r="W44" s="3" t="n"/>
      <c r="X44" s="3" t="n"/>
      <c r="Y44" s="3" t="n"/>
      <c r="Z44" s="3" t="n"/>
      <c r="AA44" s="3" t="n"/>
      <c r="AB44" s="3" t="n"/>
      <c r="AC44" s="3" t="n"/>
      <c r="AD44" s="3" t="n"/>
      <c r="AE44" s="3" t="n"/>
      <c r="AF44" s="59" t="n"/>
      <c r="AG44" s="11" t="n"/>
    </row>
    <row r="45" ht="15.75" customFormat="1" customHeight="1" s="2">
      <c r="A45" s="2" t="inlineStr">
        <is>
          <t>Moyenne année</t>
        </is>
      </c>
      <c r="B45" s="11">
        <f>AVERAGE(B3:B23)</f>
        <v/>
      </c>
      <c r="C45" s="11" t="n"/>
      <c r="D45" s="11">
        <f>AVERAGE(D3:D23)</f>
        <v/>
      </c>
      <c r="E45" s="11">
        <f>AVERAGE(E3:E23)</f>
        <v/>
      </c>
      <c r="F45" s="11">
        <f>AVERAGE(F3:F23)</f>
        <v/>
      </c>
      <c r="G45" s="11">
        <f>AVERAGE(G3:G23)</f>
        <v/>
      </c>
      <c r="H45" s="11">
        <f>AVERAGE(H3:H23)</f>
        <v/>
      </c>
      <c r="I45" s="11">
        <f>AVERAGE(I3:I23)</f>
        <v/>
      </c>
      <c r="J45" s="11">
        <f>AVERAGE(J3:J23)</f>
        <v/>
      </c>
      <c r="K45" s="11">
        <f>AVERAGE(K3:K22)</f>
        <v/>
      </c>
      <c r="L45" s="11">
        <f>AVERAGE(L3:L23)</f>
        <v/>
      </c>
      <c r="M45" s="11">
        <f>AVERAGE(M3:M23)</f>
        <v/>
      </c>
      <c r="N45" s="11">
        <f>AVERAGE(N3:N22)</f>
        <v/>
      </c>
      <c r="O45" s="11" t="n"/>
      <c r="P45" s="11">
        <f>AVERAGE(P3:P23)</f>
        <v/>
      </c>
      <c r="Q45" s="11">
        <f>AVERAGE(Q3:Q22)</f>
        <v/>
      </c>
      <c r="R45" s="11" t="n"/>
      <c r="S45" s="54">
        <f>AVERAGE(S3:S22)</f>
        <v/>
      </c>
      <c r="T45" s="54" t="n"/>
      <c r="U45" s="54">
        <f>AVERAGE(U3:U22)</f>
        <v/>
      </c>
      <c r="V45" s="54">
        <f>AVERAGE(V3:V22)</f>
        <v/>
      </c>
      <c r="W45" s="54">
        <f>AVERAGE(W3:W22)</f>
        <v/>
      </c>
      <c r="X45" s="55">
        <f>AVERAGE(X3:X22)</f>
        <v/>
      </c>
      <c r="Y45" s="55">
        <f>AVERAGE(Y3:Y22)</f>
        <v/>
      </c>
      <c r="Z45" s="55">
        <f>AVERAGE(Z3:Z22)</f>
        <v/>
      </c>
      <c r="AA45" s="55">
        <f>AVERAGE(AA3:AA22)</f>
        <v/>
      </c>
      <c r="AB45" s="55">
        <f>AVERAGE(AB3:AB22)</f>
        <v/>
      </c>
      <c r="AC45" s="55">
        <f>AVERAGE(AC3:AC22)</f>
        <v/>
      </c>
      <c r="AD45" s="55">
        <f>AVERAGE(AD3:AD22)</f>
        <v/>
      </c>
      <c r="AE45" s="55">
        <f>AVERAGE(AE3:AE22)</f>
        <v/>
      </c>
      <c r="AF45" s="55" t="n"/>
      <c r="AG45" s="49">
        <f>AVERAGE(AG3:AG22)</f>
        <v/>
      </c>
      <c r="AH45" s="51">
        <f>AVERAGE(AH3:AH22)</f>
        <v/>
      </c>
    </row>
  </sheetData>
  <mergeCells count="2">
    <mergeCell ref="S1:AH1"/>
    <mergeCell ref="A1:Q1"/>
  </mergeCells>
  <pageMargins left="0.7086614173228347" right="0.7086614173228347" top="0.7480314960629921" bottom="0.7480314960629921" header="0.3149606299212598" footer="0.3149606299212598"/>
  <pageSetup orientation="landscape" paperSize="9" scale="32"/>
</worksheet>
</file>

<file path=xl/worksheets/sheet19.xml><?xml version="1.0" encoding="utf-8"?>
<worksheet xmlns="http://schemas.openxmlformats.org/spreadsheetml/2006/main">
  <sheetPr codeName="Feuil17">
    <outlinePr summaryBelow="1" summaryRight="1"/>
    <pageSetUpPr fitToPage="1"/>
  </sheetPr>
  <dimension ref="A1:AN57"/>
  <sheetViews>
    <sheetView zoomScale="66" zoomScaleNormal="66" workbookViewId="0">
      <selection activeCell="I32" sqref="I32:I33"/>
    </sheetView>
  </sheetViews>
  <sheetFormatPr baseColWidth="10" defaultRowHeight="20.25"/>
  <cols>
    <col width="18.42578125" customWidth="1" style="259" min="2" max="2"/>
    <col width="14.28515625" customWidth="1" style="259" min="4" max="4"/>
    <col width="13.7109375" customWidth="1" style="259" min="5" max="5"/>
    <col width="15.7109375" customWidth="1" style="259" min="8" max="8"/>
    <col width="12.42578125" customWidth="1" style="259" min="10" max="10"/>
    <col width="20.28515625" customWidth="1" style="259" min="11" max="11"/>
    <col width="19" customWidth="1" style="259" min="15" max="15"/>
    <col width="14.28515625" customWidth="1" style="259" min="18" max="18"/>
    <col width="18.28515625" customWidth="1" style="259" min="19" max="19"/>
    <col width="11.42578125" customWidth="1" style="38" min="21" max="21"/>
    <col width="14.42578125" customWidth="1" style="259" min="23" max="23"/>
    <col width="13.7109375" customWidth="1" style="259" min="24" max="24"/>
    <col width="13.28515625" customWidth="1" style="259" min="29" max="29"/>
    <col width="20" customWidth="1" style="259" min="30" max="30"/>
    <col width="21" customWidth="1" style="259" min="39" max="39"/>
  </cols>
  <sheetData>
    <row r="1">
      <c r="C1" s="313" t="inlineStr">
        <is>
          <t>poids</t>
        </is>
      </c>
      <c r="T1" s="313" t="n"/>
      <c r="V1" s="313" t="inlineStr">
        <is>
          <t>%</t>
        </is>
      </c>
    </row>
    <row r="2" ht="72" customHeight="1" s="259">
      <c r="A2" t="inlineStr">
        <is>
          <t>Collectivités</t>
        </is>
      </c>
      <c r="B2" s="4" t="inlineStr">
        <is>
          <t>date</t>
        </is>
      </c>
      <c r="C2" s="36" t="inlineStr">
        <is>
          <t>JRM</t>
        </is>
      </c>
      <c r="D2" s="36" t="inlineStr">
        <is>
          <t>Cartons 1.05</t>
        </is>
      </c>
      <c r="E2" s="36" t="inlineStr">
        <is>
          <t>Cartons 1.04</t>
        </is>
      </c>
      <c r="F2" s="36" t="inlineStr">
        <is>
          <t>GM</t>
        </is>
      </c>
      <c r="G2" s="36" t="inlineStr">
        <is>
          <t>ELA</t>
        </is>
      </c>
      <c r="H2" s="36" t="inlineStr">
        <is>
          <t>PET Q7</t>
        </is>
      </c>
      <c r="I2" s="36" t="inlineStr">
        <is>
          <t>PET Q8</t>
        </is>
      </c>
      <c r="J2" s="36" t="inlineStr">
        <is>
          <t>PEPPPS</t>
        </is>
      </c>
      <c r="K2" s="36" t="inlineStr">
        <is>
          <t>Films valorisables</t>
        </is>
      </c>
      <c r="L2" s="36" t="inlineStr">
        <is>
          <t>Acier</t>
        </is>
      </c>
      <c r="M2" s="36" t="inlineStr">
        <is>
          <t>Alus</t>
        </is>
      </c>
      <c r="N2" s="36" t="inlineStr">
        <is>
          <t>Petits Alus</t>
        </is>
      </c>
      <c r="O2" s="33" t="inlineStr">
        <is>
          <t>Textiles</t>
        </is>
      </c>
      <c r="P2" s="33" t="inlineStr">
        <is>
          <t>Verre</t>
        </is>
      </c>
      <c r="Q2" s="33" t="inlineStr">
        <is>
          <t>OM</t>
        </is>
      </c>
      <c r="R2" s="33" t="inlineStr">
        <is>
          <t>Bouteilles gaz</t>
        </is>
      </c>
      <c r="S2" s="33" t="inlineStr">
        <is>
          <t>autres refus indésirables</t>
        </is>
      </c>
      <c r="T2" s="32" t="inlineStr">
        <is>
          <t>TOTAL</t>
        </is>
      </c>
      <c r="V2" s="36" t="inlineStr">
        <is>
          <t>JRM</t>
        </is>
      </c>
      <c r="W2" s="36" t="inlineStr">
        <is>
          <t>Cartons 1.05</t>
        </is>
      </c>
      <c r="X2" s="36" t="inlineStr">
        <is>
          <t>Cartons 1.04</t>
        </is>
      </c>
      <c r="Y2" s="36" t="inlineStr">
        <is>
          <t>GM</t>
        </is>
      </c>
      <c r="Z2" s="36" t="inlineStr">
        <is>
          <t>ELA</t>
        </is>
      </c>
      <c r="AA2" s="36" t="inlineStr">
        <is>
          <t>PET Q7</t>
        </is>
      </c>
      <c r="AB2" s="36" t="inlineStr">
        <is>
          <t>PET Q8</t>
        </is>
      </c>
      <c r="AC2" s="36" t="inlineStr">
        <is>
          <t>PEPPPS</t>
        </is>
      </c>
      <c r="AD2" s="36" t="inlineStr">
        <is>
          <t>Films valorisables</t>
        </is>
      </c>
      <c r="AE2" s="36" t="inlineStr">
        <is>
          <t>Acier</t>
        </is>
      </c>
      <c r="AF2" s="36" t="inlineStr">
        <is>
          <t>Alus</t>
        </is>
      </c>
      <c r="AG2" s="36" t="inlineStr">
        <is>
          <t>Petits Alus</t>
        </is>
      </c>
      <c r="AH2" s="33" t="inlineStr">
        <is>
          <t>Textiles</t>
        </is>
      </c>
      <c r="AI2" s="33" t="inlineStr">
        <is>
          <t>Verre</t>
        </is>
      </c>
      <c r="AJ2" s="33" t="inlineStr">
        <is>
          <t>OM</t>
        </is>
      </c>
      <c r="AK2" s="33" t="inlineStr">
        <is>
          <t>Bouteilles gaz</t>
        </is>
      </c>
      <c r="AL2" s="33" t="inlineStr">
        <is>
          <t>autres refus indésirables</t>
        </is>
      </c>
      <c r="AM2" s="36" t="inlineStr">
        <is>
          <t>TOTAL Valorisables</t>
        </is>
      </c>
      <c r="AN2" s="39" t="inlineStr">
        <is>
          <t>TOTAL Refus</t>
        </is>
      </c>
    </row>
    <row r="3" ht="15.75" customHeight="1" s="259">
      <c r="A3" t="inlineStr">
        <is>
          <t>Clermont</t>
        </is>
      </c>
      <c r="B3" s="8" t="n">
        <v>44951</v>
      </c>
      <c r="T3">
        <f>SUM(C3:S3)</f>
        <v/>
      </c>
      <c r="V3">
        <f>C3/$T3</f>
        <v/>
      </c>
      <c r="W3">
        <f>D3/$T3</f>
        <v/>
      </c>
      <c r="X3">
        <f>E3/$T3</f>
        <v/>
      </c>
      <c r="Y3">
        <f>F3/$T3</f>
        <v/>
      </c>
      <c r="Z3">
        <f>G3/$T3</f>
        <v/>
      </c>
      <c r="AA3">
        <f>H3/$T3</f>
        <v/>
      </c>
      <c r="AB3">
        <f>I3/$T3</f>
        <v/>
      </c>
      <c r="AC3">
        <f>J3/$T3</f>
        <v/>
      </c>
      <c r="AD3">
        <f>K3/$T3</f>
        <v/>
      </c>
      <c r="AE3">
        <f>L3/$T3</f>
        <v/>
      </c>
      <c r="AF3">
        <f>M3/$T3</f>
        <v/>
      </c>
      <c r="AG3">
        <f>N3/$T3</f>
        <v/>
      </c>
      <c r="AH3">
        <f>O3/$T3</f>
        <v/>
      </c>
      <c r="AI3">
        <f>P3/$T3</f>
        <v/>
      </c>
      <c r="AJ3">
        <f>Q3/$T3</f>
        <v/>
      </c>
      <c r="AK3">
        <f>R3/$T3</f>
        <v/>
      </c>
      <c r="AL3">
        <f>S3/$T3</f>
        <v/>
      </c>
      <c r="AM3">
        <f>SUM(V3:AG3)</f>
        <v/>
      </c>
      <c r="AN3">
        <f>SUM(AH3:AL3)</f>
        <v/>
      </c>
    </row>
    <row r="4" ht="15.75" customHeight="1" s="259">
      <c r="T4">
        <f>SUM(C4:S4)</f>
        <v/>
      </c>
      <c r="V4">
        <f>C4/$T4</f>
        <v/>
      </c>
      <c r="W4">
        <f>D4/$T4</f>
        <v/>
      </c>
      <c r="X4">
        <f>E4/$T4</f>
        <v/>
      </c>
      <c r="Y4">
        <f>F4/$T4</f>
        <v/>
      </c>
      <c r="Z4">
        <f>G4/$T4</f>
        <v/>
      </c>
      <c r="AA4">
        <f>H4/$T4</f>
        <v/>
      </c>
      <c r="AB4">
        <f>I4/$T4</f>
        <v/>
      </c>
      <c r="AC4">
        <f>J4/$T4</f>
        <v/>
      </c>
      <c r="AD4">
        <f>K4/$T4</f>
        <v/>
      </c>
      <c r="AE4">
        <f>L4/$T4</f>
        <v/>
      </c>
      <c r="AF4">
        <f>M4/$T4</f>
        <v/>
      </c>
      <c r="AG4">
        <f>N4/$T4</f>
        <v/>
      </c>
      <c r="AH4">
        <f>O4/$T4</f>
        <v/>
      </c>
      <c r="AI4">
        <f>P4/$T4</f>
        <v/>
      </c>
      <c r="AJ4">
        <f>Q4/$T4</f>
        <v/>
      </c>
      <c r="AK4">
        <f>R4/$T4</f>
        <v/>
      </c>
      <c r="AL4">
        <f>S4/$T4</f>
        <v/>
      </c>
      <c r="AM4">
        <f>SUM(V4:AG4)</f>
        <v/>
      </c>
      <c r="AN4">
        <f>SUM(AH4:AL4)</f>
        <v/>
      </c>
    </row>
    <row r="5" ht="15.75" customHeight="1" s="259">
      <c r="T5">
        <f>SUM(C5:S5)</f>
        <v/>
      </c>
      <c r="V5">
        <f>C5/$T5</f>
        <v/>
      </c>
      <c r="W5">
        <f>D5/$T5</f>
        <v/>
      </c>
      <c r="X5">
        <f>E5/$T5</f>
        <v/>
      </c>
      <c r="Y5">
        <f>F5/$T5</f>
        <v/>
      </c>
      <c r="Z5">
        <f>G5/$T5</f>
        <v/>
      </c>
      <c r="AA5">
        <f>H5/$T5</f>
        <v/>
      </c>
      <c r="AB5">
        <f>I5/$T5</f>
        <v/>
      </c>
      <c r="AC5">
        <f>J5/$T5</f>
        <v/>
      </c>
      <c r="AD5">
        <f>K5/$T5</f>
        <v/>
      </c>
      <c r="AE5">
        <f>L5/$T5</f>
        <v/>
      </c>
      <c r="AF5">
        <f>M5/$T5</f>
        <v/>
      </c>
      <c r="AG5">
        <f>N5/$T5</f>
        <v/>
      </c>
      <c r="AH5">
        <f>O5/$T5</f>
        <v/>
      </c>
      <c r="AI5">
        <f>P5/$T5</f>
        <v/>
      </c>
      <c r="AJ5">
        <f>Q5/$T5</f>
        <v/>
      </c>
      <c r="AK5">
        <f>R5/$T5</f>
        <v/>
      </c>
      <c r="AL5">
        <f>S5/$T5</f>
        <v/>
      </c>
      <c r="AM5">
        <f>SUM(V5:AG5)</f>
        <v/>
      </c>
      <c r="AN5">
        <f>SUM(AH5:AL5)</f>
        <v/>
      </c>
    </row>
    <row r="6" ht="15.75" customHeight="1" s="259">
      <c r="T6">
        <f>SUM(C6:S6)</f>
        <v/>
      </c>
      <c r="V6">
        <f>C6/$T6</f>
        <v/>
      </c>
      <c r="W6">
        <f>D6/$T6</f>
        <v/>
      </c>
      <c r="X6">
        <f>E6/$T6</f>
        <v/>
      </c>
      <c r="Y6">
        <f>F6/$T6</f>
        <v/>
      </c>
      <c r="Z6">
        <f>G6/$T6</f>
        <v/>
      </c>
      <c r="AA6">
        <f>H6/$T6</f>
        <v/>
      </c>
      <c r="AB6">
        <f>I6/$T6</f>
        <v/>
      </c>
      <c r="AC6">
        <f>J6/$T6</f>
        <v/>
      </c>
      <c r="AD6">
        <f>K6/$T6</f>
        <v/>
      </c>
      <c r="AE6">
        <f>L6/$T6</f>
        <v/>
      </c>
      <c r="AF6">
        <f>M6/$T6</f>
        <v/>
      </c>
      <c r="AG6">
        <f>N6/$T6</f>
        <v/>
      </c>
      <c r="AH6">
        <f>O6/$T6</f>
        <v/>
      </c>
      <c r="AI6">
        <f>P6/$T6</f>
        <v/>
      </c>
      <c r="AJ6">
        <f>Q6/$T6</f>
        <v/>
      </c>
      <c r="AK6">
        <f>R6/$T6</f>
        <v/>
      </c>
      <c r="AL6">
        <f>S6/$T6</f>
        <v/>
      </c>
      <c r="AM6">
        <f>SUM(V6:AG6)</f>
        <v/>
      </c>
      <c r="AN6">
        <f>SUM(AH6:AL6)</f>
        <v/>
      </c>
    </row>
    <row r="7" ht="15.75" customHeight="1" s="259">
      <c r="T7">
        <f>SUM(C7:S7)</f>
        <v/>
      </c>
      <c r="V7">
        <f>C7/$T7</f>
        <v/>
      </c>
      <c r="W7">
        <f>D7/$T7</f>
        <v/>
      </c>
      <c r="X7">
        <f>E7/$T7</f>
        <v/>
      </c>
      <c r="Y7">
        <f>F7/$T7</f>
        <v/>
      </c>
      <c r="Z7">
        <f>G7/$T7</f>
        <v/>
      </c>
      <c r="AA7">
        <f>H7/$T7</f>
        <v/>
      </c>
      <c r="AB7">
        <f>I7/$T7</f>
        <v/>
      </c>
      <c r="AC7">
        <f>J7/$T7</f>
        <v/>
      </c>
      <c r="AD7">
        <f>K7/$T7</f>
        <v/>
      </c>
      <c r="AE7">
        <f>L7/$T7</f>
        <v/>
      </c>
      <c r="AF7">
        <f>M7/$T7</f>
        <v/>
      </c>
      <c r="AG7">
        <f>N7/$T7</f>
        <v/>
      </c>
      <c r="AH7">
        <f>O7/$T7</f>
        <v/>
      </c>
      <c r="AI7">
        <f>P7/$T7</f>
        <v/>
      </c>
      <c r="AJ7">
        <f>Q7/$T7</f>
        <v/>
      </c>
      <c r="AK7">
        <f>R7/$T7</f>
        <v/>
      </c>
      <c r="AL7">
        <f>S7/$T7</f>
        <v/>
      </c>
      <c r="AM7">
        <f>SUM(V7:AG7)</f>
        <v/>
      </c>
      <c r="AN7">
        <f>SUM(AH7:AL7)</f>
        <v/>
      </c>
    </row>
    <row r="8" ht="15.75" customHeight="1" s="259">
      <c r="T8">
        <f>SUM(C8:S8)</f>
        <v/>
      </c>
      <c r="V8">
        <f>C8/$T8</f>
        <v/>
      </c>
      <c r="W8">
        <f>D8/$T8</f>
        <v/>
      </c>
      <c r="X8">
        <f>E8/$T8</f>
        <v/>
      </c>
      <c r="Y8">
        <f>F8/$T8</f>
        <v/>
      </c>
      <c r="Z8">
        <f>G8/$T8</f>
        <v/>
      </c>
      <c r="AA8">
        <f>H8/$T8</f>
        <v/>
      </c>
      <c r="AB8">
        <f>I8/$T8</f>
        <v/>
      </c>
      <c r="AC8">
        <f>J8/$T8</f>
        <v/>
      </c>
      <c r="AD8">
        <f>K8/$T8</f>
        <v/>
      </c>
      <c r="AE8">
        <f>L8/$T8</f>
        <v/>
      </c>
      <c r="AF8">
        <f>M8/$T8</f>
        <v/>
      </c>
      <c r="AG8">
        <f>N8/$T8</f>
        <v/>
      </c>
      <c r="AH8">
        <f>O8/$T8</f>
        <v/>
      </c>
      <c r="AI8">
        <f>P8/$T8</f>
        <v/>
      </c>
      <c r="AJ8">
        <f>Q8/$T8</f>
        <v/>
      </c>
      <c r="AK8">
        <f>R8/$T8</f>
        <v/>
      </c>
      <c r="AL8">
        <f>S8/$T8</f>
        <v/>
      </c>
      <c r="AM8">
        <f>SUM(V8:AG8)</f>
        <v/>
      </c>
      <c r="AN8">
        <f>SUM(AH8:AL8)</f>
        <v/>
      </c>
    </row>
    <row r="9" ht="15.75" customHeight="1" s="259">
      <c r="T9">
        <f>SUM(C9:S9)</f>
        <v/>
      </c>
      <c r="V9">
        <f>C9/$T9</f>
        <v/>
      </c>
      <c r="W9">
        <f>D9/$T9</f>
        <v/>
      </c>
      <c r="X9">
        <f>E9/$T9</f>
        <v/>
      </c>
      <c r="Y9">
        <f>F9/$T9</f>
        <v/>
      </c>
      <c r="Z9">
        <f>G9/$T9</f>
        <v/>
      </c>
      <c r="AA9">
        <f>H9/$T9</f>
        <v/>
      </c>
      <c r="AB9">
        <f>I9/$T9</f>
        <v/>
      </c>
      <c r="AC9">
        <f>J9/$T9</f>
        <v/>
      </c>
      <c r="AD9">
        <f>K9/$T9</f>
        <v/>
      </c>
      <c r="AE9">
        <f>L9/$T9</f>
        <v/>
      </c>
      <c r="AF9">
        <f>M9/$T9</f>
        <v/>
      </c>
      <c r="AG9">
        <f>N9/$T9</f>
        <v/>
      </c>
      <c r="AH9">
        <f>O9/$T9</f>
        <v/>
      </c>
      <c r="AI9">
        <f>P9/$T9</f>
        <v/>
      </c>
      <c r="AJ9">
        <f>Q9/$T9</f>
        <v/>
      </c>
      <c r="AK9">
        <f>R9/$T9</f>
        <v/>
      </c>
      <c r="AL9">
        <f>S9/$T9</f>
        <v/>
      </c>
      <c r="AM9">
        <f>SUM(V9:AG9)</f>
        <v/>
      </c>
      <c r="AN9">
        <f>SUM(AH9:AL9)</f>
        <v/>
      </c>
    </row>
    <row r="10" ht="15.75" customHeight="1" s="259">
      <c r="T10">
        <f>SUM(C10:S10)</f>
        <v/>
      </c>
      <c r="V10">
        <f>C10/$T10</f>
        <v/>
      </c>
      <c r="W10">
        <f>D10/$T10</f>
        <v/>
      </c>
      <c r="X10">
        <f>E10/$T10</f>
        <v/>
      </c>
      <c r="Y10">
        <f>F10/$T10</f>
        <v/>
      </c>
      <c r="Z10">
        <f>G10/$T10</f>
        <v/>
      </c>
      <c r="AA10">
        <f>H10/$T10</f>
        <v/>
      </c>
      <c r="AB10">
        <f>I10/$T10</f>
        <v/>
      </c>
      <c r="AC10">
        <f>J10/$T10</f>
        <v/>
      </c>
      <c r="AD10">
        <f>K10/$T10</f>
        <v/>
      </c>
      <c r="AE10">
        <f>L10/$T10</f>
        <v/>
      </c>
      <c r="AF10">
        <f>M10/$T10</f>
        <v/>
      </c>
      <c r="AG10">
        <f>N10/$T10</f>
        <v/>
      </c>
      <c r="AH10">
        <f>O10/$T10</f>
        <v/>
      </c>
      <c r="AI10">
        <f>P10/$T10</f>
        <v/>
      </c>
      <c r="AJ10">
        <f>Q10/$T10</f>
        <v/>
      </c>
      <c r="AK10">
        <f>R10/$T10</f>
        <v/>
      </c>
      <c r="AL10">
        <f>S10/$T10</f>
        <v/>
      </c>
      <c r="AM10">
        <f>SUM(V10:AG10)</f>
        <v/>
      </c>
      <c r="AN10">
        <f>SUM(AH10:AL10)</f>
        <v/>
      </c>
    </row>
    <row r="11" ht="15.75" customHeight="1" s="259">
      <c r="T11">
        <f>SUM(C11:S11)</f>
        <v/>
      </c>
      <c r="V11">
        <f>C11/$T11</f>
        <v/>
      </c>
      <c r="W11">
        <f>D11/$T11</f>
        <v/>
      </c>
      <c r="X11">
        <f>E11/$T11</f>
        <v/>
      </c>
      <c r="Y11">
        <f>F11/$T11</f>
        <v/>
      </c>
      <c r="Z11">
        <f>G11/$T11</f>
        <v/>
      </c>
      <c r="AA11">
        <f>H11/$T11</f>
        <v/>
      </c>
      <c r="AB11">
        <f>I11/$T11</f>
        <v/>
      </c>
      <c r="AC11">
        <f>J11/$T11</f>
        <v/>
      </c>
      <c r="AD11">
        <f>K11/$T11</f>
        <v/>
      </c>
      <c r="AE11">
        <f>L11/$T11</f>
        <v/>
      </c>
      <c r="AF11">
        <f>M11/$T11</f>
        <v/>
      </c>
      <c r="AG11">
        <f>N11/$T11</f>
        <v/>
      </c>
      <c r="AH11">
        <f>O11/$T11</f>
        <v/>
      </c>
      <c r="AI11">
        <f>P11/$T11</f>
        <v/>
      </c>
      <c r="AJ11">
        <f>Q11/$T11</f>
        <v/>
      </c>
      <c r="AK11">
        <f>R11/$T11</f>
        <v/>
      </c>
      <c r="AL11">
        <f>S11/$T11</f>
        <v/>
      </c>
      <c r="AM11">
        <f>SUM(V11:AG11)</f>
        <v/>
      </c>
      <c r="AN11">
        <f>SUM(AH11:AL11)</f>
        <v/>
      </c>
    </row>
    <row r="12" ht="15.75" customHeight="1" s="259">
      <c r="T12">
        <f>SUM(C12:S12)</f>
        <v/>
      </c>
      <c r="V12">
        <f>C12/$T12</f>
        <v/>
      </c>
      <c r="W12">
        <f>D12/$T12</f>
        <v/>
      </c>
      <c r="X12">
        <f>E12/$T12</f>
        <v/>
      </c>
      <c r="Y12">
        <f>F12/$T12</f>
        <v/>
      </c>
      <c r="Z12">
        <f>G12/$T12</f>
        <v/>
      </c>
      <c r="AA12">
        <f>H12/$T12</f>
        <v/>
      </c>
      <c r="AB12">
        <f>I12/$T12</f>
        <v/>
      </c>
      <c r="AC12">
        <f>J12/$T12</f>
        <v/>
      </c>
      <c r="AD12">
        <f>K12/$T12</f>
        <v/>
      </c>
      <c r="AE12">
        <f>L12/$T12</f>
        <v/>
      </c>
      <c r="AF12">
        <f>M12/$T12</f>
        <v/>
      </c>
      <c r="AG12">
        <f>N12/$T12</f>
        <v/>
      </c>
      <c r="AH12">
        <f>O12/$T12</f>
        <v/>
      </c>
      <c r="AI12">
        <f>P12/$T12</f>
        <v/>
      </c>
      <c r="AJ12">
        <f>Q12/$T12</f>
        <v/>
      </c>
      <c r="AK12">
        <f>R12/$T12</f>
        <v/>
      </c>
      <c r="AL12">
        <f>S12/$T12</f>
        <v/>
      </c>
      <c r="AM12">
        <f>SUM(V12:AG12)</f>
        <v/>
      </c>
      <c r="AN12">
        <f>SUM(AH12:AL12)</f>
        <v/>
      </c>
    </row>
    <row r="13" ht="15.75" customHeight="1" s="259">
      <c r="T13">
        <f>SUM(C13:S13)</f>
        <v/>
      </c>
      <c r="V13">
        <f>C13/$T13</f>
        <v/>
      </c>
      <c r="W13">
        <f>D13/$T13</f>
        <v/>
      </c>
      <c r="X13">
        <f>E13/$T13</f>
        <v/>
      </c>
      <c r="Y13">
        <f>F13/$T13</f>
        <v/>
      </c>
      <c r="Z13">
        <f>G13/$T13</f>
        <v/>
      </c>
      <c r="AA13">
        <f>H13/$T13</f>
        <v/>
      </c>
      <c r="AB13">
        <f>I13/$T13</f>
        <v/>
      </c>
      <c r="AC13">
        <f>J13/$T13</f>
        <v/>
      </c>
      <c r="AD13">
        <f>K13/$T13</f>
        <v/>
      </c>
      <c r="AE13">
        <f>L13/$T13</f>
        <v/>
      </c>
      <c r="AF13">
        <f>M13/$T13</f>
        <v/>
      </c>
      <c r="AG13">
        <f>N13/$T13</f>
        <v/>
      </c>
      <c r="AH13">
        <f>O13/$T13</f>
        <v/>
      </c>
      <c r="AI13">
        <f>P13/$T13</f>
        <v/>
      </c>
      <c r="AJ13">
        <f>Q13/$T13</f>
        <v/>
      </c>
      <c r="AK13">
        <f>R13/$T13</f>
        <v/>
      </c>
      <c r="AL13">
        <f>S13/$T13</f>
        <v/>
      </c>
      <c r="AM13">
        <f>SUM(V13:AG13)</f>
        <v/>
      </c>
      <c r="AN13">
        <f>SUM(AH13:AL13)</f>
        <v/>
      </c>
    </row>
    <row r="14" ht="15.75" customHeight="1" s="259">
      <c r="T14">
        <f>SUM(C14:S14)</f>
        <v/>
      </c>
      <c r="V14">
        <f>C14/$T14</f>
        <v/>
      </c>
      <c r="W14">
        <f>D14/$T14</f>
        <v/>
      </c>
      <c r="X14">
        <f>E14/$T14</f>
        <v/>
      </c>
      <c r="Y14">
        <f>F14/$T14</f>
        <v/>
      </c>
      <c r="Z14">
        <f>G14/$T14</f>
        <v/>
      </c>
      <c r="AA14">
        <f>H14/$T14</f>
        <v/>
      </c>
      <c r="AB14">
        <f>I14/$T14</f>
        <v/>
      </c>
      <c r="AC14">
        <f>J14/$T14</f>
        <v/>
      </c>
      <c r="AD14">
        <f>K14/$T14</f>
        <v/>
      </c>
      <c r="AE14">
        <f>L14/$T14</f>
        <v/>
      </c>
      <c r="AF14">
        <f>M14/$T14</f>
        <v/>
      </c>
      <c r="AG14">
        <f>N14/$T14</f>
        <v/>
      </c>
      <c r="AH14">
        <f>O14/$T14</f>
        <v/>
      </c>
      <c r="AI14">
        <f>P14/$T14</f>
        <v/>
      </c>
      <c r="AJ14">
        <f>Q14/$T14</f>
        <v/>
      </c>
      <c r="AK14">
        <f>R14/$T14</f>
        <v/>
      </c>
      <c r="AL14">
        <f>S14/$T14</f>
        <v/>
      </c>
      <c r="AM14">
        <f>SUM(V14:AG14)</f>
        <v/>
      </c>
      <c r="AN14">
        <f>SUM(AH14:AL14)</f>
        <v/>
      </c>
    </row>
    <row r="15" ht="15.75" customHeight="1" s="259">
      <c r="T15">
        <f>SUM(C15:S15)</f>
        <v/>
      </c>
      <c r="V15">
        <f>C15/$T15</f>
        <v/>
      </c>
      <c r="W15">
        <f>D15/$T15</f>
        <v/>
      </c>
      <c r="X15">
        <f>E15/$T15</f>
        <v/>
      </c>
      <c r="Y15">
        <f>F15/$T15</f>
        <v/>
      </c>
      <c r="Z15">
        <f>G15/$T15</f>
        <v/>
      </c>
      <c r="AA15">
        <f>H15/$T15</f>
        <v/>
      </c>
      <c r="AB15">
        <f>I15/$T15</f>
        <v/>
      </c>
      <c r="AC15">
        <f>J15/$T15</f>
        <v/>
      </c>
      <c r="AD15">
        <f>K15/$T15</f>
        <v/>
      </c>
      <c r="AE15">
        <f>L15/$T15</f>
        <v/>
      </c>
      <c r="AF15">
        <f>M15/$T15</f>
        <v/>
      </c>
      <c r="AG15">
        <f>N15/$T15</f>
        <v/>
      </c>
      <c r="AH15">
        <f>O15/$T15</f>
        <v/>
      </c>
      <c r="AI15">
        <f>P15/$T15</f>
        <v/>
      </c>
      <c r="AJ15">
        <f>Q15/$T15</f>
        <v/>
      </c>
      <c r="AK15">
        <f>R15/$T15</f>
        <v/>
      </c>
      <c r="AL15">
        <f>S15/$T15</f>
        <v/>
      </c>
      <c r="AM15">
        <f>SUM(V15:AG15)</f>
        <v/>
      </c>
      <c r="AN15">
        <f>SUM(AH15:AL15)</f>
        <v/>
      </c>
    </row>
    <row r="16" ht="15.75" customHeight="1" s="259">
      <c r="T16">
        <f>SUM(C16:S16)</f>
        <v/>
      </c>
      <c r="V16">
        <f>C16/$T16</f>
        <v/>
      </c>
      <c r="W16">
        <f>D16/$T16</f>
        <v/>
      </c>
      <c r="X16">
        <f>E16/$T16</f>
        <v/>
      </c>
      <c r="Y16">
        <f>F16/$T16</f>
        <v/>
      </c>
      <c r="Z16">
        <f>G16/$T16</f>
        <v/>
      </c>
      <c r="AA16">
        <f>H16/$T16</f>
        <v/>
      </c>
      <c r="AB16">
        <f>I16/$T16</f>
        <v/>
      </c>
      <c r="AC16">
        <f>J16/$T16</f>
        <v/>
      </c>
      <c r="AD16">
        <f>K16/$T16</f>
        <v/>
      </c>
      <c r="AE16">
        <f>L16/$T16</f>
        <v/>
      </c>
      <c r="AF16">
        <f>M16/$T16</f>
        <v/>
      </c>
      <c r="AG16">
        <f>N16/$T16</f>
        <v/>
      </c>
      <c r="AH16">
        <f>O16/$T16</f>
        <v/>
      </c>
      <c r="AI16">
        <f>P16/$T16</f>
        <v/>
      </c>
      <c r="AJ16">
        <f>Q16/$T16</f>
        <v/>
      </c>
      <c r="AK16">
        <f>R16/$T16</f>
        <v/>
      </c>
      <c r="AL16">
        <f>S16/$T16</f>
        <v/>
      </c>
      <c r="AM16">
        <f>SUM(V16:AG16)</f>
        <v/>
      </c>
      <c r="AN16">
        <f>SUM(AH16:AL16)</f>
        <v/>
      </c>
    </row>
    <row r="17" ht="15.75" customHeight="1" s="259">
      <c r="T17">
        <f>SUM(C17:S17)</f>
        <v/>
      </c>
      <c r="V17">
        <f>C17/$T17</f>
        <v/>
      </c>
      <c r="W17">
        <f>D17/$T17</f>
        <v/>
      </c>
      <c r="X17">
        <f>E17/$T17</f>
        <v/>
      </c>
      <c r="Y17">
        <f>F17/$T17</f>
        <v/>
      </c>
      <c r="Z17">
        <f>G17/$T17</f>
        <v/>
      </c>
      <c r="AA17">
        <f>H17/$T17</f>
        <v/>
      </c>
      <c r="AB17">
        <f>I17/$T17</f>
        <v/>
      </c>
      <c r="AC17">
        <f>J17/$T17</f>
        <v/>
      </c>
      <c r="AD17">
        <f>K17/$T17</f>
        <v/>
      </c>
      <c r="AE17">
        <f>L17/$T17</f>
        <v/>
      </c>
      <c r="AF17">
        <f>M17/$T17</f>
        <v/>
      </c>
      <c r="AG17">
        <f>N17/$T17</f>
        <v/>
      </c>
      <c r="AH17">
        <f>O17/$T17</f>
        <v/>
      </c>
      <c r="AI17">
        <f>P17/$T17</f>
        <v/>
      </c>
      <c r="AJ17">
        <f>Q17/$T17</f>
        <v/>
      </c>
      <c r="AK17">
        <f>R17/$T17</f>
        <v/>
      </c>
      <c r="AL17">
        <f>S17/$T17</f>
        <v/>
      </c>
      <c r="AM17">
        <f>SUM(V17:AG17)</f>
        <v/>
      </c>
      <c r="AN17">
        <f>SUM(AH17:AL17)</f>
        <v/>
      </c>
    </row>
    <row r="18" ht="15.75" customHeight="1" s="259">
      <c r="T18">
        <f>SUM(C18:S18)</f>
        <v/>
      </c>
      <c r="V18">
        <f>C18/$T18</f>
        <v/>
      </c>
      <c r="W18">
        <f>D18/$T18</f>
        <v/>
      </c>
      <c r="X18">
        <f>E18/$T18</f>
        <v/>
      </c>
      <c r="Y18">
        <f>F18/$T18</f>
        <v/>
      </c>
      <c r="Z18">
        <f>G18/$T18</f>
        <v/>
      </c>
      <c r="AA18">
        <f>H18/$T18</f>
        <v/>
      </c>
      <c r="AB18">
        <f>I18/$T18</f>
        <v/>
      </c>
      <c r="AC18">
        <f>J18/$T18</f>
        <v/>
      </c>
      <c r="AD18">
        <f>K18/$T18</f>
        <v/>
      </c>
      <c r="AE18">
        <f>L18/$T18</f>
        <v/>
      </c>
      <c r="AF18">
        <f>M18/$T18</f>
        <v/>
      </c>
      <c r="AG18">
        <f>N18/$T18</f>
        <v/>
      </c>
      <c r="AH18">
        <f>O18/$T18</f>
        <v/>
      </c>
      <c r="AI18">
        <f>P18/$T18</f>
        <v/>
      </c>
      <c r="AJ18">
        <f>Q18/$T18</f>
        <v/>
      </c>
      <c r="AK18">
        <f>R18/$T18</f>
        <v/>
      </c>
      <c r="AL18">
        <f>S18/$T18</f>
        <v/>
      </c>
      <c r="AM18">
        <f>SUM(V18:AG18)</f>
        <v/>
      </c>
      <c r="AN18">
        <f>SUM(AH18:AL18)</f>
        <v/>
      </c>
    </row>
    <row r="19" ht="15.75" customHeight="1" s="259">
      <c r="T19">
        <f>SUM(C19:S19)</f>
        <v/>
      </c>
      <c r="V19">
        <f>C19/$T19</f>
        <v/>
      </c>
      <c r="W19">
        <f>D19/$T19</f>
        <v/>
      </c>
      <c r="X19">
        <f>E19/$T19</f>
        <v/>
      </c>
      <c r="Y19">
        <f>F19/$T19</f>
        <v/>
      </c>
      <c r="Z19">
        <f>G19/$T19</f>
        <v/>
      </c>
      <c r="AA19">
        <f>H19/$T19</f>
        <v/>
      </c>
      <c r="AB19">
        <f>I19/$T19</f>
        <v/>
      </c>
      <c r="AC19">
        <f>J19/$T19</f>
        <v/>
      </c>
      <c r="AD19">
        <f>K19/$T19</f>
        <v/>
      </c>
      <c r="AE19">
        <f>L19/$T19</f>
        <v/>
      </c>
      <c r="AF19">
        <f>M19/$T19</f>
        <v/>
      </c>
      <c r="AG19">
        <f>N19/$T19</f>
        <v/>
      </c>
      <c r="AH19">
        <f>O19/$T19</f>
        <v/>
      </c>
      <c r="AI19">
        <f>P19/$T19</f>
        <v/>
      </c>
      <c r="AJ19">
        <f>Q19/$T19</f>
        <v/>
      </c>
      <c r="AK19">
        <f>R19/$T19</f>
        <v/>
      </c>
      <c r="AL19">
        <f>S19/$T19</f>
        <v/>
      </c>
      <c r="AM19">
        <f>SUM(V19:AG19)</f>
        <v/>
      </c>
      <c r="AN19">
        <f>SUM(AH19:AL19)</f>
        <v/>
      </c>
    </row>
    <row r="20" ht="15.75" customHeight="1" s="259">
      <c r="T20">
        <f>SUM(C20:S20)</f>
        <v/>
      </c>
      <c r="V20">
        <f>C20/$T20</f>
        <v/>
      </c>
      <c r="W20">
        <f>D20/$T20</f>
        <v/>
      </c>
      <c r="X20">
        <f>E20/$T20</f>
        <v/>
      </c>
      <c r="Y20">
        <f>F20/$T20</f>
        <v/>
      </c>
      <c r="Z20">
        <f>G20/$T20</f>
        <v/>
      </c>
      <c r="AA20">
        <f>H20/$T20</f>
        <v/>
      </c>
      <c r="AB20">
        <f>I20/$T20</f>
        <v/>
      </c>
      <c r="AC20">
        <f>J20/$T20</f>
        <v/>
      </c>
      <c r="AD20">
        <f>K20/$T20</f>
        <v/>
      </c>
      <c r="AE20">
        <f>L20/$T20</f>
        <v/>
      </c>
      <c r="AF20">
        <f>M20/$T20</f>
        <v/>
      </c>
      <c r="AG20">
        <f>N20/$T20</f>
        <v/>
      </c>
      <c r="AH20">
        <f>O20/$T20</f>
        <v/>
      </c>
      <c r="AI20">
        <f>P20/$T20</f>
        <v/>
      </c>
      <c r="AJ20">
        <f>Q20/$T20</f>
        <v/>
      </c>
      <c r="AK20">
        <f>R20/$T20</f>
        <v/>
      </c>
      <c r="AL20">
        <f>S20/$T20</f>
        <v/>
      </c>
      <c r="AM20">
        <f>SUM(V20:AG20)</f>
        <v/>
      </c>
      <c r="AN20">
        <f>SUM(AH20:AL20)</f>
        <v/>
      </c>
    </row>
    <row r="21" ht="15.75" customHeight="1" s="259">
      <c r="T21">
        <f>SUM(C21:S21)</f>
        <v/>
      </c>
      <c r="V21">
        <f>C21/$T21</f>
        <v/>
      </c>
      <c r="W21">
        <f>D21/$T21</f>
        <v/>
      </c>
      <c r="X21">
        <f>E21/$T21</f>
        <v/>
      </c>
      <c r="Y21">
        <f>F21/$T21</f>
        <v/>
      </c>
      <c r="Z21">
        <f>G21/$T21</f>
        <v/>
      </c>
      <c r="AA21">
        <f>H21/$T21</f>
        <v/>
      </c>
      <c r="AB21">
        <f>I21/$T21</f>
        <v/>
      </c>
      <c r="AC21">
        <f>J21/$T21</f>
        <v/>
      </c>
      <c r="AD21">
        <f>K21/$T21</f>
        <v/>
      </c>
      <c r="AE21">
        <f>L21/$T21</f>
        <v/>
      </c>
      <c r="AF21">
        <f>M21/$T21</f>
        <v/>
      </c>
      <c r="AG21">
        <f>N21/$T21</f>
        <v/>
      </c>
      <c r="AH21">
        <f>O21/$T21</f>
        <v/>
      </c>
      <c r="AI21">
        <f>P21/$T21</f>
        <v/>
      </c>
      <c r="AJ21">
        <f>Q21/$T21</f>
        <v/>
      </c>
      <c r="AK21">
        <f>R21/$T21</f>
        <v/>
      </c>
      <c r="AL21">
        <f>S21/$T21</f>
        <v/>
      </c>
      <c r="AM21">
        <f>SUM(V21:AG21)</f>
        <v/>
      </c>
      <c r="AN21">
        <f>SUM(AH21:AL21)</f>
        <v/>
      </c>
    </row>
    <row r="22" ht="15.75" customHeight="1" s="259">
      <c r="T22">
        <f>SUM(C22:S22)</f>
        <v/>
      </c>
      <c r="V22">
        <f>C22/$T22</f>
        <v/>
      </c>
      <c r="W22">
        <f>D22/$T22</f>
        <v/>
      </c>
      <c r="X22">
        <f>E22/$T22</f>
        <v/>
      </c>
      <c r="Y22">
        <f>F22/$T22</f>
        <v/>
      </c>
      <c r="Z22">
        <f>G22/$T22</f>
        <v/>
      </c>
      <c r="AA22">
        <f>H22/$T22</f>
        <v/>
      </c>
      <c r="AB22">
        <f>I22/$T22</f>
        <v/>
      </c>
      <c r="AC22">
        <f>J22/$T22</f>
        <v/>
      </c>
      <c r="AD22">
        <f>K22/$T22</f>
        <v/>
      </c>
      <c r="AE22">
        <f>L22/$T22</f>
        <v/>
      </c>
      <c r="AF22">
        <f>M22/$T22</f>
        <v/>
      </c>
      <c r="AG22">
        <f>N22/$T22</f>
        <v/>
      </c>
      <c r="AH22">
        <f>O22/$T22</f>
        <v/>
      </c>
      <c r="AI22">
        <f>P22/$T22</f>
        <v/>
      </c>
      <c r="AJ22">
        <f>Q22/$T22</f>
        <v/>
      </c>
      <c r="AK22">
        <f>R22/$T22</f>
        <v/>
      </c>
      <c r="AL22">
        <f>S22/$T22</f>
        <v/>
      </c>
      <c r="AM22">
        <f>SUM(V22:AG22)</f>
        <v/>
      </c>
      <c r="AN22">
        <f>SUM(AH22:AL22)</f>
        <v/>
      </c>
    </row>
    <row r="23" ht="15.75" customHeight="1" s="259">
      <c r="T23">
        <f>SUM(C23:S23)</f>
        <v/>
      </c>
      <c r="V23">
        <f>C23/$T23</f>
        <v/>
      </c>
      <c r="W23">
        <f>D23/$T23</f>
        <v/>
      </c>
      <c r="X23">
        <f>E23/$T23</f>
        <v/>
      </c>
      <c r="Y23">
        <f>F23/$T23</f>
        <v/>
      </c>
      <c r="Z23">
        <f>G23/$T23</f>
        <v/>
      </c>
      <c r="AA23">
        <f>H23/$T23</f>
        <v/>
      </c>
      <c r="AB23">
        <f>I23/$T23</f>
        <v/>
      </c>
      <c r="AC23">
        <f>J23/$T23</f>
        <v/>
      </c>
      <c r="AD23">
        <f>K23/$T23</f>
        <v/>
      </c>
      <c r="AE23">
        <f>L23/$T23</f>
        <v/>
      </c>
      <c r="AF23">
        <f>M23/$T23</f>
        <v/>
      </c>
      <c r="AG23">
        <f>N23/$T23</f>
        <v/>
      </c>
      <c r="AH23">
        <f>O23/$T23</f>
        <v/>
      </c>
      <c r="AI23">
        <f>P23/$T23</f>
        <v/>
      </c>
      <c r="AJ23">
        <f>Q23/$T23</f>
        <v/>
      </c>
      <c r="AK23">
        <f>R23/$T23</f>
        <v/>
      </c>
      <c r="AL23">
        <f>S23/$T23</f>
        <v/>
      </c>
      <c r="AM23">
        <f>SUM(V23:AG23)</f>
        <v/>
      </c>
      <c r="AN23">
        <f>SUM(AH23:AL23)</f>
        <v/>
      </c>
    </row>
    <row r="24" ht="15.75" customHeight="1" s="259">
      <c r="T24">
        <f>SUM(C24:S24)</f>
        <v/>
      </c>
      <c r="V24">
        <f>C24/$T24</f>
        <v/>
      </c>
      <c r="W24">
        <f>D24/$T24</f>
        <v/>
      </c>
      <c r="X24">
        <f>E24/$T24</f>
        <v/>
      </c>
      <c r="Y24">
        <f>F24/$T24</f>
        <v/>
      </c>
      <c r="Z24">
        <f>G24/$T24</f>
        <v/>
      </c>
      <c r="AA24">
        <f>H24/$T24</f>
        <v/>
      </c>
      <c r="AB24">
        <f>I24/$T24</f>
        <v/>
      </c>
      <c r="AC24">
        <f>J24/$T24</f>
        <v/>
      </c>
      <c r="AD24">
        <f>K24/$T24</f>
        <v/>
      </c>
      <c r="AE24">
        <f>L24/$T24</f>
        <v/>
      </c>
      <c r="AF24">
        <f>M24/$T24</f>
        <v/>
      </c>
      <c r="AG24">
        <f>N24/$T24</f>
        <v/>
      </c>
      <c r="AH24">
        <f>O24/$T24</f>
        <v/>
      </c>
      <c r="AI24">
        <f>P24/$T24</f>
        <v/>
      </c>
      <c r="AJ24">
        <f>Q24/$T24</f>
        <v/>
      </c>
      <c r="AK24">
        <f>R24/$T24</f>
        <v/>
      </c>
      <c r="AL24">
        <f>S24/$T24</f>
        <v/>
      </c>
      <c r="AM24">
        <f>SUM(V24:AG24)</f>
        <v/>
      </c>
      <c r="AN24">
        <f>SUM(AH24:AL24)</f>
        <v/>
      </c>
    </row>
    <row r="25" ht="15.75" customHeight="1" s="259">
      <c r="T25">
        <f>SUM(C25:S25)</f>
        <v/>
      </c>
      <c r="V25">
        <f>C25/$T25</f>
        <v/>
      </c>
      <c r="W25">
        <f>D25/$T25</f>
        <v/>
      </c>
      <c r="X25">
        <f>E25/$T25</f>
        <v/>
      </c>
      <c r="Y25">
        <f>F25/$T25</f>
        <v/>
      </c>
      <c r="Z25">
        <f>G25/$T25</f>
        <v/>
      </c>
      <c r="AA25">
        <f>H25/$T25</f>
        <v/>
      </c>
      <c r="AB25">
        <f>I25/$T25</f>
        <v/>
      </c>
      <c r="AC25">
        <f>J25/$T25</f>
        <v/>
      </c>
      <c r="AD25">
        <f>K25/$T25</f>
        <v/>
      </c>
      <c r="AE25">
        <f>L25/$T25</f>
        <v/>
      </c>
      <c r="AF25">
        <f>M25/$T25</f>
        <v/>
      </c>
      <c r="AG25">
        <f>N25/$T25</f>
        <v/>
      </c>
      <c r="AH25">
        <f>O25/$T25</f>
        <v/>
      </c>
      <c r="AI25">
        <f>P25/$T25</f>
        <v/>
      </c>
      <c r="AJ25">
        <f>Q25/$T25</f>
        <v/>
      </c>
      <c r="AK25">
        <f>R25/$T25</f>
        <v/>
      </c>
      <c r="AL25">
        <f>S25/$T25</f>
        <v/>
      </c>
      <c r="AM25">
        <f>SUM(V25:AG25)</f>
        <v/>
      </c>
      <c r="AN25">
        <f>SUM(AH25:AL25)</f>
        <v/>
      </c>
    </row>
    <row r="26" ht="15.75" customHeight="1" s="259">
      <c r="T26">
        <f>SUM(C26:S26)</f>
        <v/>
      </c>
      <c r="V26">
        <f>C26/$T26</f>
        <v/>
      </c>
      <c r="W26">
        <f>D26/$T26</f>
        <v/>
      </c>
      <c r="X26">
        <f>E26/$T26</f>
        <v/>
      </c>
      <c r="Y26">
        <f>F26/$T26</f>
        <v/>
      </c>
      <c r="Z26">
        <f>G26/$T26</f>
        <v/>
      </c>
      <c r="AA26">
        <f>H26/$T26</f>
        <v/>
      </c>
      <c r="AB26">
        <f>I26/$T26</f>
        <v/>
      </c>
      <c r="AC26">
        <f>J26/$T26</f>
        <v/>
      </c>
      <c r="AD26">
        <f>K26/$T26</f>
        <v/>
      </c>
      <c r="AE26">
        <f>L26/$T26</f>
        <v/>
      </c>
      <c r="AF26">
        <f>M26/$T26</f>
        <v/>
      </c>
      <c r="AG26">
        <f>N26/$T26</f>
        <v/>
      </c>
      <c r="AH26">
        <f>O26/$T26</f>
        <v/>
      </c>
      <c r="AI26">
        <f>P26/$T26</f>
        <v/>
      </c>
      <c r="AJ26">
        <f>Q26/$T26</f>
        <v/>
      </c>
      <c r="AK26">
        <f>R26/$T26</f>
        <v/>
      </c>
      <c r="AL26">
        <f>S26/$T26</f>
        <v/>
      </c>
      <c r="AM26">
        <f>SUM(V26:AG26)</f>
        <v/>
      </c>
      <c r="AN26">
        <f>SUM(AH26:AL26)</f>
        <v/>
      </c>
    </row>
    <row r="27" ht="15.75" customHeight="1" s="259">
      <c r="T27">
        <f>SUM(C27:S27)</f>
        <v/>
      </c>
      <c r="V27">
        <f>C27/$T27</f>
        <v/>
      </c>
      <c r="W27">
        <f>D27/$T27</f>
        <v/>
      </c>
      <c r="X27">
        <f>E27/$T27</f>
        <v/>
      </c>
      <c r="Y27">
        <f>F27/$T27</f>
        <v/>
      </c>
      <c r="Z27">
        <f>G27/$T27</f>
        <v/>
      </c>
      <c r="AA27">
        <f>H27/$T27</f>
        <v/>
      </c>
      <c r="AB27">
        <f>I27/$T27</f>
        <v/>
      </c>
      <c r="AC27">
        <f>J27/$T27</f>
        <v/>
      </c>
      <c r="AD27">
        <f>K27/$T27</f>
        <v/>
      </c>
      <c r="AE27">
        <f>L27/$T27</f>
        <v/>
      </c>
      <c r="AF27">
        <f>M27/$T27</f>
        <v/>
      </c>
      <c r="AG27">
        <f>N27/$T27</f>
        <v/>
      </c>
      <c r="AH27">
        <f>O27/$T27</f>
        <v/>
      </c>
      <c r="AI27">
        <f>P27/$T27</f>
        <v/>
      </c>
      <c r="AJ27">
        <f>Q27/$T27</f>
        <v/>
      </c>
      <c r="AK27">
        <f>R27/$T27</f>
        <v/>
      </c>
      <c r="AL27">
        <f>S27/$T27</f>
        <v/>
      </c>
      <c r="AM27">
        <f>SUM(V27:AG27)</f>
        <v/>
      </c>
      <c r="AN27">
        <f>SUM(AH27:AL27)</f>
        <v/>
      </c>
    </row>
    <row r="28" ht="15.75" customHeight="1" s="259">
      <c r="T28">
        <f>SUM(C28:S28)</f>
        <v/>
      </c>
      <c r="V28">
        <f>C28/$T28</f>
        <v/>
      </c>
      <c r="W28">
        <f>D28/$T28</f>
        <v/>
      </c>
      <c r="X28">
        <f>E28/$T28</f>
        <v/>
      </c>
      <c r="Y28">
        <f>F28/$T28</f>
        <v/>
      </c>
      <c r="Z28">
        <f>G28/$T28</f>
        <v/>
      </c>
      <c r="AA28">
        <f>H28/$T28</f>
        <v/>
      </c>
      <c r="AB28">
        <f>I28/$T28</f>
        <v/>
      </c>
      <c r="AC28">
        <f>J28/$T28</f>
        <v/>
      </c>
      <c r="AD28">
        <f>K28/$T28</f>
        <v/>
      </c>
      <c r="AE28">
        <f>L28/$T28</f>
        <v/>
      </c>
      <c r="AF28">
        <f>M28/$T28</f>
        <v/>
      </c>
      <c r="AG28">
        <f>N28/$T28</f>
        <v/>
      </c>
      <c r="AH28">
        <f>O28/$T28</f>
        <v/>
      </c>
      <c r="AI28">
        <f>P28/$T28</f>
        <v/>
      </c>
      <c r="AJ28">
        <f>Q28/$T28</f>
        <v/>
      </c>
      <c r="AK28">
        <f>R28/$T28</f>
        <v/>
      </c>
      <c r="AL28">
        <f>S28/$T28</f>
        <v/>
      </c>
      <c r="AM28">
        <f>SUM(V28:AG28)</f>
        <v/>
      </c>
      <c r="AN28">
        <f>SUM(AH28:AL28)</f>
        <v/>
      </c>
    </row>
    <row r="29" ht="15.75" customHeight="1" s="259">
      <c r="T29">
        <f>SUM(C29:S29)</f>
        <v/>
      </c>
      <c r="V29">
        <f>C29/$T29</f>
        <v/>
      </c>
      <c r="W29">
        <f>D29/$T29</f>
        <v/>
      </c>
      <c r="X29">
        <f>E29/$T29</f>
        <v/>
      </c>
      <c r="Y29">
        <f>F29/$T29</f>
        <v/>
      </c>
      <c r="Z29">
        <f>G29/$T29</f>
        <v/>
      </c>
      <c r="AA29">
        <f>H29/$T29</f>
        <v/>
      </c>
      <c r="AB29">
        <f>I29/$T29</f>
        <v/>
      </c>
      <c r="AC29">
        <f>J29/$T29</f>
        <v/>
      </c>
      <c r="AD29">
        <f>K29/$T29</f>
        <v/>
      </c>
      <c r="AE29">
        <f>L29/$T29</f>
        <v/>
      </c>
      <c r="AF29">
        <f>M29/$T29</f>
        <v/>
      </c>
      <c r="AG29">
        <f>N29/$T29</f>
        <v/>
      </c>
      <c r="AH29">
        <f>O29/$T29</f>
        <v/>
      </c>
      <c r="AI29">
        <f>P29/$T29</f>
        <v/>
      </c>
      <c r="AJ29">
        <f>Q29/$T29</f>
        <v/>
      </c>
      <c r="AK29">
        <f>R29/$T29</f>
        <v/>
      </c>
      <c r="AL29">
        <f>S29/$T29</f>
        <v/>
      </c>
      <c r="AM29">
        <f>SUM(V29:AG29)</f>
        <v/>
      </c>
      <c r="AN29">
        <f>SUM(AH29:AL29)</f>
        <v/>
      </c>
    </row>
    <row r="30" ht="15.75" customHeight="1" s="259">
      <c r="T30">
        <f>SUM(C30:S30)</f>
        <v/>
      </c>
      <c r="V30">
        <f>C30/$T30</f>
        <v/>
      </c>
      <c r="W30">
        <f>D30/$T30</f>
        <v/>
      </c>
      <c r="X30">
        <f>E30/$T30</f>
        <v/>
      </c>
      <c r="Y30">
        <f>F30/$T30</f>
        <v/>
      </c>
      <c r="Z30">
        <f>G30/$T30</f>
        <v/>
      </c>
      <c r="AA30">
        <f>H30/$T30</f>
        <v/>
      </c>
      <c r="AB30">
        <f>I30/$T30</f>
        <v/>
      </c>
      <c r="AC30">
        <f>J30/$T30</f>
        <v/>
      </c>
      <c r="AD30">
        <f>K30/$T30</f>
        <v/>
      </c>
      <c r="AE30">
        <f>L30/$T30</f>
        <v/>
      </c>
      <c r="AF30">
        <f>M30/$T30</f>
        <v/>
      </c>
      <c r="AG30">
        <f>N30/$T30</f>
        <v/>
      </c>
      <c r="AH30">
        <f>O30/$T30</f>
        <v/>
      </c>
      <c r="AI30">
        <f>P30/$T30</f>
        <v/>
      </c>
      <c r="AJ30">
        <f>Q30/$T30</f>
        <v/>
      </c>
      <c r="AK30">
        <f>R30/$T30</f>
        <v/>
      </c>
      <c r="AL30">
        <f>S30/$T30</f>
        <v/>
      </c>
      <c r="AM30">
        <f>SUM(V30:AG30)</f>
        <v/>
      </c>
      <c r="AN30">
        <f>SUM(AH30:AL30)</f>
        <v/>
      </c>
    </row>
    <row r="31" ht="15.75" customHeight="1" s="259">
      <c r="T31">
        <f>SUM(C31:S31)</f>
        <v/>
      </c>
      <c r="V31">
        <f>C31/$T31</f>
        <v/>
      </c>
      <c r="W31">
        <f>D31/$T31</f>
        <v/>
      </c>
      <c r="X31">
        <f>E31/$T31</f>
        <v/>
      </c>
      <c r="Y31">
        <f>F31/$T31</f>
        <v/>
      </c>
      <c r="Z31">
        <f>G31/$T31</f>
        <v/>
      </c>
      <c r="AA31">
        <f>H31/$T31</f>
        <v/>
      </c>
      <c r="AB31">
        <f>I31/$T31</f>
        <v/>
      </c>
      <c r="AC31">
        <f>J31/$T31</f>
        <v/>
      </c>
      <c r="AD31">
        <f>K31/$T31</f>
        <v/>
      </c>
      <c r="AE31">
        <f>L31/$T31</f>
        <v/>
      </c>
      <c r="AF31">
        <f>M31/$T31</f>
        <v/>
      </c>
      <c r="AG31">
        <f>N31/$T31</f>
        <v/>
      </c>
      <c r="AH31">
        <f>O31/$T31</f>
        <v/>
      </c>
      <c r="AI31">
        <f>P31/$T31</f>
        <v/>
      </c>
      <c r="AJ31">
        <f>Q31/$T31</f>
        <v/>
      </c>
      <c r="AK31">
        <f>R31/$T31</f>
        <v/>
      </c>
      <c r="AL31">
        <f>S31/$T31</f>
        <v/>
      </c>
      <c r="AM31">
        <f>SUM(V31:AG31)</f>
        <v/>
      </c>
      <c r="AN31">
        <f>SUM(AH31:AL31)</f>
        <v/>
      </c>
    </row>
    <row r="32" ht="15.75" customHeight="1" s="259">
      <c r="T32">
        <f>SUM(C32:S32)</f>
        <v/>
      </c>
      <c r="V32">
        <f>C32/$T32</f>
        <v/>
      </c>
      <c r="W32">
        <f>D32/$T32</f>
        <v/>
      </c>
      <c r="X32">
        <f>E32/$T32</f>
        <v/>
      </c>
      <c r="Y32">
        <f>F32/$T32</f>
        <v/>
      </c>
      <c r="Z32">
        <f>G32/$T32</f>
        <v/>
      </c>
      <c r="AA32">
        <f>H32/$T32</f>
        <v/>
      </c>
      <c r="AB32">
        <f>I32/$T32</f>
        <v/>
      </c>
      <c r="AC32">
        <f>J32/$T32</f>
        <v/>
      </c>
      <c r="AD32">
        <f>K32/$T32</f>
        <v/>
      </c>
      <c r="AE32">
        <f>L32/$T32</f>
        <v/>
      </c>
      <c r="AF32">
        <f>M32/$T32</f>
        <v/>
      </c>
      <c r="AG32">
        <f>N32/$T32</f>
        <v/>
      </c>
      <c r="AH32">
        <f>O32/$T32</f>
        <v/>
      </c>
      <c r="AI32">
        <f>P32/$T32</f>
        <v/>
      </c>
      <c r="AJ32">
        <f>Q32/$T32</f>
        <v/>
      </c>
      <c r="AK32">
        <f>R32/$T32</f>
        <v/>
      </c>
      <c r="AL32">
        <f>S32/$T32</f>
        <v/>
      </c>
      <c r="AM32">
        <f>SUM(V32:AG32)</f>
        <v/>
      </c>
      <c r="AN32">
        <f>SUM(AH32:AL32)</f>
        <v/>
      </c>
    </row>
    <row r="33" ht="15.75" customHeight="1" s="259">
      <c r="T33">
        <f>SUM(C33:S33)</f>
        <v/>
      </c>
      <c r="V33">
        <f>C33/$T33</f>
        <v/>
      </c>
      <c r="W33">
        <f>D33/$T33</f>
        <v/>
      </c>
      <c r="X33">
        <f>E33/$T33</f>
        <v/>
      </c>
      <c r="Y33">
        <f>F33/$T33</f>
        <v/>
      </c>
      <c r="Z33">
        <f>G33/$T33</f>
        <v/>
      </c>
      <c r="AA33">
        <f>H33/$T33</f>
        <v/>
      </c>
      <c r="AB33">
        <f>I33/$T33</f>
        <v/>
      </c>
      <c r="AC33">
        <f>J33/$T33</f>
        <v/>
      </c>
      <c r="AD33">
        <f>K33/$T33</f>
        <v/>
      </c>
      <c r="AE33">
        <f>L33/$T33</f>
        <v/>
      </c>
      <c r="AF33">
        <f>M33/$T33</f>
        <v/>
      </c>
      <c r="AG33">
        <f>N33/$T33</f>
        <v/>
      </c>
      <c r="AH33">
        <f>O33/$T33</f>
        <v/>
      </c>
      <c r="AI33">
        <f>P33/$T33</f>
        <v/>
      </c>
      <c r="AJ33">
        <f>Q33/$T33</f>
        <v/>
      </c>
      <c r="AK33">
        <f>R33/$T33</f>
        <v/>
      </c>
      <c r="AL33">
        <f>S33/$T33</f>
        <v/>
      </c>
      <c r="AM33">
        <f>SUM(V33:AG33)</f>
        <v/>
      </c>
      <c r="AN33">
        <f>SUM(AH33:AL33)</f>
        <v/>
      </c>
    </row>
    <row r="34" ht="15.75" customHeight="1" s="259">
      <c r="T34">
        <f>SUM(C34:S34)</f>
        <v/>
      </c>
      <c r="V34">
        <f>C34/$T34</f>
        <v/>
      </c>
      <c r="W34">
        <f>D34/$T34</f>
        <v/>
      </c>
      <c r="X34">
        <f>E34/$T34</f>
        <v/>
      </c>
      <c r="Y34">
        <f>F34/$T34</f>
        <v/>
      </c>
      <c r="Z34">
        <f>G34/$T34</f>
        <v/>
      </c>
      <c r="AA34">
        <f>H34/$T34</f>
        <v/>
      </c>
      <c r="AB34">
        <f>I34/$T34</f>
        <v/>
      </c>
      <c r="AC34">
        <f>J34/$T34</f>
        <v/>
      </c>
      <c r="AD34">
        <f>K34/$T34</f>
        <v/>
      </c>
      <c r="AE34">
        <f>L34/$T34</f>
        <v/>
      </c>
      <c r="AF34">
        <f>M34/$T34</f>
        <v/>
      </c>
      <c r="AG34">
        <f>N34/$T34</f>
        <v/>
      </c>
      <c r="AH34">
        <f>O34/$T34</f>
        <v/>
      </c>
      <c r="AI34">
        <f>P34/$T34</f>
        <v/>
      </c>
      <c r="AJ34">
        <f>Q34/$T34</f>
        <v/>
      </c>
      <c r="AK34">
        <f>R34/$T34</f>
        <v/>
      </c>
      <c r="AL34">
        <f>S34/$T34</f>
        <v/>
      </c>
      <c r="AM34">
        <f>SUM(V34:AG34)</f>
        <v/>
      </c>
      <c r="AN34">
        <f>SUM(AH34:AL34)</f>
        <v/>
      </c>
    </row>
    <row r="35" ht="15.75" customHeight="1" s="259">
      <c r="T35">
        <f>SUM(C35:S35)</f>
        <v/>
      </c>
      <c r="V35">
        <f>C35/$T35</f>
        <v/>
      </c>
      <c r="W35">
        <f>D35/$T35</f>
        <v/>
      </c>
      <c r="X35">
        <f>E35/$T35</f>
        <v/>
      </c>
      <c r="Y35">
        <f>F35/$T35</f>
        <v/>
      </c>
      <c r="Z35">
        <f>G35/$T35</f>
        <v/>
      </c>
      <c r="AA35">
        <f>H35/$T35</f>
        <v/>
      </c>
      <c r="AB35">
        <f>I35/$T35</f>
        <v/>
      </c>
      <c r="AC35">
        <f>J35/$T35</f>
        <v/>
      </c>
      <c r="AD35">
        <f>K35/$T35</f>
        <v/>
      </c>
      <c r="AE35">
        <f>L35/$T35</f>
        <v/>
      </c>
      <c r="AF35">
        <f>M35/$T35</f>
        <v/>
      </c>
      <c r="AG35">
        <f>N35/$T35</f>
        <v/>
      </c>
      <c r="AH35">
        <f>O35/$T35</f>
        <v/>
      </c>
      <c r="AI35">
        <f>P35/$T35</f>
        <v/>
      </c>
      <c r="AJ35">
        <f>Q35/$T35</f>
        <v/>
      </c>
      <c r="AK35">
        <f>R35/$T35</f>
        <v/>
      </c>
      <c r="AL35">
        <f>S35/$T35</f>
        <v/>
      </c>
      <c r="AM35">
        <f>SUM(V35:AG35)</f>
        <v/>
      </c>
      <c r="AN35">
        <f>SUM(AH35:AL35)</f>
        <v/>
      </c>
    </row>
    <row r="36" ht="15.75" customHeight="1" s="259">
      <c r="T36">
        <f>SUM(C36:S36)</f>
        <v/>
      </c>
      <c r="V36">
        <f>C36/$T36</f>
        <v/>
      </c>
      <c r="W36">
        <f>D36/$T36</f>
        <v/>
      </c>
      <c r="X36">
        <f>E36/$T36</f>
        <v/>
      </c>
      <c r="Y36">
        <f>F36/$T36</f>
        <v/>
      </c>
      <c r="Z36">
        <f>G36/$T36</f>
        <v/>
      </c>
      <c r="AA36">
        <f>H36/$T36</f>
        <v/>
      </c>
      <c r="AB36">
        <f>I36/$T36</f>
        <v/>
      </c>
      <c r="AC36">
        <f>J36/$T36</f>
        <v/>
      </c>
      <c r="AD36">
        <f>K36/$T36</f>
        <v/>
      </c>
      <c r="AE36">
        <f>L36/$T36</f>
        <v/>
      </c>
      <c r="AF36">
        <f>M36/$T36</f>
        <v/>
      </c>
      <c r="AG36">
        <f>N36/$T36</f>
        <v/>
      </c>
      <c r="AH36">
        <f>O36/$T36</f>
        <v/>
      </c>
      <c r="AI36">
        <f>P36/$T36</f>
        <v/>
      </c>
      <c r="AJ36">
        <f>Q36/$T36</f>
        <v/>
      </c>
      <c r="AK36">
        <f>R36/$T36</f>
        <v/>
      </c>
      <c r="AL36">
        <f>S36/$T36</f>
        <v/>
      </c>
      <c r="AM36">
        <f>SUM(V36:AG36)</f>
        <v/>
      </c>
      <c r="AN36">
        <f>SUM(AH36:AL36)</f>
        <v/>
      </c>
    </row>
    <row r="37" ht="15.75" customHeight="1" s="259">
      <c r="T37">
        <f>SUM(C37:S37)</f>
        <v/>
      </c>
      <c r="V37">
        <f>C37/$T37</f>
        <v/>
      </c>
      <c r="W37">
        <f>D37/$T37</f>
        <v/>
      </c>
      <c r="X37">
        <f>E37/$T37</f>
        <v/>
      </c>
      <c r="Y37">
        <f>F37/$T37</f>
        <v/>
      </c>
      <c r="Z37">
        <f>G37/$T37</f>
        <v/>
      </c>
      <c r="AA37">
        <f>H37/$T37</f>
        <v/>
      </c>
      <c r="AB37">
        <f>I37/$T37</f>
        <v/>
      </c>
      <c r="AC37">
        <f>J37/$T37</f>
        <v/>
      </c>
      <c r="AD37">
        <f>K37/$T37</f>
        <v/>
      </c>
      <c r="AE37">
        <f>L37/$T37</f>
        <v/>
      </c>
      <c r="AF37">
        <f>M37/$T37</f>
        <v/>
      </c>
      <c r="AG37">
        <f>N37/$T37</f>
        <v/>
      </c>
      <c r="AH37">
        <f>O37/$T37</f>
        <v/>
      </c>
      <c r="AI37">
        <f>P37/$T37</f>
        <v/>
      </c>
      <c r="AJ37">
        <f>Q37/$T37</f>
        <v/>
      </c>
      <c r="AK37">
        <f>R37/$T37</f>
        <v/>
      </c>
      <c r="AL37">
        <f>S37/$T37</f>
        <v/>
      </c>
      <c r="AM37">
        <f>SUM(V37:AG37)</f>
        <v/>
      </c>
      <c r="AN37">
        <f>SUM(AH37:AL37)</f>
        <v/>
      </c>
    </row>
    <row r="38" ht="15.75" customHeight="1" s="259">
      <c r="T38">
        <f>SUM(C38:S38)</f>
        <v/>
      </c>
      <c r="V38">
        <f>C38/$T38</f>
        <v/>
      </c>
      <c r="W38">
        <f>D38/$T38</f>
        <v/>
      </c>
      <c r="X38">
        <f>E38/$T38</f>
        <v/>
      </c>
      <c r="Y38">
        <f>F38/$T38</f>
        <v/>
      </c>
      <c r="Z38">
        <f>G38/$T38</f>
        <v/>
      </c>
      <c r="AA38">
        <f>H38/$T38</f>
        <v/>
      </c>
      <c r="AB38">
        <f>I38/$T38</f>
        <v/>
      </c>
      <c r="AC38">
        <f>J38/$T38</f>
        <v/>
      </c>
      <c r="AD38">
        <f>K38/$T38</f>
        <v/>
      </c>
      <c r="AE38">
        <f>L38/$T38</f>
        <v/>
      </c>
      <c r="AF38">
        <f>M38/$T38</f>
        <v/>
      </c>
      <c r="AG38">
        <f>N38/$T38</f>
        <v/>
      </c>
      <c r="AH38">
        <f>O38/$T38</f>
        <v/>
      </c>
      <c r="AI38">
        <f>P38/$T38</f>
        <v/>
      </c>
      <c r="AJ38">
        <f>Q38/$T38</f>
        <v/>
      </c>
      <c r="AK38">
        <f>R38/$T38</f>
        <v/>
      </c>
      <c r="AL38">
        <f>S38/$T38</f>
        <v/>
      </c>
      <c r="AM38">
        <f>SUM(V38:AG38)</f>
        <v/>
      </c>
      <c r="AN38">
        <f>SUM(AH38:AL38)</f>
        <v/>
      </c>
    </row>
    <row r="39" ht="15.75" customHeight="1" s="259">
      <c r="T39">
        <f>SUM(C39:S39)</f>
        <v/>
      </c>
      <c r="V39">
        <f>C39/$T39</f>
        <v/>
      </c>
      <c r="W39">
        <f>D39/$T39</f>
        <v/>
      </c>
      <c r="X39">
        <f>E39/$T39</f>
        <v/>
      </c>
      <c r="Y39">
        <f>F39/$T39</f>
        <v/>
      </c>
      <c r="Z39">
        <f>G39/$T39</f>
        <v/>
      </c>
      <c r="AA39">
        <f>H39/$T39</f>
        <v/>
      </c>
      <c r="AB39">
        <f>I39/$T39</f>
        <v/>
      </c>
      <c r="AC39">
        <f>J39/$T39</f>
        <v/>
      </c>
      <c r="AD39">
        <f>K39/$T39</f>
        <v/>
      </c>
      <c r="AE39">
        <f>L39/$T39</f>
        <v/>
      </c>
      <c r="AF39">
        <f>M39/$T39</f>
        <v/>
      </c>
      <c r="AG39">
        <f>N39/$T39</f>
        <v/>
      </c>
      <c r="AH39">
        <f>O39/$T39</f>
        <v/>
      </c>
      <c r="AI39">
        <f>P39/$T39</f>
        <v/>
      </c>
      <c r="AJ39">
        <f>Q39/$T39</f>
        <v/>
      </c>
      <c r="AK39">
        <f>R39/$T39</f>
        <v/>
      </c>
      <c r="AL39">
        <f>S39/$T39</f>
        <v/>
      </c>
      <c r="AM39">
        <f>SUM(V39:AG39)</f>
        <v/>
      </c>
      <c r="AN39">
        <f>SUM(AH39:AL39)</f>
        <v/>
      </c>
    </row>
    <row r="40" ht="15.75" customHeight="1" s="259">
      <c r="T40">
        <f>SUM(C40:S40)</f>
        <v/>
      </c>
      <c r="V40">
        <f>C40/$T40</f>
        <v/>
      </c>
      <c r="W40">
        <f>D40/$T40</f>
        <v/>
      </c>
      <c r="X40">
        <f>E40/$T40</f>
        <v/>
      </c>
      <c r="Y40">
        <f>F40/$T40</f>
        <v/>
      </c>
      <c r="Z40">
        <f>G40/$T40</f>
        <v/>
      </c>
      <c r="AA40">
        <f>H40/$T40</f>
        <v/>
      </c>
      <c r="AB40">
        <f>I40/$T40</f>
        <v/>
      </c>
      <c r="AC40">
        <f>J40/$T40</f>
        <v/>
      </c>
      <c r="AD40">
        <f>K40/$T40</f>
        <v/>
      </c>
      <c r="AE40">
        <f>L40/$T40</f>
        <v/>
      </c>
      <c r="AF40">
        <f>M40/$T40</f>
        <v/>
      </c>
      <c r="AG40">
        <f>N40/$T40</f>
        <v/>
      </c>
      <c r="AH40">
        <f>O40/$T40</f>
        <v/>
      </c>
      <c r="AI40">
        <f>P40/$T40</f>
        <v/>
      </c>
      <c r="AJ40">
        <f>Q40/$T40</f>
        <v/>
      </c>
      <c r="AK40">
        <f>R40/$T40</f>
        <v/>
      </c>
      <c r="AL40">
        <f>S40/$T40</f>
        <v/>
      </c>
      <c r="AM40">
        <f>SUM(V40:AG40)</f>
        <v/>
      </c>
      <c r="AN40">
        <f>SUM(AH40:AL40)</f>
        <v/>
      </c>
    </row>
    <row r="41" ht="15.75" customHeight="1" s="259">
      <c r="T41">
        <f>SUM(C41:S41)</f>
        <v/>
      </c>
      <c r="V41">
        <f>C41/$T41</f>
        <v/>
      </c>
      <c r="W41">
        <f>D41/$T41</f>
        <v/>
      </c>
      <c r="X41">
        <f>E41/$T41</f>
        <v/>
      </c>
      <c r="Y41">
        <f>F41/$T41</f>
        <v/>
      </c>
      <c r="Z41">
        <f>G41/$T41</f>
        <v/>
      </c>
      <c r="AA41">
        <f>H41/$T41</f>
        <v/>
      </c>
      <c r="AB41">
        <f>I41/$T41</f>
        <v/>
      </c>
      <c r="AC41">
        <f>J41/$T41</f>
        <v/>
      </c>
      <c r="AD41">
        <f>K41/$T41</f>
        <v/>
      </c>
      <c r="AE41">
        <f>L41/$T41</f>
        <v/>
      </c>
      <c r="AF41">
        <f>M41/$T41</f>
        <v/>
      </c>
      <c r="AG41">
        <f>N41/$T41</f>
        <v/>
      </c>
      <c r="AH41">
        <f>O41/$T41</f>
        <v/>
      </c>
      <c r="AI41">
        <f>P41/$T41</f>
        <v/>
      </c>
      <c r="AJ41">
        <f>Q41/$T41</f>
        <v/>
      </c>
      <c r="AK41">
        <f>R41/$T41</f>
        <v/>
      </c>
      <c r="AL41">
        <f>S41/$T41</f>
        <v/>
      </c>
      <c r="AM41">
        <f>SUM(V41:AG41)</f>
        <v/>
      </c>
      <c r="AN41">
        <f>SUM(AH41:AL41)</f>
        <v/>
      </c>
    </row>
    <row r="42" ht="15.75" customHeight="1" s="259">
      <c r="T42">
        <f>SUM(C42:S42)</f>
        <v/>
      </c>
      <c r="V42">
        <f>C42/$T42</f>
        <v/>
      </c>
      <c r="W42">
        <f>D42/$T42</f>
        <v/>
      </c>
      <c r="X42">
        <f>E42/$T42</f>
        <v/>
      </c>
      <c r="Y42">
        <f>F42/$T42</f>
        <v/>
      </c>
      <c r="Z42">
        <f>G42/$T42</f>
        <v/>
      </c>
      <c r="AA42">
        <f>H42/$T42</f>
        <v/>
      </c>
      <c r="AB42">
        <f>I42/$T42</f>
        <v/>
      </c>
      <c r="AC42">
        <f>J42/$T42</f>
        <v/>
      </c>
      <c r="AD42">
        <f>K42/$T42</f>
        <v/>
      </c>
      <c r="AE42">
        <f>L42/$T42</f>
        <v/>
      </c>
      <c r="AF42">
        <f>M42/$T42</f>
        <v/>
      </c>
      <c r="AG42">
        <f>N42/$T42</f>
        <v/>
      </c>
      <c r="AH42">
        <f>O42/$T42</f>
        <v/>
      </c>
      <c r="AI42">
        <f>P42/$T42</f>
        <v/>
      </c>
      <c r="AJ42">
        <f>Q42/$T42</f>
        <v/>
      </c>
      <c r="AK42">
        <f>R42/$T42</f>
        <v/>
      </c>
      <c r="AL42">
        <f>S42/$T42</f>
        <v/>
      </c>
      <c r="AM42">
        <f>SUM(V42:AG42)</f>
        <v/>
      </c>
      <c r="AN42">
        <f>SUM(AH42:AL42)</f>
        <v/>
      </c>
    </row>
    <row r="43" ht="15.75" customHeight="1" s="259">
      <c r="T43">
        <f>SUM(C43:S43)</f>
        <v/>
      </c>
      <c r="V43">
        <f>C43/$T43</f>
        <v/>
      </c>
      <c r="W43">
        <f>D43/$T43</f>
        <v/>
      </c>
      <c r="X43">
        <f>E43/$T43</f>
        <v/>
      </c>
      <c r="Y43">
        <f>F43/$T43</f>
        <v/>
      </c>
      <c r="Z43">
        <f>G43/$T43</f>
        <v/>
      </c>
      <c r="AA43">
        <f>H43/$T43</f>
        <v/>
      </c>
      <c r="AB43">
        <f>I43/$T43</f>
        <v/>
      </c>
      <c r="AC43">
        <f>J43/$T43</f>
        <v/>
      </c>
      <c r="AD43">
        <f>K43/$T43</f>
        <v/>
      </c>
      <c r="AE43">
        <f>L43/$T43</f>
        <v/>
      </c>
      <c r="AF43">
        <f>M43/$T43</f>
        <v/>
      </c>
      <c r="AG43">
        <f>N43/$T43</f>
        <v/>
      </c>
      <c r="AH43">
        <f>O43/$T43</f>
        <v/>
      </c>
      <c r="AI43">
        <f>P43/$T43</f>
        <v/>
      </c>
      <c r="AJ43">
        <f>Q43/$T43</f>
        <v/>
      </c>
      <c r="AK43">
        <f>R43/$T43</f>
        <v/>
      </c>
      <c r="AL43">
        <f>S43/$T43</f>
        <v/>
      </c>
      <c r="AM43">
        <f>SUM(V43:AG43)</f>
        <v/>
      </c>
      <c r="AN43">
        <f>SUM(AH43:AL43)</f>
        <v/>
      </c>
    </row>
    <row r="44" ht="15.75" customHeight="1" s="259">
      <c r="T44">
        <f>SUM(C44:S44)</f>
        <v/>
      </c>
      <c r="V44">
        <f>C44/$T44</f>
        <v/>
      </c>
      <c r="W44">
        <f>D44/$T44</f>
        <v/>
      </c>
      <c r="X44">
        <f>E44/$T44</f>
        <v/>
      </c>
      <c r="Y44">
        <f>F44/$T44</f>
        <v/>
      </c>
      <c r="Z44">
        <f>G44/$T44</f>
        <v/>
      </c>
      <c r="AA44">
        <f>H44/$T44</f>
        <v/>
      </c>
      <c r="AB44">
        <f>I44/$T44</f>
        <v/>
      </c>
      <c r="AC44">
        <f>J44/$T44</f>
        <v/>
      </c>
      <c r="AD44">
        <f>K44/$T44</f>
        <v/>
      </c>
      <c r="AE44">
        <f>L44/$T44</f>
        <v/>
      </c>
      <c r="AF44">
        <f>M44/$T44</f>
        <v/>
      </c>
      <c r="AG44">
        <f>N44/$T44</f>
        <v/>
      </c>
      <c r="AH44">
        <f>O44/$T44</f>
        <v/>
      </c>
      <c r="AI44">
        <f>P44/$T44</f>
        <v/>
      </c>
      <c r="AJ44">
        <f>Q44/$T44</f>
        <v/>
      </c>
      <c r="AK44">
        <f>R44/$T44</f>
        <v/>
      </c>
      <c r="AL44">
        <f>S44/$T44</f>
        <v/>
      </c>
      <c r="AM44">
        <f>SUM(V44:AG44)</f>
        <v/>
      </c>
      <c r="AN44">
        <f>SUM(AH44:AL44)</f>
        <v/>
      </c>
    </row>
    <row r="45" ht="15.75" customHeight="1" s="259">
      <c r="T45">
        <f>SUM(C45:S45)</f>
        <v/>
      </c>
      <c r="V45">
        <f>C45/$T45</f>
        <v/>
      </c>
      <c r="W45">
        <f>D45/$T45</f>
        <v/>
      </c>
      <c r="X45">
        <f>E45/$T45</f>
        <v/>
      </c>
      <c r="Y45">
        <f>F45/$T45</f>
        <v/>
      </c>
      <c r="Z45">
        <f>G45/$T45</f>
        <v/>
      </c>
      <c r="AA45">
        <f>H45/$T45</f>
        <v/>
      </c>
      <c r="AB45">
        <f>I45/$T45</f>
        <v/>
      </c>
      <c r="AC45">
        <f>J45/$T45</f>
        <v/>
      </c>
      <c r="AD45">
        <f>K45/$T45</f>
        <v/>
      </c>
      <c r="AE45">
        <f>L45/$T45</f>
        <v/>
      </c>
      <c r="AF45">
        <f>M45/$T45</f>
        <v/>
      </c>
      <c r="AG45">
        <f>N45/$T45</f>
        <v/>
      </c>
      <c r="AH45">
        <f>O45/$T45</f>
        <v/>
      </c>
      <c r="AI45">
        <f>P45/$T45</f>
        <v/>
      </c>
      <c r="AJ45">
        <f>Q45/$T45</f>
        <v/>
      </c>
      <c r="AK45">
        <f>R45/$T45</f>
        <v/>
      </c>
      <c r="AL45">
        <f>S45/$T45</f>
        <v/>
      </c>
      <c r="AM45">
        <f>SUM(V45:AG45)</f>
        <v/>
      </c>
      <c r="AN45">
        <f>SUM(AH45:AL45)</f>
        <v/>
      </c>
    </row>
    <row r="46" ht="15.75" customHeight="1" s="259">
      <c r="T46">
        <f>SUM(C46:S46)</f>
        <v/>
      </c>
      <c r="V46">
        <f>C46/$T46</f>
        <v/>
      </c>
      <c r="W46">
        <f>D46/$T46</f>
        <v/>
      </c>
      <c r="X46">
        <f>E46/$T46</f>
        <v/>
      </c>
      <c r="Y46">
        <f>F46/$T46</f>
        <v/>
      </c>
      <c r="Z46">
        <f>G46/$T46</f>
        <v/>
      </c>
      <c r="AA46">
        <f>H46/$T46</f>
        <v/>
      </c>
      <c r="AB46">
        <f>I46/$T46</f>
        <v/>
      </c>
      <c r="AC46">
        <f>J46/$T46</f>
        <v/>
      </c>
      <c r="AD46">
        <f>K46/$T46</f>
        <v/>
      </c>
      <c r="AE46">
        <f>L46/$T46</f>
        <v/>
      </c>
      <c r="AF46">
        <f>M46/$T46</f>
        <v/>
      </c>
      <c r="AG46">
        <f>N46/$T46</f>
        <v/>
      </c>
      <c r="AH46">
        <f>O46/$T46</f>
        <v/>
      </c>
      <c r="AI46">
        <f>P46/$T46</f>
        <v/>
      </c>
      <c r="AJ46">
        <f>Q46/$T46</f>
        <v/>
      </c>
      <c r="AK46">
        <f>R46/$T46</f>
        <v/>
      </c>
      <c r="AL46">
        <f>S46/$T46</f>
        <v/>
      </c>
      <c r="AM46">
        <f>SUM(V46:AG46)</f>
        <v/>
      </c>
      <c r="AN46">
        <f>SUM(AH46:AL46)</f>
        <v/>
      </c>
    </row>
    <row r="47" ht="15.75" customHeight="1" s="259">
      <c r="T47">
        <f>SUM(C47:S47)</f>
        <v/>
      </c>
      <c r="V47">
        <f>C47/$T47</f>
        <v/>
      </c>
      <c r="W47">
        <f>D47/$T47</f>
        <v/>
      </c>
      <c r="X47">
        <f>E47/$T47</f>
        <v/>
      </c>
      <c r="Y47">
        <f>F47/$T47</f>
        <v/>
      </c>
      <c r="Z47">
        <f>G47/$T47</f>
        <v/>
      </c>
      <c r="AA47">
        <f>H47/$T47</f>
        <v/>
      </c>
      <c r="AB47">
        <f>I47/$T47</f>
        <v/>
      </c>
      <c r="AC47">
        <f>J47/$T47</f>
        <v/>
      </c>
      <c r="AD47">
        <f>K47/$T47</f>
        <v/>
      </c>
      <c r="AE47">
        <f>L47/$T47</f>
        <v/>
      </c>
      <c r="AF47">
        <f>M47/$T47</f>
        <v/>
      </c>
      <c r="AG47">
        <f>N47/$T47</f>
        <v/>
      </c>
      <c r="AH47">
        <f>O47/$T47</f>
        <v/>
      </c>
      <c r="AI47">
        <f>P47/$T47</f>
        <v/>
      </c>
      <c r="AJ47">
        <f>Q47/$T47</f>
        <v/>
      </c>
      <c r="AK47">
        <f>R47/$T47</f>
        <v/>
      </c>
      <c r="AL47">
        <f>S47/$T47</f>
        <v/>
      </c>
      <c r="AM47">
        <f>SUM(V47:AG47)</f>
        <v/>
      </c>
      <c r="AN47">
        <f>SUM(AH47:AL47)</f>
        <v/>
      </c>
    </row>
    <row r="48" ht="15.75" customHeight="1" s="259">
      <c r="T48">
        <f>SUM(C48:S48)</f>
        <v/>
      </c>
      <c r="V48">
        <f>C48/$T48</f>
        <v/>
      </c>
      <c r="W48">
        <f>D48/$T48</f>
        <v/>
      </c>
      <c r="X48">
        <f>E48/$T48</f>
        <v/>
      </c>
      <c r="Y48">
        <f>F48/$T48</f>
        <v/>
      </c>
      <c r="Z48">
        <f>G48/$T48</f>
        <v/>
      </c>
      <c r="AA48">
        <f>H48/$T48</f>
        <v/>
      </c>
      <c r="AB48">
        <f>I48/$T48</f>
        <v/>
      </c>
      <c r="AC48">
        <f>J48/$T48</f>
        <v/>
      </c>
      <c r="AD48">
        <f>K48/$T48</f>
        <v/>
      </c>
      <c r="AE48">
        <f>L48/$T48</f>
        <v/>
      </c>
      <c r="AF48">
        <f>M48/$T48</f>
        <v/>
      </c>
      <c r="AG48">
        <f>N48/$T48</f>
        <v/>
      </c>
      <c r="AH48">
        <f>O48/$T48</f>
        <v/>
      </c>
      <c r="AI48">
        <f>P48/$T48</f>
        <v/>
      </c>
      <c r="AJ48">
        <f>Q48/$T48</f>
        <v/>
      </c>
      <c r="AK48">
        <f>R48/$T48</f>
        <v/>
      </c>
      <c r="AL48">
        <f>S48/$T48</f>
        <v/>
      </c>
      <c r="AM48">
        <f>SUM(V48:AG48)</f>
        <v/>
      </c>
      <c r="AN48">
        <f>SUM(AH48:AL48)</f>
        <v/>
      </c>
    </row>
    <row r="49" ht="15.75" customHeight="1" s="259">
      <c r="T49">
        <f>SUM(C49:S49)</f>
        <v/>
      </c>
      <c r="V49">
        <f>C49/$T49</f>
        <v/>
      </c>
      <c r="W49">
        <f>D49/$T49</f>
        <v/>
      </c>
      <c r="X49">
        <f>E49/$T49</f>
        <v/>
      </c>
      <c r="Y49">
        <f>F49/$T49</f>
        <v/>
      </c>
      <c r="Z49">
        <f>G49/$T49</f>
        <v/>
      </c>
      <c r="AA49">
        <f>H49/$T49</f>
        <v/>
      </c>
      <c r="AB49">
        <f>I49/$T49</f>
        <v/>
      </c>
      <c r="AC49">
        <f>J49/$T49</f>
        <v/>
      </c>
      <c r="AD49">
        <f>K49/$T49</f>
        <v/>
      </c>
      <c r="AE49">
        <f>L49/$T49</f>
        <v/>
      </c>
      <c r="AF49">
        <f>M49/$T49</f>
        <v/>
      </c>
      <c r="AG49">
        <f>N49/$T49</f>
        <v/>
      </c>
      <c r="AH49">
        <f>O49/$T49</f>
        <v/>
      </c>
      <c r="AI49">
        <f>P49/$T49</f>
        <v/>
      </c>
      <c r="AJ49">
        <f>Q49/$T49</f>
        <v/>
      </c>
      <c r="AK49">
        <f>R49/$T49</f>
        <v/>
      </c>
      <c r="AL49">
        <f>S49/$T49</f>
        <v/>
      </c>
      <c r="AM49">
        <f>SUM(V49:AG49)</f>
        <v/>
      </c>
      <c r="AN49">
        <f>SUM(AH49:AL49)</f>
        <v/>
      </c>
    </row>
    <row r="50" ht="15.75" customHeight="1" s="259">
      <c r="T50">
        <f>SUM(C50:S50)</f>
        <v/>
      </c>
      <c r="V50">
        <f>C50/$T50</f>
        <v/>
      </c>
      <c r="W50">
        <f>D50/$T50</f>
        <v/>
      </c>
      <c r="X50">
        <f>E50/$T50</f>
        <v/>
      </c>
      <c r="Y50">
        <f>F50/$T50</f>
        <v/>
      </c>
      <c r="Z50">
        <f>G50/$T50</f>
        <v/>
      </c>
      <c r="AA50">
        <f>H50/$T50</f>
        <v/>
      </c>
      <c r="AB50">
        <f>I50/$T50</f>
        <v/>
      </c>
      <c r="AC50">
        <f>J50/$T50</f>
        <v/>
      </c>
      <c r="AD50">
        <f>K50/$T50</f>
        <v/>
      </c>
      <c r="AE50">
        <f>L50/$T50</f>
        <v/>
      </c>
      <c r="AF50">
        <f>M50/$T50</f>
        <v/>
      </c>
      <c r="AG50">
        <f>N50/$T50</f>
        <v/>
      </c>
      <c r="AH50">
        <f>O50/$T50</f>
        <v/>
      </c>
      <c r="AI50">
        <f>P50/$T50</f>
        <v/>
      </c>
      <c r="AJ50">
        <f>Q50/$T50</f>
        <v/>
      </c>
      <c r="AK50">
        <f>R50/$T50</f>
        <v/>
      </c>
      <c r="AL50">
        <f>S50/$T50</f>
        <v/>
      </c>
      <c r="AM50">
        <f>SUM(V50:AG50)</f>
        <v/>
      </c>
      <c r="AN50">
        <f>SUM(AH50:AL50)</f>
        <v/>
      </c>
    </row>
    <row r="51" ht="15.75" customHeight="1" s="259">
      <c r="T51">
        <f>SUM(C51:S51)</f>
        <v/>
      </c>
      <c r="V51">
        <f>C51/$T51</f>
        <v/>
      </c>
      <c r="W51">
        <f>D51/$T51</f>
        <v/>
      </c>
      <c r="X51">
        <f>E51/$T51</f>
        <v/>
      </c>
      <c r="Y51">
        <f>F51/$T51</f>
        <v/>
      </c>
      <c r="Z51">
        <f>G51/$T51</f>
        <v/>
      </c>
      <c r="AA51">
        <f>H51/$T51</f>
        <v/>
      </c>
      <c r="AB51">
        <f>I51/$T51</f>
        <v/>
      </c>
      <c r="AC51">
        <f>J51/$T51</f>
        <v/>
      </c>
      <c r="AD51">
        <f>K51/$T51</f>
        <v/>
      </c>
      <c r="AE51">
        <f>L51/$T51</f>
        <v/>
      </c>
      <c r="AF51">
        <f>M51/$T51</f>
        <v/>
      </c>
      <c r="AG51">
        <f>N51/$T51</f>
        <v/>
      </c>
      <c r="AH51">
        <f>O51/$T51</f>
        <v/>
      </c>
      <c r="AI51">
        <f>P51/$T51</f>
        <v/>
      </c>
      <c r="AJ51">
        <f>Q51/$T51</f>
        <v/>
      </c>
      <c r="AK51">
        <f>R51/$T51</f>
        <v/>
      </c>
      <c r="AL51">
        <f>S51/$T51</f>
        <v/>
      </c>
      <c r="AM51">
        <f>SUM(V51:AG51)</f>
        <v/>
      </c>
      <c r="AN51">
        <f>SUM(AH51:AL51)</f>
        <v/>
      </c>
    </row>
    <row r="52" ht="15.75" customHeight="1" s="259">
      <c r="T52">
        <f>SUM(C52:S52)</f>
        <v/>
      </c>
      <c r="V52">
        <f>C52/$T52</f>
        <v/>
      </c>
      <c r="W52">
        <f>D52/$T52</f>
        <v/>
      </c>
      <c r="X52">
        <f>E52/$T52</f>
        <v/>
      </c>
      <c r="Y52">
        <f>F52/$T52</f>
        <v/>
      </c>
      <c r="Z52">
        <f>G52/$T52</f>
        <v/>
      </c>
      <c r="AA52">
        <f>H52/$T52</f>
        <v/>
      </c>
      <c r="AB52">
        <f>I52/$T52</f>
        <v/>
      </c>
      <c r="AC52">
        <f>J52/$T52</f>
        <v/>
      </c>
      <c r="AD52">
        <f>K52/$T52</f>
        <v/>
      </c>
      <c r="AE52">
        <f>L52/$T52</f>
        <v/>
      </c>
      <c r="AF52">
        <f>M52/$T52</f>
        <v/>
      </c>
      <c r="AG52">
        <f>N52/$T52</f>
        <v/>
      </c>
      <c r="AH52">
        <f>O52/$T52</f>
        <v/>
      </c>
      <c r="AI52">
        <f>P52/$T52</f>
        <v/>
      </c>
      <c r="AJ52">
        <f>Q52/$T52</f>
        <v/>
      </c>
      <c r="AK52">
        <f>R52/$T52</f>
        <v/>
      </c>
      <c r="AL52">
        <f>S52/$T52</f>
        <v/>
      </c>
      <c r="AM52">
        <f>SUM(V52:AG52)</f>
        <v/>
      </c>
      <c r="AN52">
        <f>SUM(AH52:AL52)</f>
        <v/>
      </c>
    </row>
    <row r="53" ht="15.75" customHeight="1" s="259">
      <c r="T53">
        <f>SUM(C53:S53)</f>
        <v/>
      </c>
      <c r="V53">
        <f>C53/$T53</f>
        <v/>
      </c>
      <c r="W53">
        <f>D53/$T53</f>
        <v/>
      </c>
      <c r="X53">
        <f>E53/$T53</f>
        <v/>
      </c>
      <c r="Y53">
        <f>F53/$T53</f>
        <v/>
      </c>
      <c r="Z53">
        <f>G53/$T53</f>
        <v/>
      </c>
      <c r="AA53">
        <f>H53/$T53</f>
        <v/>
      </c>
      <c r="AB53">
        <f>I53/$T53</f>
        <v/>
      </c>
      <c r="AC53">
        <f>J53/$T53</f>
        <v/>
      </c>
      <c r="AD53">
        <f>K53/$T53</f>
        <v/>
      </c>
      <c r="AE53">
        <f>L53/$T53</f>
        <v/>
      </c>
      <c r="AF53">
        <f>M53/$T53</f>
        <v/>
      </c>
      <c r="AG53">
        <f>N53/$T53</f>
        <v/>
      </c>
      <c r="AH53">
        <f>O53/$T53</f>
        <v/>
      </c>
      <c r="AI53">
        <f>P53/$T53</f>
        <v/>
      </c>
      <c r="AJ53">
        <f>Q53/$T53</f>
        <v/>
      </c>
      <c r="AK53">
        <f>R53/$T53</f>
        <v/>
      </c>
      <c r="AL53">
        <f>S53/$T53</f>
        <v/>
      </c>
      <c r="AM53">
        <f>SUM(V53:AG53)</f>
        <v/>
      </c>
      <c r="AN53">
        <f>SUM(AH53:AL53)</f>
        <v/>
      </c>
    </row>
    <row r="54" ht="15.75" customHeight="1" s="259">
      <c r="T54">
        <f>SUM(C54:S54)</f>
        <v/>
      </c>
      <c r="V54">
        <f>C54/$T54</f>
        <v/>
      </c>
      <c r="W54">
        <f>D54/$T54</f>
        <v/>
      </c>
      <c r="X54">
        <f>E54/$T54</f>
        <v/>
      </c>
      <c r="Y54">
        <f>F54/$T54</f>
        <v/>
      </c>
      <c r="Z54">
        <f>G54/$T54</f>
        <v/>
      </c>
      <c r="AA54">
        <f>H54/$T54</f>
        <v/>
      </c>
      <c r="AB54">
        <f>I54/$T54</f>
        <v/>
      </c>
      <c r="AC54">
        <f>J54/$T54</f>
        <v/>
      </c>
      <c r="AD54">
        <f>K54/$T54</f>
        <v/>
      </c>
      <c r="AE54">
        <f>L54/$T54</f>
        <v/>
      </c>
      <c r="AF54">
        <f>M54/$T54</f>
        <v/>
      </c>
      <c r="AG54">
        <f>N54/$T54</f>
        <v/>
      </c>
      <c r="AH54">
        <f>O54/$T54</f>
        <v/>
      </c>
      <c r="AI54">
        <f>P54/$T54</f>
        <v/>
      </c>
      <c r="AJ54">
        <f>Q54/$T54</f>
        <v/>
      </c>
      <c r="AK54">
        <f>R54/$T54</f>
        <v/>
      </c>
      <c r="AL54">
        <f>S54/$T54</f>
        <v/>
      </c>
      <c r="AM54">
        <f>SUM(V54:AG54)</f>
        <v/>
      </c>
      <c r="AN54">
        <f>SUM(AH54:AL54)</f>
        <v/>
      </c>
    </row>
    <row r="55" ht="15.75" customHeight="1" s="259">
      <c r="T55">
        <f>SUM(C55:S55)</f>
        <v/>
      </c>
      <c r="V55">
        <f>C55/$T55</f>
        <v/>
      </c>
      <c r="W55">
        <f>D55/$T55</f>
        <v/>
      </c>
      <c r="X55">
        <f>E55/$T55</f>
        <v/>
      </c>
      <c r="Y55">
        <f>F55/$T55</f>
        <v/>
      </c>
      <c r="Z55">
        <f>G55/$T55</f>
        <v/>
      </c>
      <c r="AA55">
        <f>H55/$T55</f>
        <v/>
      </c>
      <c r="AB55">
        <f>I55/$T55</f>
        <v/>
      </c>
      <c r="AC55">
        <f>J55/$T55</f>
        <v/>
      </c>
      <c r="AD55">
        <f>K55/$T55</f>
        <v/>
      </c>
      <c r="AE55">
        <f>L55/$T55</f>
        <v/>
      </c>
      <c r="AF55">
        <f>M55/$T55</f>
        <v/>
      </c>
      <c r="AG55">
        <f>N55/$T55</f>
        <v/>
      </c>
      <c r="AH55">
        <f>O55/$T55</f>
        <v/>
      </c>
      <c r="AI55">
        <f>P55/$T55</f>
        <v/>
      </c>
      <c r="AJ55">
        <f>Q55/$T55</f>
        <v/>
      </c>
      <c r="AK55">
        <f>R55/$T55</f>
        <v/>
      </c>
      <c r="AL55">
        <f>S55/$T55</f>
        <v/>
      </c>
      <c r="AM55">
        <f>SUM(V55:AG55)</f>
        <v/>
      </c>
      <c r="AN55">
        <f>SUM(AH55:AL55)</f>
        <v/>
      </c>
    </row>
    <row r="56" ht="15.75" customHeight="1" s="259">
      <c r="T56">
        <f>SUM(C56:S56)</f>
        <v/>
      </c>
      <c r="V56">
        <f>C56/$T56</f>
        <v/>
      </c>
      <c r="W56">
        <f>D56/$T56</f>
        <v/>
      </c>
      <c r="X56">
        <f>E56/$T56</f>
        <v/>
      </c>
      <c r="Y56">
        <f>F56/$T56</f>
        <v/>
      </c>
      <c r="Z56">
        <f>G56/$T56</f>
        <v/>
      </c>
      <c r="AA56">
        <f>H56/$T56</f>
        <v/>
      </c>
      <c r="AB56">
        <f>I56/$T56</f>
        <v/>
      </c>
      <c r="AC56">
        <f>J56/$T56</f>
        <v/>
      </c>
      <c r="AD56">
        <f>K56/$T56</f>
        <v/>
      </c>
      <c r="AE56">
        <f>L56/$T56</f>
        <v/>
      </c>
      <c r="AF56">
        <f>M56/$T56</f>
        <v/>
      </c>
      <c r="AG56">
        <f>N56/$T56</f>
        <v/>
      </c>
      <c r="AH56">
        <f>O56/$T56</f>
        <v/>
      </c>
      <c r="AI56">
        <f>P56/$T56</f>
        <v/>
      </c>
      <c r="AJ56">
        <f>Q56/$T56</f>
        <v/>
      </c>
      <c r="AK56">
        <f>R56/$T56</f>
        <v/>
      </c>
      <c r="AL56">
        <f>S56/$T56</f>
        <v/>
      </c>
      <c r="AM56">
        <f>SUM(V56:AG56)</f>
        <v/>
      </c>
      <c r="AN56">
        <f>SUM(AH56:AL56)</f>
        <v/>
      </c>
    </row>
    <row r="57" ht="15.75" customHeight="1" s="259">
      <c r="T57">
        <f>SUM(C57:S57)</f>
        <v/>
      </c>
      <c r="V57">
        <f>C57/$T57</f>
        <v/>
      </c>
      <c r="W57">
        <f>D57/$T57</f>
        <v/>
      </c>
      <c r="X57">
        <f>E57/$T57</f>
        <v/>
      </c>
      <c r="Y57">
        <f>F57/$T57</f>
        <v/>
      </c>
      <c r="Z57">
        <f>G57/$T57</f>
        <v/>
      </c>
      <c r="AA57">
        <f>H57/$T57</f>
        <v/>
      </c>
      <c r="AB57">
        <f>I57/$T57</f>
        <v/>
      </c>
      <c r="AC57">
        <f>J57/$T57</f>
        <v/>
      </c>
      <c r="AD57">
        <f>K57/$T57</f>
        <v/>
      </c>
      <c r="AE57">
        <f>L57/$T57</f>
        <v/>
      </c>
      <c r="AF57">
        <f>M57/$T57</f>
        <v/>
      </c>
      <c r="AG57">
        <f>N57/$T57</f>
        <v/>
      </c>
      <c r="AH57">
        <f>O57/$T57</f>
        <v/>
      </c>
      <c r="AI57">
        <f>P57/$T57</f>
        <v/>
      </c>
      <c r="AJ57">
        <f>Q57/$T57</f>
        <v/>
      </c>
      <c r="AK57">
        <f>R57/$T57</f>
        <v/>
      </c>
      <c r="AL57">
        <f>S57/$T57</f>
        <v/>
      </c>
      <c r="AM57">
        <f>SUM(V57:AG57)</f>
        <v/>
      </c>
      <c r="AN57">
        <f>SUM(AH57:AL57)</f>
        <v/>
      </c>
    </row>
  </sheetData>
  <mergeCells count="2">
    <mergeCell ref="V1:AN1"/>
    <mergeCell ref="C1:S1"/>
  </mergeCells>
  <pageMargins left="0.7086614173228347" right="0.7086614173228347" top="0.7480314960629921" bottom="0.7480314960629921" header="0.3149606299212598" footer="0.3149606299212598"/>
  <pageSetup orientation="landscape" paperSize="9" scale="25"/>
</worksheet>
</file>

<file path=xl/worksheets/sheet20.xml><?xml version="1.0" encoding="utf-8"?>
<worksheet xmlns="http://schemas.openxmlformats.org/spreadsheetml/2006/main">
  <sheetPr codeName="Feuil18">
    <outlinePr summaryBelow="1" summaryRight="1"/>
    <pageSetUpPr/>
  </sheetPr>
  <dimension ref="B1:F8"/>
  <sheetViews>
    <sheetView showGridLines="0" workbookViewId="0">
      <selection activeCell="I32" sqref="I32:I33"/>
    </sheetView>
  </sheetViews>
  <sheetFormatPr baseColWidth="10" defaultRowHeight="12.75"/>
  <cols>
    <col width="0.7109375" customWidth="1" style="259" min="1" max="1"/>
    <col width="50.28515625" customWidth="1" style="259" min="2" max="2"/>
    <col width="1.28515625" customWidth="1" style="259" min="3" max="3"/>
    <col width="4.28515625" customWidth="1" style="259" min="4" max="4"/>
    <col width="12.42578125" customWidth="1" style="259" min="5" max="6"/>
  </cols>
  <sheetData>
    <row r="1" ht="25.5" customHeight="1" s="259">
      <c r="B1" s="16" t="inlineStr">
        <is>
          <t>Rapport sur la compatibilité concernant suivi des carac.xls</t>
        </is>
      </c>
      <c r="C1" s="16" t="n"/>
      <c r="D1" s="20" t="n"/>
      <c r="E1" s="20" t="n"/>
      <c r="F1" s="20" t="n"/>
    </row>
    <row r="2" ht="14.1" customHeight="1" s="259">
      <c r="B2" s="16" t="inlineStr">
        <is>
          <t>Exécuté le 31/05/2022 17:00</t>
        </is>
      </c>
      <c r="C2" s="16" t="n"/>
      <c r="D2" s="20" t="n"/>
      <c r="E2" s="20" t="n"/>
      <c r="F2" s="20" t="n"/>
    </row>
    <row r="3">
      <c r="B3" s="17" t="n"/>
      <c r="C3" s="17" t="n"/>
      <c r="D3" s="21" t="n"/>
      <c r="E3" s="21" t="n"/>
      <c r="F3" s="21" t="n"/>
    </row>
    <row r="4" ht="51" customHeight="1" s="259">
      <c r="B4" s="17" t="inlineStr">
        <is>
          <t>Les fonctionnalités répertoriées ne seront pas disponibles si vous ouvrez le classeur dans une version antérieure d’Microsoft Excel ou si vous l’enregistrez dans un format de fichier antérieur.</t>
        </is>
      </c>
      <c r="C4" s="17" t="n"/>
      <c r="D4" s="21" t="n"/>
      <c r="E4" s="21" t="n"/>
      <c r="F4" s="21" t="n"/>
    </row>
    <row r="5">
      <c r="B5" s="17" t="n"/>
      <c r="C5" s="17" t="n"/>
      <c r="D5" s="21" t="n"/>
      <c r="E5" s="21" t="n"/>
      <c r="F5" s="21" t="n"/>
    </row>
    <row r="6" ht="38.25" customHeight="1" s="259">
      <c r="B6" s="16" t="inlineStr">
        <is>
          <t>Perte mineure de fidélité</t>
        </is>
      </c>
      <c r="C6" s="16" t="n"/>
      <c r="D6" s="20" t="n"/>
      <c r="E6" s="20" t="inlineStr">
        <is>
          <t>Nb d'occurrences</t>
        </is>
      </c>
      <c r="F6" s="20" t="inlineStr">
        <is>
          <t>Version</t>
        </is>
      </c>
    </row>
    <row r="7" ht="13.5" customHeight="1" s="259" thickBot="1">
      <c r="B7" s="17" t="n"/>
      <c r="C7" s="17" t="n"/>
      <c r="D7" s="21" t="n"/>
      <c r="E7" s="21" t="n"/>
      <c r="F7" s="21" t="n"/>
    </row>
    <row r="8" ht="51.75" customHeight="1" s="259" thickBot="1">
      <c r="B8" s="18" t="inlineStr">
        <is>
          <t>Certaines cellules ou certains styles de ce classeur contiennent une mise en forme qui n'est pas prise en charge par le format de fichier sélectionné. Ces formats seront convertis au format le plus proche disponible.</t>
        </is>
      </c>
      <c r="C8" s="19" t="n"/>
      <c r="D8" s="22" t="n"/>
      <c r="E8" s="22" t="n">
        <v>18</v>
      </c>
      <c r="F8" s="23" t="inlineStr">
        <is>
          <t>Excel 97-2003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profil</dc:creator>
  <dcterms:created xsi:type="dcterms:W3CDTF">2005-09-05T14:33:21Z</dcterms:created>
  <dcterms:modified xsi:type="dcterms:W3CDTF">2026-02-24T09:50:59Z</dcterms:modified>
  <cp:lastModifiedBy>Oscar De Haut de Sigy</cp:lastModifiedBy>
  <cp:lastPrinted>2026-02-06T15:51:32Z</cp:lastPrinted>
</cp:coreProperties>
</file>